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ldaruae-my.sharepoint.com/personal/aabdelkhalek_aldar_com/Documents/1- PS - Proj/0. Package Tracker/"/>
    </mc:Choice>
  </mc:AlternateContent>
  <xr:revisionPtr revIDLastSave="329" documentId="8_{AED0045C-03DE-4480-80B5-BF5154E26EF9}" xr6:coauthVersionLast="47" xr6:coauthVersionMax="47" xr10:uidLastSave="{52AC99F3-95F9-413C-A9C3-D9E657A820B6}"/>
  <bookViews>
    <workbookView xWindow="-120" yWindow="-120" windowWidth="29040" windowHeight="15720" tabRatio="681" firstSheet="2" activeTab="13" xr2:uid="{5A0B93DF-CE0B-4A0A-95F0-39B635C59071}"/>
  </bookViews>
  <sheets>
    <sheet name="Data" sheetId="1" state="hidden" r:id="rId1"/>
    <sheet name="Summary" sheetId="4" r:id="rId2"/>
    <sheet name="Grove 3&amp;4" sheetId="3" r:id="rId3"/>
    <sheet name="Nobu" sheetId="5" r:id="rId4"/>
    <sheet name="Grove 6&amp;7" sheetId="15" r:id="rId5"/>
    <sheet name="Mamsha Palm" sheetId="14" r:id="rId6"/>
    <sheet name="Faya (SB45)" sheetId="16" r:id="rId7"/>
    <sheet name="Mamsha Gardens" sheetId="17" r:id="rId8"/>
    <sheet name="Sama Yas" sheetId="7" r:id="rId9"/>
    <sheet name="Waldorf" sheetId="13" r:id="rId10"/>
    <sheet name="Fahid TA1-2" sheetId="9" r:id="rId11"/>
    <sheet name="Fahid TA3-5" sheetId="10" r:id="rId12"/>
    <sheet name="Fahid TA6-8" sheetId="11" r:id="rId13"/>
    <sheet name="Verdes" sheetId="8" r:id="rId14"/>
    <sheet name="Wilds" sheetId="12" r:id="rId15"/>
    <sheet name="Marjan" sheetId="6" r:id="rId16"/>
    <sheet name="Blank" sheetId="18" state="hidden" r:id="rId17"/>
  </sheets>
  <definedNames>
    <definedName name="_xlnm._FilterDatabase" localSheetId="16" hidden="1">Blank!$A$10:$AV$56</definedName>
    <definedName name="_xlnm._FilterDatabase" localSheetId="10" hidden="1">'Fahid TA1-2'!$A$10:$AV$60</definedName>
    <definedName name="_xlnm._FilterDatabase" localSheetId="11" hidden="1">'Fahid TA3-5'!$A$10:$AV$41</definedName>
    <definedName name="_xlnm._FilterDatabase" localSheetId="12" hidden="1">'Fahid TA6-8'!$A$10:$AV$41</definedName>
    <definedName name="_xlnm._FilterDatabase" localSheetId="6" hidden="1">'Faya (SB45)'!$A$10:$AV$37</definedName>
    <definedName name="_xlnm._FilterDatabase" localSheetId="2" hidden="1">'Grove 3&amp;4'!$A$10:$AV$56</definedName>
    <definedName name="_xlnm._FilterDatabase" localSheetId="4" hidden="1">'Grove 6&amp;7'!$A$10:$AV$69</definedName>
    <definedName name="_xlnm._FilterDatabase" localSheetId="7" hidden="1">'Mamsha Gardens'!$A$10:$AV$56</definedName>
    <definedName name="_xlnm._FilterDatabase" localSheetId="5" hidden="1">'Mamsha Palm'!$A$10:$AV$54</definedName>
    <definedName name="_xlnm._FilterDatabase" localSheetId="15" hidden="1">Marjan!$A$10:$AV$39</definedName>
    <definedName name="_xlnm._FilterDatabase" localSheetId="3" hidden="1">Nobu!$A$10:$AV$35</definedName>
    <definedName name="_xlnm._FilterDatabase" localSheetId="8" hidden="1">'Sama Yas'!$A$10:$AV$27</definedName>
    <definedName name="_xlnm._FilterDatabase" localSheetId="13" hidden="1">Verdes!$A$10:$AV$19</definedName>
    <definedName name="_xlnm._FilterDatabase" localSheetId="9" hidden="1">Waldorf!$A$10:$AV$25</definedName>
    <definedName name="_xlnm._FilterDatabase" localSheetId="14" hidden="1">Wilds!$A$10:$AV$40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11" i="8" l="1"/>
  <c r="BB11" i="8"/>
  <c r="BC11" i="8"/>
  <c r="BA12" i="8"/>
  <c r="AJ33" i="3"/>
  <c r="AJ24" i="3"/>
  <c r="AJ20" i="3"/>
  <c r="AM28" i="16"/>
  <c r="AM22" i="16"/>
  <c r="AM23" i="16" s="1"/>
  <c r="AN23" i="16" s="1"/>
  <c r="X23" i="16" s="1"/>
  <c r="AM22" i="14"/>
  <c r="AM18" i="14"/>
  <c r="AM19" i="14" s="1"/>
  <c r="AM17" i="14"/>
  <c r="AM23" i="6"/>
  <c r="AN23" i="6" s="1"/>
  <c r="X23" i="6" s="1"/>
  <c r="AM19" i="6"/>
  <c r="AM36" i="14"/>
  <c r="AM37" i="14" s="1"/>
  <c r="AM53" i="14"/>
  <c r="AN53" i="14" s="1"/>
  <c r="X53" i="14" s="1"/>
  <c r="AM26" i="14"/>
  <c r="AM27" i="14" s="1"/>
  <c r="AM59" i="15"/>
  <c r="AM60" i="15" s="1"/>
  <c r="AM43" i="15"/>
  <c r="AM29" i="15"/>
  <c r="AM24" i="15"/>
  <c r="BG15" i="12"/>
  <c r="BF15" i="12"/>
  <c r="BE15" i="12"/>
  <c r="BD15" i="12"/>
  <c r="BC15" i="12"/>
  <c r="BB15" i="12"/>
  <c r="BA15" i="12"/>
  <c r="AZ15" i="12"/>
  <c r="AY15" i="12"/>
  <c r="AX15" i="12"/>
  <c r="AW15" i="12"/>
  <c r="AV15" i="12" a="1"/>
  <c r="AV15" i="12" s="1"/>
  <c r="AN15" i="12"/>
  <c r="X15" i="12" s="1"/>
  <c r="AJ15" i="12"/>
  <c r="AD15" i="12"/>
  <c r="BG14" i="12"/>
  <c r="BF14" i="12"/>
  <c r="BE14" i="12"/>
  <c r="BD14" i="12"/>
  <c r="BC14" i="12"/>
  <c r="BB14" i="12"/>
  <c r="BA14" i="12"/>
  <c r="AZ14" i="12"/>
  <c r="AY14" i="12"/>
  <c r="AX14" i="12"/>
  <c r="AW14" i="12"/>
  <c r="AV14" i="12" a="1"/>
  <c r="AV14" i="12" s="1"/>
  <c r="AN14" i="12"/>
  <c r="X14" i="12" s="1"/>
  <c r="AJ14" i="12"/>
  <c r="AD14" i="12"/>
  <c r="BG13" i="8"/>
  <c r="BF13" i="8"/>
  <c r="BE13" i="8"/>
  <c r="BD13" i="8"/>
  <c r="BC13" i="8"/>
  <c r="BB13" i="8"/>
  <c r="BA13" i="8"/>
  <c r="AZ13" i="8"/>
  <c r="AY13" i="8"/>
  <c r="AX13" i="8"/>
  <c r="AW13" i="8"/>
  <c r="AN13" i="8"/>
  <c r="X13" i="8" s="1"/>
  <c r="AJ13" i="8"/>
  <c r="AD13" i="8"/>
  <c r="AJ13" i="3"/>
  <c r="AJ12" i="3"/>
  <c r="AJ19" i="3"/>
  <c r="AJ18" i="3"/>
  <c r="AJ17" i="3"/>
  <c r="AJ16" i="3"/>
  <c r="AJ25" i="3"/>
  <c r="AJ23" i="3"/>
  <c r="AJ22" i="3"/>
  <c r="AJ39" i="3"/>
  <c r="AJ38" i="3"/>
  <c r="AJ37" i="3"/>
  <c r="AJ36" i="3"/>
  <c r="AJ35" i="3"/>
  <c r="AJ34" i="3"/>
  <c r="AJ32" i="3"/>
  <c r="AJ31" i="3"/>
  <c r="AJ30" i="3"/>
  <c r="AJ29" i="3"/>
  <c r="AJ28" i="3"/>
  <c r="AJ27" i="3"/>
  <c r="AJ42" i="3"/>
  <c r="AJ41" i="3"/>
  <c r="AJ55" i="3"/>
  <c r="AJ54" i="3"/>
  <c r="AJ53" i="3"/>
  <c r="AJ52" i="3"/>
  <c r="AJ51" i="3"/>
  <c r="AJ50" i="3"/>
  <c r="AJ49" i="3"/>
  <c r="AJ48" i="3"/>
  <c r="AJ47" i="3"/>
  <c r="AJ46" i="3"/>
  <c r="AJ45" i="3"/>
  <c r="AJ44" i="3"/>
  <c r="AJ13" i="5"/>
  <c r="AJ12" i="5"/>
  <c r="AJ11" i="5"/>
  <c r="AJ23" i="5"/>
  <c r="AJ16" i="5"/>
  <c r="AJ15" i="5"/>
  <c r="AJ20" i="5"/>
  <c r="AJ19" i="5"/>
  <c r="AJ18" i="5"/>
  <c r="AJ24" i="5"/>
  <c r="AJ22" i="5"/>
  <c r="AJ26" i="5"/>
  <c r="AJ34" i="5"/>
  <c r="AJ33" i="5"/>
  <c r="AJ32" i="5"/>
  <c r="AJ31" i="5"/>
  <c r="AJ30" i="5"/>
  <c r="AJ29" i="5"/>
  <c r="AJ28" i="5"/>
  <c r="AJ14" i="15"/>
  <c r="AJ13" i="15"/>
  <c r="AJ12" i="15"/>
  <c r="AJ11" i="15"/>
  <c r="AJ20" i="15"/>
  <c r="AJ19" i="15"/>
  <c r="AJ18" i="15"/>
  <c r="AJ17" i="15"/>
  <c r="AJ16" i="15"/>
  <c r="AJ26" i="15"/>
  <c r="AJ25" i="15"/>
  <c r="AJ24" i="15"/>
  <c r="AJ22" i="15"/>
  <c r="AJ40" i="15"/>
  <c r="AJ39" i="15"/>
  <c r="AJ38" i="15"/>
  <c r="AJ37" i="15"/>
  <c r="AJ36" i="15"/>
  <c r="AJ35" i="15"/>
  <c r="AJ34" i="15"/>
  <c r="AJ33" i="15"/>
  <c r="AJ32" i="15"/>
  <c r="AJ31" i="15"/>
  <c r="AJ30" i="15"/>
  <c r="AJ29" i="15"/>
  <c r="AJ28" i="15"/>
  <c r="AJ50" i="15"/>
  <c r="AJ49" i="15"/>
  <c r="AJ48" i="15"/>
  <c r="AJ47" i="15"/>
  <c r="AJ46" i="15"/>
  <c r="AJ45" i="15"/>
  <c r="AJ44" i="15"/>
  <c r="AJ43" i="15"/>
  <c r="AJ42" i="15"/>
  <c r="AJ68" i="15"/>
  <c r="AJ67" i="15"/>
  <c r="AJ66" i="15"/>
  <c r="AJ65" i="15"/>
  <c r="AJ64" i="15"/>
  <c r="AJ63" i="15"/>
  <c r="AJ62" i="15"/>
  <c r="AJ61" i="15"/>
  <c r="AJ60" i="15"/>
  <c r="AJ59" i="15"/>
  <c r="AJ58" i="15"/>
  <c r="AJ57" i="15"/>
  <c r="AJ56" i="15"/>
  <c r="AJ55" i="15"/>
  <c r="AJ54" i="15"/>
  <c r="AJ53" i="15"/>
  <c r="AJ52" i="15"/>
  <c r="AJ12" i="14"/>
  <c r="AJ11" i="14"/>
  <c r="AJ14" i="14"/>
  <c r="AJ19" i="14"/>
  <c r="AJ18" i="14"/>
  <c r="AJ23" i="14"/>
  <c r="AJ22" i="14"/>
  <c r="AJ17" i="14"/>
  <c r="AJ16" i="14"/>
  <c r="AJ21" i="14"/>
  <c r="AJ33" i="14"/>
  <c r="AJ32" i="14"/>
  <c r="AJ31" i="14"/>
  <c r="AJ30" i="14"/>
  <c r="AJ29" i="14"/>
  <c r="AJ28" i="14"/>
  <c r="AJ27" i="14"/>
  <c r="AJ26" i="14"/>
  <c r="AJ25" i="14"/>
  <c r="AJ44" i="14"/>
  <c r="AJ43" i="14"/>
  <c r="AJ42" i="14"/>
  <c r="AJ41" i="14"/>
  <c r="AJ40" i="14"/>
  <c r="AJ39" i="14"/>
  <c r="AJ38" i="14"/>
  <c r="AJ37" i="14"/>
  <c r="AJ36" i="14"/>
  <c r="AJ35" i="14"/>
  <c r="AJ53" i="14"/>
  <c r="AJ52" i="14"/>
  <c r="AJ47" i="14"/>
  <c r="AJ46" i="14"/>
  <c r="AJ51" i="14"/>
  <c r="AJ50" i="14"/>
  <c r="AJ49" i="14"/>
  <c r="AJ48" i="14"/>
  <c r="AJ36" i="16"/>
  <c r="AJ35" i="16"/>
  <c r="AJ34" i="16"/>
  <c r="AJ33" i="16"/>
  <c r="AJ32" i="16"/>
  <c r="AJ30" i="16"/>
  <c r="AJ28" i="16"/>
  <c r="AJ27" i="16"/>
  <c r="AJ25" i="16"/>
  <c r="AJ23" i="16"/>
  <c r="AJ22" i="16"/>
  <c r="AJ21" i="16"/>
  <c r="AJ19" i="16"/>
  <c r="AJ18" i="16"/>
  <c r="AJ16" i="16"/>
  <c r="AJ15" i="16"/>
  <c r="AJ14" i="16"/>
  <c r="AJ13" i="16"/>
  <c r="AJ12" i="16"/>
  <c r="AJ11" i="16"/>
  <c r="AJ13" i="17"/>
  <c r="AJ12" i="17"/>
  <c r="AJ11" i="17"/>
  <c r="AJ20" i="17"/>
  <c r="AJ19" i="17"/>
  <c r="AJ18" i="17"/>
  <c r="AJ17" i="17"/>
  <c r="AJ16" i="17"/>
  <c r="AJ25" i="17"/>
  <c r="AJ24" i="17"/>
  <c r="AJ23" i="17"/>
  <c r="AJ22" i="17"/>
  <c r="AJ39" i="17"/>
  <c r="AJ38" i="17"/>
  <c r="AJ37" i="17"/>
  <c r="AJ36" i="17"/>
  <c r="AJ35" i="17"/>
  <c r="AJ34" i="17"/>
  <c r="AJ33" i="17"/>
  <c r="AJ32" i="17"/>
  <c r="AJ31" i="17"/>
  <c r="AJ30" i="17"/>
  <c r="AJ29" i="17"/>
  <c r="AJ28" i="17"/>
  <c r="AJ27" i="17"/>
  <c r="AJ42" i="17"/>
  <c r="AJ41" i="17"/>
  <c r="AJ55" i="17"/>
  <c r="AJ54" i="17"/>
  <c r="AJ53" i="17"/>
  <c r="AJ52" i="17"/>
  <c r="AJ51" i="17"/>
  <c r="AJ50" i="17"/>
  <c r="AJ49" i="17"/>
  <c r="AJ48" i="17"/>
  <c r="AJ47" i="17"/>
  <c r="AJ46" i="17"/>
  <c r="AJ45" i="17"/>
  <c r="AJ44" i="17"/>
  <c r="AJ13" i="7"/>
  <c r="AJ12" i="7"/>
  <c r="AJ11" i="7"/>
  <c r="AJ15" i="7"/>
  <c r="AJ22" i="7"/>
  <c r="AJ21" i="7"/>
  <c r="AJ20" i="7"/>
  <c r="AJ19" i="7"/>
  <c r="AJ18" i="7"/>
  <c r="AJ17" i="7"/>
  <c r="AJ26" i="7"/>
  <c r="AJ25" i="7"/>
  <c r="AJ24" i="7"/>
  <c r="AJ11" i="13"/>
  <c r="AJ14" i="13"/>
  <c r="AJ13" i="13"/>
  <c r="AJ18" i="13"/>
  <c r="AJ17" i="13"/>
  <c r="AJ16" i="13"/>
  <c r="AJ20" i="13"/>
  <c r="AJ24" i="13"/>
  <c r="AJ23" i="13"/>
  <c r="AJ22" i="13"/>
  <c r="AJ38" i="6"/>
  <c r="AJ37" i="6"/>
  <c r="AJ36" i="6"/>
  <c r="AJ35" i="6"/>
  <c r="AJ34" i="6"/>
  <c r="AJ33" i="6"/>
  <c r="AJ32" i="6"/>
  <c r="AJ30" i="6"/>
  <c r="AJ29" i="6"/>
  <c r="AJ27" i="6"/>
  <c r="AJ25" i="6"/>
  <c r="AJ24" i="6"/>
  <c r="AJ23" i="6"/>
  <c r="AJ22" i="6"/>
  <c r="AJ20" i="6"/>
  <c r="AJ19" i="6"/>
  <c r="AJ18" i="6"/>
  <c r="AJ17" i="6"/>
  <c r="AJ16" i="6"/>
  <c r="AJ14" i="6"/>
  <c r="AJ12" i="6"/>
  <c r="AJ11" i="6"/>
  <c r="AJ39" i="12"/>
  <c r="AJ38" i="12"/>
  <c r="AJ37" i="12"/>
  <c r="AJ36" i="12"/>
  <c r="AJ35" i="12"/>
  <c r="AJ34" i="12"/>
  <c r="AJ33" i="12"/>
  <c r="AJ32" i="12"/>
  <c r="AJ31" i="12"/>
  <c r="AJ29" i="12"/>
  <c r="AJ28" i="12"/>
  <c r="AJ26" i="12"/>
  <c r="AJ25" i="12"/>
  <c r="AJ23" i="12"/>
  <c r="AJ22" i="12"/>
  <c r="AJ20" i="12"/>
  <c r="AJ19" i="12"/>
  <c r="AJ18" i="12"/>
  <c r="AJ17" i="12"/>
  <c r="AJ13" i="12"/>
  <c r="AJ12" i="12"/>
  <c r="AJ11" i="12"/>
  <c r="AJ18" i="8"/>
  <c r="AJ17" i="8"/>
  <c r="AJ16" i="8"/>
  <c r="AJ15" i="8"/>
  <c r="AJ12" i="8"/>
  <c r="AJ11" i="8"/>
  <c r="AJ40" i="11"/>
  <c r="AJ39" i="11"/>
  <c r="AJ38" i="11"/>
  <c r="AJ37" i="11"/>
  <c r="AJ36" i="11"/>
  <c r="AJ35" i="11"/>
  <c r="AJ34" i="11"/>
  <c r="AJ33" i="11"/>
  <c r="AJ32" i="11"/>
  <c r="AJ31" i="11"/>
  <c r="AJ29" i="11"/>
  <c r="AJ28" i="11"/>
  <c r="AJ26" i="11"/>
  <c r="AJ25" i="11"/>
  <c r="AJ23" i="11"/>
  <c r="AJ22" i="11"/>
  <c r="AJ21" i="11"/>
  <c r="AJ19" i="11"/>
  <c r="AJ18" i="11"/>
  <c r="AJ17" i="11"/>
  <c r="AJ16" i="11"/>
  <c r="AJ14" i="11"/>
  <c r="AJ12" i="11"/>
  <c r="AJ11" i="11"/>
  <c r="AJ14" i="10"/>
  <c r="AJ12" i="10"/>
  <c r="AJ19" i="10"/>
  <c r="AJ18" i="10"/>
  <c r="AJ17" i="10"/>
  <c r="AJ16" i="10"/>
  <c r="AJ23" i="10"/>
  <c r="AJ22" i="10"/>
  <c r="AJ21" i="10"/>
  <c r="AJ26" i="10"/>
  <c r="AJ25" i="10"/>
  <c r="AJ29" i="10"/>
  <c r="AJ28" i="10"/>
  <c r="AJ40" i="10"/>
  <c r="AJ39" i="10"/>
  <c r="AJ38" i="10"/>
  <c r="AJ37" i="10"/>
  <c r="AJ36" i="10"/>
  <c r="AJ35" i="10"/>
  <c r="AJ34" i="10"/>
  <c r="AJ33" i="10"/>
  <c r="AJ32" i="10"/>
  <c r="AJ31" i="10"/>
  <c r="AJ11" i="10"/>
  <c r="AJ59" i="9"/>
  <c r="AJ58" i="9"/>
  <c r="AJ57" i="9"/>
  <c r="AJ56" i="9"/>
  <c r="AJ55" i="9"/>
  <c r="AJ54" i="9"/>
  <c r="AJ53" i="9"/>
  <c r="AJ52" i="9"/>
  <c r="AJ51" i="9"/>
  <c r="AJ50" i="9"/>
  <c r="AJ49" i="9"/>
  <c r="AJ47" i="9"/>
  <c r="AJ46" i="9"/>
  <c r="AJ45" i="9"/>
  <c r="AJ44" i="9"/>
  <c r="AJ43" i="9"/>
  <c r="AJ42" i="9"/>
  <c r="AJ41" i="9"/>
  <c r="AJ40" i="9"/>
  <c r="AJ39" i="9"/>
  <c r="AJ38" i="9"/>
  <c r="AJ37" i="9"/>
  <c r="AJ35" i="9"/>
  <c r="AJ34" i="9"/>
  <c r="AJ33" i="9"/>
  <c r="AJ32" i="9"/>
  <c r="AJ31" i="9"/>
  <c r="AJ30" i="9"/>
  <c r="AJ29" i="9"/>
  <c r="AJ28" i="9"/>
  <c r="AJ27" i="9"/>
  <c r="AJ25" i="9"/>
  <c r="AJ24" i="9"/>
  <c r="AJ23" i="9"/>
  <c r="AJ21" i="9"/>
  <c r="AJ20" i="9"/>
  <c r="AJ19" i="9"/>
  <c r="AJ18" i="9"/>
  <c r="AJ17" i="9"/>
  <c r="AJ16" i="9"/>
  <c r="AJ14" i="9"/>
  <c r="AJ12" i="9"/>
  <c r="AJ11" i="9"/>
  <c r="BG42" i="9"/>
  <c r="BF42" i="9"/>
  <c r="BE42" i="9"/>
  <c r="BD42" i="9"/>
  <c r="BC42" i="9"/>
  <c r="BB42" i="9"/>
  <c r="BA42" i="9"/>
  <c r="AZ42" i="9"/>
  <c r="AY42" i="9"/>
  <c r="AX42" i="9"/>
  <c r="AW42" i="9"/>
  <c r="AV42" i="9" a="1"/>
  <c r="AV42" i="9" s="1"/>
  <c r="AN42" i="9"/>
  <c r="X42" i="9" s="1"/>
  <c r="AD42" i="9"/>
  <c r="BG47" i="9"/>
  <c r="BF47" i="9"/>
  <c r="BE47" i="9"/>
  <c r="BD47" i="9"/>
  <c r="BC47" i="9"/>
  <c r="BB47" i="9"/>
  <c r="BA47" i="9"/>
  <c r="AZ47" i="9"/>
  <c r="AY47" i="9"/>
  <c r="AX47" i="9"/>
  <c r="AW47" i="9"/>
  <c r="AV47" i="9" a="1"/>
  <c r="AV47" i="9" s="1"/>
  <c r="AN47" i="9"/>
  <c r="X47" i="9" s="1"/>
  <c r="AD47" i="9"/>
  <c r="BG46" i="9"/>
  <c r="BF46" i="9"/>
  <c r="BE46" i="9"/>
  <c r="BD46" i="9"/>
  <c r="BC46" i="9"/>
  <c r="BB46" i="9"/>
  <c r="BA46" i="9"/>
  <c r="AZ46" i="9"/>
  <c r="AY46" i="9"/>
  <c r="AX46" i="9"/>
  <c r="AW46" i="9"/>
  <c r="AV46" i="9" a="1"/>
  <c r="AV46" i="9" s="1"/>
  <c r="AN46" i="9"/>
  <c r="X46" i="9" s="1"/>
  <c r="AD46" i="9"/>
  <c r="BG45" i="9"/>
  <c r="BF45" i="9"/>
  <c r="BE45" i="9"/>
  <c r="BD45" i="9"/>
  <c r="BC45" i="9"/>
  <c r="BB45" i="9"/>
  <c r="BA45" i="9"/>
  <c r="AZ45" i="9"/>
  <c r="AY45" i="9"/>
  <c r="AX45" i="9"/>
  <c r="AW45" i="9"/>
  <c r="AV45" i="9" a="1"/>
  <c r="AV45" i="9" s="1"/>
  <c r="AN45" i="9"/>
  <c r="X45" i="9" s="1"/>
  <c r="AD45" i="9"/>
  <c r="BG44" i="9"/>
  <c r="BF44" i="9"/>
  <c r="BE44" i="9"/>
  <c r="BD44" i="9"/>
  <c r="BC44" i="9"/>
  <c r="BB44" i="9"/>
  <c r="BA44" i="9"/>
  <c r="AZ44" i="9"/>
  <c r="AY44" i="9"/>
  <c r="AX44" i="9"/>
  <c r="AW44" i="9"/>
  <c r="AV44" i="9" a="1"/>
  <c r="AV44" i="9" s="1"/>
  <c r="AN44" i="9"/>
  <c r="AD44" i="9"/>
  <c r="BG43" i="9"/>
  <c r="BF43" i="9"/>
  <c r="BE43" i="9"/>
  <c r="BD43" i="9"/>
  <c r="BC43" i="9"/>
  <c r="BB43" i="9"/>
  <c r="BA43" i="9"/>
  <c r="AZ43" i="9"/>
  <c r="AY43" i="9"/>
  <c r="AX43" i="9"/>
  <c r="AW43" i="9"/>
  <c r="AV43" i="9" a="1"/>
  <c r="AV43" i="9" s="1"/>
  <c r="AN43" i="9"/>
  <c r="AR43" i="9" s="1"/>
  <c r="AD43" i="9"/>
  <c r="X43" i="9"/>
  <c r="BG21" i="9"/>
  <c r="BF21" i="9"/>
  <c r="BE21" i="9"/>
  <c r="BD21" i="9"/>
  <c r="BC21" i="9"/>
  <c r="BB21" i="9"/>
  <c r="BA21" i="9"/>
  <c r="AZ21" i="9"/>
  <c r="AY21" i="9"/>
  <c r="AX21" i="9"/>
  <c r="AW21" i="9"/>
  <c r="AV21" i="9" a="1"/>
  <c r="AV21" i="9" s="1"/>
  <c r="AN21" i="9"/>
  <c r="X21" i="9" s="1"/>
  <c r="AD21" i="9"/>
  <c r="AV30" i="6" a="1"/>
  <c r="AV30" i="6" s="1"/>
  <c r="AV29" i="6" a="1"/>
  <c r="AV29" i="6" s="1"/>
  <c r="AV37" i="6" a="1"/>
  <c r="AV37" i="6" s="1"/>
  <c r="AV36" i="6" a="1"/>
  <c r="AV36" i="6" s="1"/>
  <c r="AV35" i="6" a="1"/>
  <c r="AV35" i="6" s="1"/>
  <c r="AV34" i="6" a="1"/>
  <c r="AV34" i="6" s="1"/>
  <c r="AV33" i="6" a="1"/>
  <c r="AV33" i="6" s="1"/>
  <c r="AV39" i="12" a="1"/>
  <c r="AV39" i="12" s="1"/>
  <c r="AV38" i="12" a="1"/>
  <c r="AV38" i="12" s="1"/>
  <c r="AV37" i="12" a="1"/>
  <c r="AV37" i="12" s="1"/>
  <c r="AV36" i="12" a="1"/>
  <c r="AV36" i="12" s="1"/>
  <c r="AV35" i="12" a="1"/>
  <c r="AV35" i="12" s="1"/>
  <c r="AV34" i="12" a="1"/>
  <c r="AV34" i="12" s="1"/>
  <c r="AV33" i="12" a="1"/>
  <c r="AV33" i="12" s="1"/>
  <c r="AV32" i="12" a="1"/>
  <c r="AV32" i="12" s="1"/>
  <c r="AV31" i="12" a="1"/>
  <c r="AV31" i="12" s="1"/>
  <c r="AV29" i="12" a="1"/>
  <c r="AV29" i="12" s="1"/>
  <c r="AV28" i="12" a="1"/>
  <c r="AV28" i="12" s="1"/>
  <c r="AV26" i="12" a="1"/>
  <c r="AV26" i="12" s="1"/>
  <c r="AV25" i="12" a="1"/>
  <c r="AV25" i="12" s="1"/>
  <c r="AV23" i="12" a="1"/>
  <c r="AV23" i="12" s="1"/>
  <c r="AV22" i="12" a="1"/>
  <c r="AV22" i="12" s="1"/>
  <c r="AV20" i="12" a="1"/>
  <c r="AV20" i="12" s="1"/>
  <c r="AV19" i="12" a="1"/>
  <c r="AV19" i="12" s="1"/>
  <c r="AV18" i="12" a="1"/>
  <c r="AV18" i="12" s="1"/>
  <c r="AV17" i="12" a="1"/>
  <c r="AV17" i="12" s="1"/>
  <c r="AV13" i="12" a="1"/>
  <c r="AV13" i="12" s="1"/>
  <c r="AV12" i="12" a="1"/>
  <c r="AV12" i="12" s="1"/>
  <c r="AV11" i="12" a="1"/>
  <c r="AV11" i="12" s="1"/>
  <c r="AV18" i="8" a="1"/>
  <c r="AV18" i="8" s="1"/>
  <c r="AV17" i="8" a="1"/>
  <c r="AV17" i="8" s="1"/>
  <c r="AV16" i="8" a="1"/>
  <c r="AV16" i="8" s="1"/>
  <c r="AV40" i="11" a="1"/>
  <c r="AV40" i="11" s="1"/>
  <c r="AV39" i="11" a="1"/>
  <c r="AV39" i="11" s="1"/>
  <c r="AV38" i="11" a="1"/>
  <c r="AV38" i="11" s="1"/>
  <c r="AV37" i="11" a="1"/>
  <c r="AV37" i="11" s="1"/>
  <c r="AV36" i="11" a="1"/>
  <c r="AV36" i="11" s="1"/>
  <c r="AV35" i="11" a="1"/>
  <c r="AV35" i="11" s="1"/>
  <c r="AV34" i="11" a="1"/>
  <c r="AV34" i="11" s="1"/>
  <c r="AV33" i="11" a="1"/>
  <c r="AV33" i="11" s="1"/>
  <c r="AV32" i="11" a="1"/>
  <c r="AV32" i="11" s="1"/>
  <c r="AV31" i="11" a="1"/>
  <c r="AV31" i="11" s="1"/>
  <c r="AV29" i="11" a="1"/>
  <c r="AV29" i="11" s="1"/>
  <c r="AV28" i="11" a="1"/>
  <c r="AV28" i="11" s="1"/>
  <c r="AV26" i="11" a="1"/>
  <c r="AV26" i="11" s="1"/>
  <c r="AV25" i="11" a="1"/>
  <c r="AV25" i="11" s="1"/>
  <c r="AV23" i="11" a="1"/>
  <c r="AV23" i="11" s="1"/>
  <c r="AV22" i="11" a="1"/>
  <c r="AV22" i="11" s="1"/>
  <c r="AV21" i="11" a="1"/>
  <c r="AV21" i="11" s="1"/>
  <c r="AV19" i="11" a="1"/>
  <c r="AV19" i="11" s="1"/>
  <c r="AV18" i="11" a="1"/>
  <c r="AV18" i="11" s="1"/>
  <c r="AV17" i="11" a="1"/>
  <c r="AV17" i="11" s="1"/>
  <c r="AV16" i="11" a="1"/>
  <c r="AV16" i="11" s="1"/>
  <c r="AV12" i="11" a="1"/>
  <c r="AV12" i="11" s="1"/>
  <c r="AV11" i="11" a="1"/>
  <c r="AV11" i="11" s="1"/>
  <c r="AV40" i="10" a="1"/>
  <c r="AV40" i="10" s="1"/>
  <c r="AV39" i="10" a="1"/>
  <c r="AV39" i="10" s="1"/>
  <c r="AV38" i="10" a="1"/>
  <c r="AV38" i="10" s="1"/>
  <c r="AV37" i="10" a="1"/>
  <c r="AV37" i="10" s="1"/>
  <c r="AV36" i="10" a="1"/>
  <c r="AV36" i="10" s="1"/>
  <c r="AV35" i="10" a="1"/>
  <c r="AV35" i="10" s="1"/>
  <c r="AV34" i="10" a="1"/>
  <c r="AV34" i="10" s="1"/>
  <c r="AV33" i="10" a="1"/>
  <c r="AV33" i="10" s="1"/>
  <c r="AV32" i="10" a="1"/>
  <c r="AV32" i="10" s="1"/>
  <c r="AV31" i="10" a="1"/>
  <c r="AV31" i="10" s="1"/>
  <c r="AV29" i="10" a="1"/>
  <c r="AV29" i="10" s="1"/>
  <c r="AV28" i="10" a="1"/>
  <c r="AV28" i="10" s="1"/>
  <c r="AV26" i="10" a="1"/>
  <c r="AV26" i="10" s="1"/>
  <c r="AV25" i="10" a="1"/>
  <c r="AV25" i="10" s="1"/>
  <c r="AV23" i="10" a="1"/>
  <c r="AV23" i="10" s="1"/>
  <c r="AV22" i="10" a="1"/>
  <c r="AV22" i="10" s="1"/>
  <c r="AV21" i="10" a="1"/>
  <c r="AV21" i="10" s="1"/>
  <c r="AV19" i="10" a="1"/>
  <c r="AV19" i="10" s="1"/>
  <c r="AV18" i="10" a="1"/>
  <c r="AV18" i="10" s="1"/>
  <c r="AV17" i="10" a="1"/>
  <c r="AV17" i="10" s="1"/>
  <c r="AV16" i="10" a="1"/>
  <c r="AV16" i="10" s="1"/>
  <c r="AV12" i="10" a="1"/>
  <c r="AV12" i="10" s="1"/>
  <c r="AV11" i="10" a="1"/>
  <c r="AV11" i="10" s="1"/>
  <c r="AV59" i="9" a="1"/>
  <c r="AV59" i="9" s="1"/>
  <c r="AV58" i="9" a="1"/>
  <c r="AV58" i="9" s="1"/>
  <c r="AV57" i="9" a="1"/>
  <c r="AV57" i="9" s="1"/>
  <c r="AV56" i="9" a="1"/>
  <c r="AV56" i="9" s="1"/>
  <c r="AV55" i="9" a="1"/>
  <c r="AV55" i="9" s="1"/>
  <c r="AV54" i="9" a="1"/>
  <c r="AV54" i="9" s="1"/>
  <c r="AV53" i="9" a="1"/>
  <c r="AV53" i="9" s="1"/>
  <c r="AV52" i="9" a="1"/>
  <c r="AV52" i="9" s="1"/>
  <c r="AV51" i="9" a="1"/>
  <c r="AV51" i="9" s="1"/>
  <c r="AV50" i="9" a="1"/>
  <c r="AV50" i="9" s="1"/>
  <c r="AV38" i="9" a="1"/>
  <c r="AV38" i="9" s="1"/>
  <c r="AV37" i="9" a="1"/>
  <c r="AV37" i="9" s="1"/>
  <c r="AV41" i="9" a="1"/>
  <c r="AV41" i="9" s="1"/>
  <c r="AV40" i="9" a="1"/>
  <c r="AV40" i="9" s="1"/>
  <c r="AV39" i="9" a="1"/>
  <c r="AV39" i="9" s="1"/>
  <c r="AV35" i="9" a="1"/>
  <c r="AV35" i="9" s="1"/>
  <c r="AV34" i="9" a="1"/>
  <c r="AV34" i="9" s="1"/>
  <c r="AV33" i="9" a="1"/>
  <c r="AV33" i="9" s="1"/>
  <c r="AV32" i="9" a="1"/>
  <c r="AV32" i="9" s="1"/>
  <c r="AV31" i="9" a="1"/>
  <c r="AV31" i="9" s="1"/>
  <c r="AV30" i="9" a="1"/>
  <c r="AV30" i="9" s="1"/>
  <c r="AV29" i="9" a="1"/>
  <c r="AV29" i="9" s="1"/>
  <c r="AV28" i="9" a="1"/>
  <c r="AV28" i="9" s="1"/>
  <c r="AV27" i="9" a="1"/>
  <c r="AV27" i="9" s="1"/>
  <c r="AV25" i="9" a="1"/>
  <c r="AV25" i="9" s="1"/>
  <c r="AV24" i="9" a="1"/>
  <c r="AV24" i="9" s="1"/>
  <c r="AV23" i="9" a="1"/>
  <c r="AV23" i="9" s="1"/>
  <c r="AV20" i="9" a="1"/>
  <c r="AV20" i="9" s="1"/>
  <c r="AV19" i="9" a="1"/>
  <c r="AV19" i="9" s="1"/>
  <c r="AV18" i="9" a="1"/>
  <c r="AV18" i="9" s="1"/>
  <c r="AV17" i="9" a="1"/>
  <c r="AV17" i="9" s="1"/>
  <c r="AV16" i="9" a="1"/>
  <c r="AV16" i="9" s="1"/>
  <c r="AV12" i="9" a="1"/>
  <c r="AV12" i="9" s="1"/>
  <c r="AV11" i="9" a="1"/>
  <c r="AV11" i="9" s="1"/>
  <c r="AV24" i="13" a="1"/>
  <c r="AV24" i="13" s="1"/>
  <c r="AV23" i="13" a="1"/>
  <c r="AV23" i="13" s="1"/>
  <c r="AV22" i="13" a="1"/>
  <c r="AV22" i="13" s="1"/>
  <c r="AV20" i="13" a="1"/>
  <c r="AV20" i="13" s="1"/>
  <c r="AV18" i="13" a="1"/>
  <c r="AV18" i="13" s="1"/>
  <c r="AV17" i="13" a="1"/>
  <c r="AV17" i="13" s="1"/>
  <c r="AV16" i="13" a="1"/>
  <c r="AV16" i="13" s="1"/>
  <c r="AV14" i="13" a="1"/>
  <c r="AV14" i="13" s="1"/>
  <c r="AV13" i="13" a="1"/>
  <c r="AV13" i="13" s="1"/>
  <c r="AV11" i="13" a="1"/>
  <c r="AV11" i="13" s="1"/>
  <c r="AV15" i="7" a="1"/>
  <c r="AV15" i="7" s="1"/>
  <c r="AV22" i="7" a="1"/>
  <c r="AV22" i="7" s="1"/>
  <c r="AV21" i="7" a="1"/>
  <c r="AV21" i="7" s="1"/>
  <c r="AV20" i="7" a="1"/>
  <c r="AV20" i="7" s="1"/>
  <c r="AV19" i="7" a="1"/>
  <c r="AV19" i="7" s="1"/>
  <c r="AV18" i="7" a="1"/>
  <c r="AV18" i="7" s="1"/>
  <c r="AV17" i="7" a="1"/>
  <c r="AV17" i="7" s="1"/>
  <c r="AV26" i="7" a="1"/>
  <c r="AV26" i="7" s="1"/>
  <c r="AV25" i="7" a="1"/>
  <c r="AV25" i="7" s="1"/>
  <c r="AV24" i="7" a="1"/>
  <c r="AV24" i="7" s="1"/>
  <c r="AV13" i="17" a="1"/>
  <c r="AV13" i="17" s="1"/>
  <c r="AV12" i="17" a="1"/>
  <c r="AV12" i="17" s="1"/>
  <c r="AV11" i="17" a="1"/>
  <c r="AV11" i="17" s="1"/>
  <c r="AV20" i="17" a="1"/>
  <c r="AV20" i="17" s="1"/>
  <c r="AV19" i="17" a="1"/>
  <c r="AV19" i="17" s="1"/>
  <c r="AV18" i="17" a="1"/>
  <c r="AV18" i="17" s="1"/>
  <c r="AV17" i="17" a="1"/>
  <c r="AV17" i="17" s="1"/>
  <c r="AV16" i="17" a="1"/>
  <c r="AV16" i="17" s="1"/>
  <c r="AV25" i="17" a="1"/>
  <c r="AV25" i="17" s="1"/>
  <c r="AV24" i="17" a="1"/>
  <c r="AV24" i="17" s="1"/>
  <c r="AV23" i="17" a="1"/>
  <c r="AV23" i="17" s="1"/>
  <c r="AV22" i="17" a="1"/>
  <c r="AV22" i="17" s="1"/>
  <c r="AV39" i="17" a="1"/>
  <c r="AV39" i="17" s="1"/>
  <c r="AV38" i="17" a="1"/>
  <c r="AV38" i="17" s="1"/>
  <c r="AV37" i="17" a="1"/>
  <c r="AV37" i="17" s="1"/>
  <c r="AV36" i="17" a="1"/>
  <c r="AV36" i="17" s="1"/>
  <c r="AV35" i="17" a="1"/>
  <c r="AV35" i="17" s="1"/>
  <c r="AV34" i="17" a="1"/>
  <c r="AV34" i="17" s="1"/>
  <c r="AV33" i="17" a="1"/>
  <c r="AV33" i="17" s="1"/>
  <c r="AV32" i="17" a="1"/>
  <c r="AV32" i="17" s="1"/>
  <c r="AV31" i="17" a="1"/>
  <c r="AV31" i="17" s="1"/>
  <c r="AV30" i="17" a="1"/>
  <c r="AV30" i="17" s="1"/>
  <c r="AV29" i="17" a="1"/>
  <c r="AV29" i="17" s="1"/>
  <c r="AV28" i="17" a="1"/>
  <c r="AV28" i="17" s="1"/>
  <c r="AV27" i="17" a="1"/>
  <c r="AV27" i="17" s="1"/>
  <c r="AV42" i="17" a="1"/>
  <c r="AV42" i="17" s="1"/>
  <c r="AV41" i="17" a="1"/>
  <c r="AV41" i="17" s="1"/>
  <c r="AV55" i="17" a="1"/>
  <c r="AV55" i="17" s="1"/>
  <c r="AV54" i="17" a="1"/>
  <c r="AV54" i="17" s="1"/>
  <c r="AV53" i="17" a="1"/>
  <c r="AV53" i="17" s="1"/>
  <c r="AV52" i="17" a="1"/>
  <c r="AV52" i="17" s="1"/>
  <c r="AV51" i="17" a="1"/>
  <c r="AV51" i="17" s="1"/>
  <c r="AV50" i="17" a="1"/>
  <c r="AV50" i="17" s="1"/>
  <c r="AV49" i="17" a="1"/>
  <c r="AV49" i="17" s="1"/>
  <c r="AV48" i="17" a="1"/>
  <c r="AV48" i="17" s="1"/>
  <c r="AV47" i="17" a="1"/>
  <c r="AV47" i="17" s="1"/>
  <c r="AV46" i="17" a="1"/>
  <c r="AV46" i="17" s="1"/>
  <c r="AV45" i="17" a="1"/>
  <c r="AV45" i="17" s="1"/>
  <c r="AV44" i="17" a="1"/>
  <c r="AV44" i="17" s="1"/>
  <c r="AV16" i="16" a="1"/>
  <c r="AV16" i="16" s="1"/>
  <c r="AV15" i="16" a="1"/>
  <c r="AV15" i="16" s="1"/>
  <c r="AV14" i="16" a="1"/>
  <c r="AV14" i="16" s="1"/>
  <c r="AV13" i="16" a="1"/>
  <c r="AV13" i="16" s="1"/>
  <c r="AV12" i="16" a="1"/>
  <c r="AV12" i="16" s="1"/>
  <c r="AV11" i="16" a="1"/>
  <c r="AV11" i="16" s="1"/>
  <c r="AV19" i="16" a="1"/>
  <c r="AV19" i="16" s="1"/>
  <c r="AV18" i="16" a="1"/>
  <c r="AV18" i="16" s="1"/>
  <c r="AV23" i="16" a="1"/>
  <c r="AV23" i="16" s="1"/>
  <c r="AV22" i="16" a="1"/>
  <c r="AV22" i="16" s="1"/>
  <c r="AV21" i="16" a="1"/>
  <c r="AV21" i="16" s="1"/>
  <c r="AV25" i="16" a="1"/>
  <c r="AV25" i="16" s="1"/>
  <c r="AV28" i="16" a="1"/>
  <c r="AV28" i="16" s="1"/>
  <c r="AV27" i="16" a="1"/>
  <c r="AV27" i="16" s="1"/>
  <c r="AV30" i="16" a="1"/>
  <c r="AV30" i="16" s="1"/>
  <c r="AV36" i="16" a="1"/>
  <c r="AV36" i="16" s="1"/>
  <c r="AV35" i="16" a="1"/>
  <c r="AV35" i="16" s="1"/>
  <c r="AV34" i="16" a="1"/>
  <c r="AV34" i="16" s="1"/>
  <c r="AV33" i="16" a="1"/>
  <c r="AV33" i="16" s="1"/>
  <c r="AV32" i="16" a="1"/>
  <c r="AV32" i="16" s="1"/>
  <c r="AV12" i="14" a="1"/>
  <c r="AV12" i="14" s="1"/>
  <c r="AV11" i="14" a="1"/>
  <c r="AV11" i="14" s="1"/>
  <c r="AV19" i="14" a="1"/>
  <c r="AV19" i="14" s="1"/>
  <c r="AV18" i="14" a="1"/>
  <c r="AV18" i="14" s="1"/>
  <c r="AV23" i="14" a="1"/>
  <c r="AV23" i="14" s="1"/>
  <c r="AV22" i="14" a="1"/>
  <c r="AV22" i="14" s="1"/>
  <c r="AV17" i="14" a="1"/>
  <c r="AV17" i="14" s="1"/>
  <c r="AV16" i="14" a="1"/>
  <c r="AV16" i="14" s="1"/>
  <c r="AV21" i="14" a="1"/>
  <c r="AV21" i="14" s="1"/>
  <c r="AV33" i="14" a="1"/>
  <c r="AV33" i="14" s="1"/>
  <c r="AV32" i="14" a="1"/>
  <c r="AV32" i="14" s="1"/>
  <c r="AV31" i="14" a="1"/>
  <c r="AV31" i="14" s="1"/>
  <c r="AV30" i="14" a="1"/>
  <c r="AV30" i="14" s="1"/>
  <c r="AV29" i="14" a="1"/>
  <c r="AV29" i="14" s="1"/>
  <c r="AV28" i="14" a="1"/>
  <c r="AV28" i="14" s="1"/>
  <c r="AV27" i="14" a="1"/>
  <c r="AV27" i="14" s="1"/>
  <c r="AV26" i="14" a="1"/>
  <c r="AV26" i="14" s="1"/>
  <c r="AV25" i="14" a="1"/>
  <c r="AV25" i="14" s="1"/>
  <c r="AV44" i="14" a="1"/>
  <c r="AV44" i="14" s="1"/>
  <c r="AV43" i="14" a="1"/>
  <c r="AV43" i="14" s="1"/>
  <c r="AV42" i="14" a="1"/>
  <c r="AV42" i="14" s="1"/>
  <c r="AV41" i="14" a="1"/>
  <c r="AV41" i="14" s="1"/>
  <c r="AV40" i="14" a="1"/>
  <c r="AV40" i="14" s="1"/>
  <c r="AV39" i="14" a="1"/>
  <c r="AV39" i="14" s="1"/>
  <c r="AV38" i="14" a="1"/>
  <c r="AV38" i="14" s="1"/>
  <c r="AV37" i="14" a="1"/>
  <c r="AV37" i="14" s="1"/>
  <c r="AV36" i="14" a="1"/>
  <c r="AV36" i="14" s="1"/>
  <c r="AV35" i="14" a="1"/>
  <c r="AV35" i="14" s="1"/>
  <c r="AV53" i="14" a="1"/>
  <c r="AV53" i="14" s="1"/>
  <c r="AV52" i="14" a="1"/>
  <c r="AV52" i="14" s="1"/>
  <c r="AV47" i="14" a="1"/>
  <c r="AV47" i="14" s="1"/>
  <c r="AV46" i="14" a="1"/>
  <c r="AV46" i="14" s="1"/>
  <c r="AV51" i="14" a="1"/>
  <c r="AV51" i="14" s="1"/>
  <c r="AV50" i="14" a="1"/>
  <c r="AV50" i="14" s="1"/>
  <c r="AV49" i="14" a="1"/>
  <c r="AV49" i="14" s="1"/>
  <c r="AV48" i="14" a="1"/>
  <c r="AV48" i="14" s="1"/>
  <c r="AV39" i="3" a="1"/>
  <c r="AV39" i="3" s="1"/>
  <c r="AV68" i="15" a="1"/>
  <c r="AV68" i="15" s="1"/>
  <c r="AV67" i="15" a="1"/>
  <c r="AV67" i="15" s="1"/>
  <c r="AV66" i="15" a="1"/>
  <c r="AV66" i="15" s="1"/>
  <c r="AV65" i="15" a="1"/>
  <c r="AV65" i="15" s="1"/>
  <c r="AV64" i="15" a="1"/>
  <c r="AV64" i="15" s="1"/>
  <c r="AV63" i="15" a="1"/>
  <c r="AV63" i="15" s="1"/>
  <c r="AV62" i="15" a="1"/>
  <c r="AV62" i="15" s="1"/>
  <c r="AV61" i="15" a="1"/>
  <c r="AV61" i="15" s="1"/>
  <c r="AV60" i="15" a="1"/>
  <c r="AV60" i="15" s="1"/>
  <c r="AV59" i="15" a="1"/>
  <c r="AV59" i="15" s="1"/>
  <c r="AV58" i="15" a="1"/>
  <c r="AV58" i="15" s="1"/>
  <c r="AV57" i="15" a="1"/>
  <c r="AV57" i="15" s="1"/>
  <c r="AV56" i="15" a="1"/>
  <c r="AV56" i="15" s="1"/>
  <c r="AV55" i="15" a="1"/>
  <c r="AV55" i="15" s="1"/>
  <c r="AV54" i="15" a="1"/>
  <c r="AV54" i="15" s="1"/>
  <c r="AV53" i="15" a="1"/>
  <c r="AV53" i="15" s="1"/>
  <c r="AV52" i="15" a="1"/>
  <c r="AV52" i="15" s="1"/>
  <c r="AV50" i="15" a="1"/>
  <c r="AV50" i="15" s="1"/>
  <c r="AV49" i="15" a="1"/>
  <c r="AV49" i="15" s="1"/>
  <c r="AV48" i="15" a="1"/>
  <c r="AV48" i="15" s="1"/>
  <c r="AV47" i="15" a="1"/>
  <c r="AV47" i="15" s="1"/>
  <c r="AV46" i="15" a="1"/>
  <c r="AV46" i="15" s="1"/>
  <c r="AV45" i="15" a="1"/>
  <c r="AV45" i="15" s="1"/>
  <c r="AV44" i="15" a="1"/>
  <c r="AV44" i="15" s="1"/>
  <c r="AV43" i="15" a="1"/>
  <c r="AV43" i="15" s="1"/>
  <c r="AV42" i="15" a="1"/>
  <c r="AV42" i="15" s="1"/>
  <c r="AV40" i="15" a="1"/>
  <c r="AV40" i="15" s="1"/>
  <c r="AV39" i="15" a="1"/>
  <c r="AV39" i="15" s="1"/>
  <c r="AV38" i="15" a="1"/>
  <c r="AV38" i="15" s="1"/>
  <c r="AV37" i="15" a="1"/>
  <c r="AV37" i="15" s="1"/>
  <c r="AV36" i="15" a="1"/>
  <c r="AV36" i="15" s="1"/>
  <c r="AV35" i="15" a="1"/>
  <c r="AV35" i="15" s="1"/>
  <c r="AV34" i="15" a="1"/>
  <c r="AV34" i="15" s="1"/>
  <c r="AV33" i="15" a="1"/>
  <c r="AV33" i="15" s="1"/>
  <c r="AV32" i="15" a="1"/>
  <c r="AV32" i="15" s="1"/>
  <c r="AV31" i="15" a="1"/>
  <c r="AV31" i="15" s="1"/>
  <c r="AV30" i="15" a="1"/>
  <c r="AV30" i="15" s="1"/>
  <c r="AV29" i="15" a="1"/>
  <c r="AV29" i="15" s="1"/>
  <c r="AV28" i="15" a="1"/>
  <c r="AV28" i="15" s="1"/>
  <c r="AV26" i="15" a="1"/>
  <c r="AV26" i="15" s="1"/>
  <c r="AV25" i="15" a="1"/>
  <c r="AV25" i="15" s="1"/>
  <c r="AV24" i="15" a="1"/>
  <c r="AV24" i="15" s="1"/>
  <c r="AV22" i="15" a="1"/>
  <c r="AV22" i="15" s="1"/>
  <c r="AV20" i="15" a="1"/>
  <c r="AV20" i="15" s="1"/>
  <c r="AV19" i="15" a="1"/>
  <c r="AV19" i="15" s="1"/>
  <c r="AV18" i="15" a="1"/>
  <c r="AV18" i="15" s="1"/>
  <c r="AV17" i="15" a="1"/>
  <c r="AV17" i="15" s="1"/>
  <c r="AV16" i="15" a="1"/>
  <c r="AV16" i="15" s="1"/>
  <c r="AV14" i="15" a="1"/>
  <c r="AV14" i="15" s="1"/>
  <c r="AV13" i="15" a="1"/>
  <c r="AV13" i="15" s="1"/>
  <c r="AV12" i="15" a="1"/>
  <c r="AV12" i="15" s="1"/>
  <c r="BG44" i="14"/>
  <c r="BF44" i="14"/>
  <c r="BE44" i="14"/>
  <c r="BD44" i="14"/>
  <c r="BC44" i="14"/>
  <c r="BB44" i="14"/>
  <c r="BA44" i="14"/>
  <c r="AZ44" i="14"/>
  <c r="AY44" i="14"/>
  <c r="AX44" i="14"/>
  <c r="AW44" i="14"/>
  <c r="AD44" i="14"/>
  <c r="BG43" i="14"/>
  <c r="BF43" i="14"/>
  <c r="BE43" i="14"/>
  <c r="BD43" i="14"/>
  <c r="BC43" i="14"/>
  <c r="BB43" i="14"/>
  <c r="BA43" i="14"/>
  <c r="AZ43" i="14"/>
  <c r="AY43" i="14"/>
  <c r="AX43" i="14"/>
  <c r="AW43" i="14"/>
  <c r="AD43" i="14"/>
  <c r="BG42" i="14"/>
  <c r="BF42" i="14"/>
  <c r="BE42" i="14"/>
  <c r="BD42" i="14"/>
  <c r="BC42" i="14"/>
  <c r="BB42" i="14"/>
  <c r="BA42" i="14"/>
  <c r="AZ42" i="14"/>
  <c r="AY42" i="14"/>
  <c r="AX42" i="14"/>
  <c r="AW42" i="14"/>
  <c r="AD42" i="14"/>
  <c r="BG41" i="14"/>
  <c r="BF41" i="14"/>
  <c r="BE41" i="14"/>
  <c r="BD41" i="14"/>
  <c r="BC41" i="14"/>
  <c r="BB41" i="14"/>
  <c r="BA41" i="14"/>
  <c r="AZ41" i="14"/>
  <c r="AY41" i="14"/>
  <c r="AX41" i="14"/>
  <c r="AW41" i="14"/>
  <c r="AD41" i="14"/>
  <c r="BG40" i="14"/>
  <c r="BF40" i="14"/>
  <c r="BE40" i="14"/>
  <c r="BD40" i="14"/>
  <c r="BC40" i="14"/>
  <c r="BB40" i="14"/>
  <c r="BA40" i="14"/>
  <c r="AZ40" i="14"/>
  <c r="AY40" i="14"/>
  <c r="AX40" i="14"/>
  <c r="AW40" i="14"/>
  <c r="AD40" i="14"/>
  <c r="BG19" i="14"/>
  <c r="BF19" i="14"/>
  <c r="BE19" i="14"/>
  <c r="BD19" i="14"/>
  <c r="BC19" i="14"/>
  <c r="BB19" i="14"/>
  <c r="BA19" i="14"/>
  <c r="AZ19" i="14"/>
  <c r="AY19" i="14"/>
  <c r="AX19" i="14"/>
  <c r="AW19" i="14"/>
  <c r="AD19" i="14"/>
  <c r="BG18" i="14"/>
  <c r="BF18" i="14"/>
  <c r="BE18" i="14"/>
  <c r="BD18" i="14"/>
  <c r="BC18" i="14"/>
  <c r="BB18" i="14"/>
  <c r="BA18" i="14"/>
  <c r="AZ18" i="14"/>
  <c r="AY18" i="14"/>
  <c r="AX18" i="14"/>
  <c r="AW18" i="14"/>
  <c r="AD18" i="14"/>
  <c r="BG60" i="15"/>
  <c r="BF60" i="15"/>
  <c r="BE60" i="15"/>
  <c r="BD60" i="15"/>
  <c r="BC60" i="15"/>
  <c r="BB60" i="15"/>
  <c r="BA60" i="15"/>
  <c r="AZ60" i="15"/>
  <c r="AY60" i="15"/>
  <c r="AX60" i="15"/>
  <c r="AW60" i="15"/>
  <c r="AD60" i="15"/>
  <c r="BG59" i="15"/>
  <c r="BF59" i="15"/>
  <c r="BE59" i="15"/>
  <c r="BD59" i="15"/>
  <c r="BC59" i="15"/>
  <c r="BB59" i="15"/>
  <c r="BA59" i="15"/>
  <c r="AZ59" i="15"/>
  <c r="AY59" i="15"/>
  <c r="AX59" i="15"/>
  <c r="AW59" i="15"/>
  <c r="AD59" i="15"/>
  <c r="BG58" i="15"/>
  <c r="BF58" i="15"/>
  <c r="BE58" i="15"/>
  <c r="BD58" i="15"/>
  <c r="BC58" i="15"/>
  <c r="BB58" i="15"/>
  <c r="BA58" i="15"/>
  <c r="AZ58" i="15"/>
  <c r="AY58" i="15"/>
  <c r="AX58" i="15"/>
  <c r="AW58" i="15"/>
  <c r="AN58" i="15"/>
  <c r="AD58" i="15"/>
  <c r="BG57" i="15"/>
  <c r="BF57" i="15"/>
  <c r="BE57" i="15"/>
  <c r="BD57" i="15"/>
  <c r="BC57" i="15"/>
  <c r="BB57" i="15"/>
  <c r="BA57" i="15"/>
  <c r="AZ57" i="15"/>
  <c r="AY57" i="15"/>
  <c r="AX57" i="15"/>
  <c r="AW57" i="15"/>
  <c r="AN57" i="15"/>
  <c r="X57" i="15" s="1"/>
  <c r="AD57" i="15"/>
  <c r="BG56" i="15"/>
  <c r="BF56" i="15"/>
  <c r="BE56" i="15"/>
  <c r="BD56" i="15"/>
  <c r="BC56" i="15"/>
  <c r="BB56" i="15"/>
  <c r="BA56" i="15"/>
  <c r="AZ56" i="15"/>
  <c r="AY56" i="15"/>
  <c r="AX56" i="15"/>
  <c r="AW56" i="15"/>
  <c r="AN56" i="15"/>
  <c r="AR56" i="15" s="1"/>
  <c r="AD56" i="15"/>
  <c r="BG55" i="15"/>
  <c r="BF55" i="15"/>
  <c r="BE55" i="15"/>
  <c r="BD55" i="15"/>
  <c r="BC55" i="15"/>
  <c r="BB55" i="15"/>
  <c r="BA55" i="15"/>
  <c r="AZ55" i="15"/>
  <c r="AY55" i="15"/>
  <c r="AX55" i="15"/>
  <c r="AW55" i="15"/>
  <c r="AN55" i="15"/>
  <c r="X55" i="15" s="1"/>
  <c r="AD55" i="15"/>
  <c r="BG50" i="15"/>
  <c r="BF50" i="15"/>
  <c r="BE50" i="15"/>
  <c r="BD50" i="15"/>
  <c r="BC50" i="15"/>
  <c r="BB50" i="15"/>
  <c r="BA50" i="15"/>
  <c r="AZ50" i="15"/>
  <c r="AY50" i="15"/>
  <c r="AX50" i="15"/>
  <c r="AW50" i="15"/>
  <c r="AD50" i="15"/>
  <c r="BG49" i="15"/>
  <c r="BF49" i="15"/>
  <c r="BE49" i="15"/>
  <c r="BD49" i="15"/>
  <c r="BC49" i="15"/>
  <c r="BB49" i="15"/>
  <c r="BA49" i="15"/>
  <c r="AZ49" i="15"/>
  <c r="AY49" i="15"/>
  <c r="AX49" i="15"/>
  <c r="AW49" i="15"/>
  <c r="AD49" i="15"/>
  <c r="BG48" i="15"/>
  <c r="BF48" i="15"/>
  <c r="BE48" i="15"/>
  <c r="BD48" i="15"/>
  <c r="BC48" i="15"/>
  <c r="BB48" i="15"/>
  <c r="BA48" i="15"/>
  <c r="AZ48" i="15"/>
  <c r="AY48" i="15"/>
  <c r="AX48" i="15"/>
  <c r="AW48" i="15"/>
  <c r="AD48" i="15"/>
  <c r="BG47" i="15"/>
  <c r="BF47" i="15"/>
  <c r="BE47" i="15"/>
  <c r="BD47" i="15"/>
  <c r="BC47" i="15"/>
  <c r="BB47" i="15"/>
  <c r="BA47" i="15"/>
  <c r="AZ47" i="15"/>
  <c r="AY47" i="15"/>
  <c r="AX47" i="15"/>
  <c r="AW47" i="15"/>
  <c r="AD47" i="15"/>
  <c r="BG46" i="15"/>
  <c r="BF46" i="15"/>
  <c r="BE46" i="15"/>
  <c r="BD46" i="15"/>
  <c r="BC46" i="15"/>
  <c r="BB46" i="15"/>
  <c r="BA46" i="15"/>
  <c r="AZ46" i="15"/>
  <c r="AY46" i="15"/>
  <c r="AX46" i="15"/>
  <c r="AW46" i="15"/>
  <c r="AD46" i="15"/>
  <c r="BG45" i="15"/>
  <c r="BF45" i="15"/>
  <c r="BE45" i="15"/>
  <c r="BD45" i="15"/>
  <c r="BC45" i="15"/>
  <c r="BB45" i="15"/>
  <c r="BA45" i="15"/>
  <c r="AZ45" i="15"/>
  <c r="AY45" i="15"/>
  <c r="AX45" i="15"/>
  <c r="AW45" i="15"/>
  <c r="AD45" i="15"/>
  <c r="BG44" i="15"/>
  <c r="BF44" i="15"/>
  <c r="BE44" i="15"/>
  <c r="BD44" i="15"/>
  <c r="BC44" i="15"/>
  <c r="BB44" i="15"/>
  <c r="BA44" i="15"/>
  <c r="AZ44" i="15"/>
  <c r="AY44" i="15"/>
  <c r="AX44" i="15"/>
  <c r="AW44" i="15"/>
  <c r="AD44" i="15"/>
  <c r="BG26" i="15"/>
  <c r="BF26" i="15"/>
  <c r="BE26" i="15"/>
  <c r="BD26" i="15"/>
  <c r="BC26" i="15"/>
  <c r="BB26" i="15"/>
  <c r="BA26" i="15"/>
  <c r="AZ26" i="15"/>
  <c r="AY26" i="15"/>
  <c r="AX26" i="15"/>
  <c r="AW26" i="15"/>
  <c r="AD26" i="15"/>
  <c r="BG20" i="15"/>
  <c r="BF20" i="15"/>
  <c r="BE20" i="15"/>
  <c r="BD20" i="15"/>
  <c r="BC20" i="15"/>
  <c r="BB20" i="15"/>
  <c r="BA20" i="15"/>
  <c r="AZ20" i="15"/>
  <c r="AY20" i="15"/>
  <c r="AX20" i="15"/>
  <c r="AW20" i="15"/>
  <c r="AN20" i="15"/>
  <c r="AD20" i="15"/>
  <c r="BG14" i="15"/>
  <c r="BF14" i="15"/>
  <c r="BE14" i="15"/>
  <c r="BD14" i="15"/>
  <c r="BC14" i="15"/>
  <c r="BB14" i="15"/>
  <c r="BA14" i="15"/>
  <c r="AZ14" i="15"/>
  <c r="AY14" i="15"/>
  <c r="AX14" i="15"/>
  <c r="AW14" i="15"/>
  <c r="AN14" i="15"/>
  <c r="AR14" i="15" s="1"/>
  <c r="AD14" i="15"/>
  <c r="AD4" i="5"/>
  <c r="AI56" i="18"/>
  <c r="AH56" i="18"/>
  <c r="S4" i="18" s="1"/>
  <c r="X3" i="18" s="1"/>
  <c r="Y3" i="18" s="1"/>
  <c r="AG56" i="18"/>
  <c r="AF56" i="18"/>
  <c r="S3" i="18" s="1"/>
  <c r="BG55" i="18"/>
  <c r="BF55" i="18"/>
  <c r="BE55" i="18"/>
  <c r="BD55" i="18"/>
  <c r="BC55" i="18"/>
  <c r="BB55" i="18"/>
  <c r="BA55" i="18"/>
  <c r="AZ55" i="18"/>
  <c r="AY55" i="18"/>
  <c r="AX55" i="18"/>
  <c r="AW55" i="18"/>
  <c r="AN55" i="18"/>
  <c r="AJ55" i="18"/>
  <c r="AD55" i="18"/>
  <c r="BG54" i="18"/>
  <c r="BF54" i="18"/>
  <c r="BE54" i="18"/>
  <c r="BD54" i="18"/>
  <c r="BC54" i="18"/>
  <c r="BB54" i="18"/>
  <c r="BA54" i="18"/>
  <c r="AZ54" i="18"/>
  <c r="AY54" i="18"/>
  <c r="AX54" i="18"/>
  <c r="AW54" i="18"/>
  <c r="AN54" i="18"/>
  <c r="AJ54" i="18"/>
  <c r="AD54" i="18"/>
  <c r="BG53" i="18"/>
  <c r="BF53" i="18"/>
  <c r="BE53" i="18"/>
  <c r="BD53" i="18"/>
  <c r="BC53" i="18"/>
  <c r="BB53" i="18"/>
  <c r="BA53" i="18"/>
  <c r="AZ53" i="18"/>
  <c r="AY53" i="18"/>
  <c r="AX53" i="18"/>
  <c r="AW53" i="18"/>
  <c r="AN53" i="18"/>
  <c r="AJ53" i="18"/>
  <c r="AD53" i="18"/>
  <c r="BG52" i="18"/>
  <c r="BF52" i="18"/>
  <c r="BE52" i="18"/>
  <c r="BD52" i="18"/>
  <c r="BC52" i="18"/>
  <c r="BB52" i="18"/>
  <c r="BA52" i="18"/>
  <c r="AZ52" i="18"/>
  <c r="AY52" i="18"/>
  <c r="AX52" i="18"/>
  <c r="AW52" i="18"/>
  <c r="AN52" i="18"/>
  <c r="AJ52" i="18"/>
  <c r="AD52" i="18"/>
  <c r="BG51" i="18"/>
  <c r="BF51" i="18"/>
  <c r="BE51" i="18"/>
  <c r="BD51" i="18"/>
  <c r="BC51" i="18"/>
  <c r="BB51" i="18"/>
  <c r="BA51" i="18"/>
  <c r="AZ51" i="18"/>
  <c r="AY51" i="18"/>
  <c r="AX51" i="18"/>
  <c r="AW51" i="18"/>
  <c r="AN51" i="18"/>
  <c r="AJ51" i="18"/>
  <c r="AD51" i="18"/>
  <c r="BG50" i="18"/>
  <c r="BF50" i="18"/>
  <c r="BE50" i="18"/>
  <c r="BD50" i="18"/>
  <c r="BC50" i="18"/>
  <c r="BB50" i="18"/>
  <c r="BA50" i="18"/>
  <c r="AZ50" i="18"/>
  <c r="AY50" i="18"/>
  <c r="AX50" i="18"/>
  <c r="AW50" i="18"/>
  <c r="AN50" i="18"/>
  <c r="AJ50" i="18"/>
  <c r="AD50" i="18"/>
  <c r="BG49" i="18"/>
  <c r="BF49" i="18"/>
  <c r="BE49" i="18"/>
  <c r="BD49" i="18"/>
  <c r="BC49" i="18"/>
  <c r="BB49" i="18"/>
  <c r="BA49" i="18"/>
  <c r="AZ49" i="18"/>
  <c r="AY49" i="18"/>
  <c r="AX49" i="18"/>
  <c r="AW49" i="18"/>
  <c r="AN49" i="18"/>
  <c r="AJ49" i="18"/>
  <c r="AD49" i="18"/>
  <c r="BG48" i="18"/>
  <c r="BF48" i="18"/>
  <c r="BE48" i="18"/>
  <c r="BD48" i="18"/>
  <c r="BC48" i="18"/>
  <c r="BB48" i="18"/>
  <c r="BA48" i="18"/>
  <c r="AZ48" i="18"/>
  <c r="AY48" i="18"/>
  <c r="AX48" i="18"/>
  <c r="AW48" i="18"/>
  <c r="AN48" i="18"/>
  <c r="X48" i="18" s="1"/>
  <c r="AJ48" i="18"/>
  <c r="AD48" i="18"/>
  <c r="BG47" i="18"/>
  <c r="BF47" i="18"/>
  <c r="BE47" i="18"/>
  <c r="BD47" i="18"/>
  <c r="BC47" i="18"/>
  <c r="BB47" i="18"/>
  <c r="BA47" i="18"/>
  <c r="AZ47" i="18"/>
  <c r="AY47" i="18"/>
  <c r="AX47" i="18"/>
  <c r="AW47" i="18"/>
  <c r="AN47" i="18"/>
  <c r="AJ47" i="18"/>
  <c r="AD47" i="18"/>
  <c r="BG46" i="18"/>
  <c r="BF46" i="18"/>
  <c r="BE46" i="18"/>
  <c r="BD46" i="18"/>
  <c r="BC46" i="18"/>
  <c r="BB46" i="18"/>
  <c r="BA46" i="18"/>
  <c r="AZ46" i="18"/>
  <c r="AY46" i="18"/>
  <c r="AX46" i="18"/>
  <c r="AW46" i="18"/>
  <c r="AN46" i="18"/>
  <c r="X46" i="18" s="1"/>
  <c r="AJ46" i="18"/>
  <c r="AD46" i="18"/>
  <c r="BG45" i="18"/>
  <c r="BF45" i="18"/>
  <c r="BE45" i="18"/>
  <c r="BD45" i="18"/>
  <c r="BC45" i="18"/>
  <c r="BB45" i="18"/>
  <c r="BA45" i="18"/>
  <c r="AZ45" i="18"/>
  <c r="AY45" i="18"/>
  <c r="AX45" i="18"/>
  <c r="AW45" i="18"/>
  <c r="AN45" i="18"/>
  <c r="X45" i="18" s="1"/>
  <c r="AJ45" i="18"/>
  <c r="AD45" i="18"/>
  <c r="BG44" i="18"/>
  <c r="BF44" i="18"/>
  <c r="BE44" i="18"/>
  <c r="BD44" i="18"/>
  <c r="BC44" i="18"/>
  <c r="BB44" i="18"/>
  <c r="BA44" i="18"/>
  <c r="AZ44" i="18"/>
  <c r="AY44" i="18"/>
  <c r="AX44" i="18"/>
  <c r="AW44" i="18"/>
  <c r="AN44" i="18"/>
  <c r="X44" i="18" s="1"/>
  <c r="AJ44" i="18"/>
  <c r="AD44" i="18"/>
  <c r="BG42" i="18"/>
  <c r="BF42" i="18"/>
  <c r="BE42" i="18"/>
  <c r="BD42" i="18"/>
  <c r="BC42" i="18"/>
  <c r="BB42" i="18"/>
  <c r="BA42" i="18"/>
  <c r="AZ42" i="18"/>
  <c r="AY42" i="18"/>
  <c r="AX42" i="18"/>
  <c r="AW42" i="18"/>
  <c r="AN42" i="18"/>
  <c r="AR42" i="18" s="1"/>
  <c r="AJ42" i="18"/>
  <c r="AD42" i="18"/>
  <c r="X42" i="18"/>
  <c r="BG41" i="18"/>
  <c r="BF41" i="18"/>
  <c r="BE41" i="18"/>
  <c r="BD41" i="18"/>
  <c r="BC41" i="18"/>
  <c r="BB41" i="18"/>
  <c r="BA41" i="18"/>
  <c r="AZ41" i="18"/>
  <c r="AY41" i="18"/>
  <c r="AX41" i="18"/>
  <c r="AW41" i="18"/>
  <c r="AN41" i="18"/>
  <c r="AJ41" i="18"/>
  <c r="AD41" i="18"/>
  <c r="BG39" i="18"/>
  <c r="BF39" i="18"/>
  <c r="BE39" i="18"/>
  <c r="BD39" i="18"/>
  <c r="BC39" i="18"/>
  <c r="BB39" i="18"/>
  <c r="BA39" i="18"/>
  <c r="AZ39" i="18"/>
  <c r="AY39" i="18"/>
  <c r="AX39" i="18"/>
  <c r="AW39" i="18"/>
  <c r="AN39" i="18"/>
  <c r="X39" i="18" s="1"/>
  <c r="AJ39" i="18"/>
  <c r="AD39" i="18"/>
  <c r="BG38" i="18"/>
  <c r="BF38" i="18"/>
  <c r="BE38" i="18"/>
  <c r="BD38" i="18"/>
  <c r="BC38" i="18"/>
  <c r="BB38" i="18"/>
  <c r="BA38" i="18"/>
  <c r="AZ38" i="18"/>
  <c r="AY38" i="18"/>
  <c r="AX38" i="18"/>
  <c r="AW38" i="18"/>
  <c r="AN38" i="18"/>
  <c r="AJ38" i="18"/>
  <c r="AD38" i="18"/>
  <c r="X38" i="18"/>
  <c r="BG37" i="18"/>
  <c r="BF37" i="18"/>
  <c r="BE37" i="18"/>
  <c r="BD37" i="18"/>
  <c r="BC37" i="18"/>
  <c r="BB37" i="18"/>
  <c r="BA37" i="18"/>
  <c r="AZ37" i="18"/>
  <c r="AY37" i="18"/>
  <c r="AX37" i="18"/>
  <c r="AW37" i="18"/>
  <c r="AN37" i="18"/>
  <c r="X37" i="18" s="1"/>
  <c r="AJ37" i="18"/>
  <c r="AD37" i="18"/>
  <c r="BG36" i="18"/>
  <c r="BF36" i="18"/>
  <c r="BE36" i="18"/>
  <c r="BD36" i="18"/>
  <c r="BC36" i="18"/>
  <c r="BB36" i="18"/>
  <c r="BA36" i="18"/>
  <c r="AZ36" i="18"/>
  <c r="AY36" i="18"/>
  <c r="AX36" i="18"/>
  <c r="AW36" i="18"/>
  <c r="AN36" i="18"/>
  <c r="X36" i="18" s="1"/>
  <c r="AJ36" i="18"/>
  <c r="AD36" i="18"/>
  <c r="BG35" i="18"/>
  <c r="BF35" i="18"/>
  <c r="BE35" i="18"/>
  <c r="BD35" i="18"/>
  <c r="BC35" i="18"/>
  <c r="BB35" i="18"/>
  <c r="BA35" i="18"/>
  <c r="AZ35" i="18"/>
  <c r="AY35" i="18"/>
  <c r="AX35" i="18"/>
  <c r="AW35" i="18"/>
  <c r="AN35" i="18"/>
  <c r="X35" i="18" s="1"/>
  <c r="AJ35" i="18"/>
  <c r="AD35" i="18"/>
  <c r="BG34" i="18"/>
  <c r="BF34" i="18"/>
  <c r="BE34" i="18"/>
  <c r="BD34" i="18"/>
  <c r="BC34" i="18"/>
  <c r="BB34" i="18"/>
  <c r="BA34" i="18"/>
  <c r="AZ34" i="18"/>
  <c r="AY34" i="18"/>
  <c r="AX34" i="18"/>
  <c r="AW34" i="18"/>
  <c r="AN34" i="18"/>
  <c r="X34" i="18" s="1"/>
  <c r="AJ34" i="18"/>
  <c r="AD34" i="18"/>
  <c r="BG33" i="18"/>
  <c r="BF33" i="18"/>
  <c r="BE33" i="18"/>
  <c r="BD33" i="18"/>
  <c r="BC33" i="18"/>
  <c r="BB33" i="18"/>
  <c r="BA33" i="18"/>
  <c r="AZ33" i="18"/>
  <c r="AY33" i="18"/>
  <c r="AX33" i="18"/>
  <c r="AW33" i="18"/>
  <c r="AN33" i="18"/>
  <c r="X33" i="18" s="1"/>
  <c r="AJ33" i="18"/>
  <c r="AD33" i="18"/>
  <c r="BG32" i="18"/>
  <c r="BF32" i="18"/>
  <c r="BE32" i="18"/>
  <c r="BD32" i="18"/>
  <c r="BC32" i="18"/>
  <c r="BB32" i="18"/>
  <c r="BA32" i="18"/>
  <c r="AZ32" i="18"/>
  <c r="AY32" i="18"/>
  <c r="AX32" i="18"/>
  <c r="AW32" i="18"/>
  <c r="AN32" i="18"/>
  <c r="AJ32" i="18"/>
  <c r="AD32" i="18"/>
  <c r="BG31" i="18"/>
  <c r="BF31" i="18"/>
  <c r="BE31" i="18"/>
  <c r="BD31" i="18"/>
  <c r="BC31" i="18"/>
  <c r="BB31" i="18"/>
  <c r="BA31" i="18"/>
  <c r="AZ31" i="18"/>
  <c r="AY31" i="18"/>
  <c r="AX31" i="18"/>
  <c r="AW31" i="18"/>
  <c r="AN31" i="18"/>
  <c r="X31" i="18" s="1"/>
  <c r="AJ31" i="18"/>
  <c r="AD31" i="18"/>
  <c r="BG30" i="18"/>
  <c r="BF30" i="18"/>
  <c r="BE30" i="18"/>
  <c r="BD30" i="18"/>
  <c r="BC30" i="18"/>
  <c r="BB30" i="18"/>
  <c r="BA30" i="18"/>
  <c r="AZ30" i="18"/>
  <c r="AY30" i="18"/>
  <c r="AX30" i="18"/>
  <c r="AW30" i="18"/>
  <c r="AN30" i="18"/>
  <c r="X30" i="18" s="1"/>
  <c r="AJ30" i="18"/>
  <c r="AD30" i="18"/>
  <c r="BG29" i="18"/>
  <c r="BF29" i="18"/>
  <c r="BE29" i="18"/>
  <c r="BD29" i="18"/>
  <c r="BC29" i="18"/>
  <c r="BB29" i="18"/>
  <c r="BA29" i="18"/>
  <c r="AZ29" i="18"/>
  <c r="AY29" i="18"/>
  <c r="AX29" i="18"/>
  <c r="AW29" i="18"/>
  <c r="AN29" i="18"/>
  <c r="AJ29" i="18"/>
  <c r="AD29" i="18"/>
  <c r="X29" i="18"/>
  <c r="BG28" i="18"/>
  <c r="BF28" i="18"/>
  <c r="BE28" i="18"/>
  <c r="BD28" i="18"/>
  <c r="BC28" i="18"/>
  <c r="BB28" i="18"/>
  <c r="BA28" i="18"/>
  <c r="AZ28" i="18"/>
  <c r="AY28" i="18"/>
  <c r="AX28" i="18"/>
  <c r="AW28" i="18"/>
  <c r="AN28" i="18"/>
  <c r="X28" i="18" s="1"/>
  <c r="AJ28" i="18"/>
  <c r="AD28" i="18"/>
  <c r="BG27" i="18"/>
  <c r="BF27" i="18"/>
  <c r="BE27" i="18"/>
  <c r="BD27" i="18"/>
  <c r="BC27" i="18"/>
  <c r="BB27" i="18"/>
  <c r="BA27" i="18"/>
  <c r="AZ27" i="18"/>
  <c r="AY27" i="18"/>
  <c r="AX27" i="18"/>
  <c r="AW27" i="18"/>
  <c r="AN27" i="18"/>
  <c r="X27" i="18" s="1"/>
  <c r="AJ27" i="18"/>
  <c r="AD27" i="18"/>
  <c r="BG25" i="18"/>
  <c r="BF25" i="18"/>
  <c r="BE25" i="18"/>
  <c r="BD25" i="18"/>
  <c r="BC25" i="18"/>
  <c r="BB25" i="18"/>
  <c r="BA25" i="18"/>
  <c r="AZ25" i="18"/>
  <c r="AY25" i="18"/>
  <c r="AX25" i="18"/>
  <c r="AW25" i="18"/>
  <c r="AN25" i="18"/>
  <c r="X25" i="18" s="1"/>
  <c r="AJ25" i="18"/>
  <c r="AD25" i="18"/>
  <c r="BG24" i="18"/>
  <c r="BF24" i="18"/>
  <c r="BE24" i="18"/>
  <c r="BD24" i="18"/>
  <c r="BC24" i="18"/>
  <c r="BB24" i="18"/>
  <c r="BA24" i="18"/>
  <c r="AZ24" i="18"/>
  <c r="AY24" i="18"/>
  <c r="AX24" i="18"/>
  <c r="AW24" i="18"/>
  <c r="AN24" i="18"/>
  <c r="X24" i="18" s="1"/>
  <c r="AJ24" i="18"/>
  <c r="AD24" i="18"/>
  <c r="BG23" i="18"/>
  <c r="BF23" i="18"/>
  <c r="BE23" i="18"/>
  <c r="BD23" i="18"/>
  <c r="BC23" i="18"/>
  <c r="BB23" i="18"/>
  <c r="BA23" i="18"/>
  <c r="AZ23" i="18"/>
  <c r="AY23" i="18"/>
  <c r="AX23" i="18"/>
  <c r="AW23" i="18"/>
  <c r="AN23" i="18"/>
  <c r="X23" i="18" s="1"/>
  <c r="AJ23" i="18"/>
  <c r="AD23" i="18"/>
  <c r="BG22" i="18"/>
  <c r="BF22" i="18"/>
  <c r="BE22" i="18"/>
  <c r="BD22" i="18"/>
  <c r="BC22" i="18"/>
  <c r="BB22" i="18"/>
  <c r="BA22" i="18"/>
  <c r="AZ22" i="18"/>
  <c r="AY22" i="18"/>
  <c r="AX22" i="18"/>
  <c r="AW22" i="18"/>
  <c r="AN22" i="18"/>
  <c r="X22" i="18" s="1"/>
  <c r="AJ22" i="18"/>
  <c r="AD22" i="18"/>
  <c r="BG20" i="18"/>
  <c r="BF20" i="18"/>
  <c r="BE20" i="18"/>
  <c r="BD20" i="18"/>
  <c r="BC20" i="18"/>
  <c r="BB20" i="18"/>
  <c r="BA20" i="18"/>
  <c r="AZ20" i="18"/>
  <c r="AY20" i="18"/>
  <c r="AX20" i="18"/>
  <c r="AW20" i="18"/>
  <c r="AN20" i="18"/>
  <c r="X20" i="18" s="1"/>
  <c r="AJ20" i="18"/>
  <c r="AD20" i="18"/>
  <c r="BG19" i="18"/>
  <c r="BF19" i="18"/>
  <c r="BE19" i="18"/>
  <c r="BD19" i="18"/>
  <c r="BC19" i="18"/>
  <c r="BB19" i="18"/>
  <c r="BA19" i="18"/>
  <c r="AZ19" i="18"/>
  <c r="AY19" i="18"/>
  <c r="AX19" i="18"/>
  <c r="AW19" i="18"/>
  <c r="AN19" i="18"/>
  <c r="AJ19" i="18"/>
  <c r="AD19" i="18"/>
  <c r="BG18" i="18"/>
  <c r="BF18" i="18"/>
  <c r="BE18" i="18"/>
  <c r="BD18" i="18"/>
  <c r="BC18" i="18"/>
  <c r="BB18" i="18"/>
  <c r="BA18" i="18"/>
  <c r="AZ18" i="18"/>
  <c r="AY18" i="18"/>
  <c r="AX18" i="18"/>
  <c r="AW18" i="18"/>
  <c r="AN18" i="18"/>
  <c r="AJ18" i="18"/>
  <c r="AD18" i="18"/>
  <c r="X18" i="18"/>
  <c r="BG17" i="18"/>
  <c r="BF17" i="18"/>
  <c r="BE17" i="18"/>
  <c r="BD17" i="18"/>
  <c r="BC17" i="18"/>
  <c r="BB17" i="18"/>
  <c r="BA17" i="18"/>
  <c r="AZ17" i="18"/>
  <c r="AY17" i="18"/>
  <c r="AX17" i="18"/>
  <c r="AW17" i="18"/>
  <c r="AN17" i="18"/>
  <c r="X17" i="18" s="1"/>
  <c r="AJ17" i="18"/>
  <c r="AD17" i="18"/>
  <c r="BG16" i="18"/>
  <c r="BF16" i="18"/>
  <c r="BE16" i="18"/>
  <c r="BD16" i="18"/>
  <c r="BC16" i="18"/>
  <c r="BB16" i="18"/>
  <c r="BA16" i="18"/>
  <c r="AZ16" i="18"/>
  <c r="AY16" i="18"/>
  <c r="AX16" i="18"/>
  <c r="AW16" i="18"/>
  <c r="AN16" i="18"/>
  <c r="AJ16" i="18"/>
  <c r="AD16" i="18"/>
  <c r="BG13" i="18"/>
  <c r="BF13" i="18"/>
  <c r="BE13" i="18"/>
  <c r="BD13" i="18"/>
  <c r="BC13" i="18"/>
  <c r="BB13" i="18"/>
  <c r="BA13" i="18"/>
  <c r="AZ13" i="18"/>
  <c r="AY13" i="18"/>
  <c r="AX13" i="18"/>
  <c r="AW13" i="18"/>
  <c r="AN13" i="18"/>
  <c r="X13" i="18" s="1"/>
  <c r="AJ13" i="18"/>
  <c r="AD13" i="18"/>
  <c r="BG12" i="18"/>
  <c r="BF12" i="18"/>
  <c r="BE12" i="18"/>
  <c r="BD12" i="18"/>
  <c r="BC12" i="18"/>
  <c r="BB12" i="18"/>
  <c r="BA12" i="18"/>
  <c r="AZ12" i="18"/>
  <c r="AY12" i="18"/>
  <c r="AX12" i="18"/>
  <c r="AW12" i="18"/>
  <c r="AN12" i="18"/>
  <c r="X12" i="18" s="1"/>
  <c r="AJ12" i="18"/>
  <c r="AD12" i="18"/>
  <c r="BG11" i="18"/>
  <c r="BF11" i="18"/>
  <c r="BE11" i="18"/>
  <c r="BD11" i="18"/>
  <c r="BC11" i="18"/>
  <c r="BB11" i="18"/>
  <c r="BA11" i="18"/>
  <c r="AZ11" i="18"/>
  <c r="AY11" i="18"/>
  <c r="AX11" i="18"/>
  <c r="AW11" i="18"/>
  <c r="AN11" i="18"/>
  <c r="X11" i="18" s="1"/>
  <c r="AJ11" i="18"/>
  <c r="AD11" i="18"/>
  <c r="AD4" i="18"/>
  <c r="X2" i="18"/>
  <c r="AN38" i="6"/>
  <c r="X38" i="6" s="1"/>
  <c r="AD38" i="6"/>
  <c r="AN37" i="6"/>
  <c r="X37" i="6" s="1"/>
  <c r="AD37" i="6"/>
  <c r="AN36" i="6"/>
  <c r="X36" i="6" s="1"/>
  <c r="AD36" i="6"/>
  <c r="AN35" i="6"/>
  <c r="X35" i="6" s="1"/>
  <c r="AD35" i="6"/>
  <c r="AN34" i="6"/>
  <c r="X34" i="6" s="1"/>
  <c r="AD34" i="6"/>
  <c r="AN33" i="6"/>
  <c r="AD33" i="6"/>
  <c r="AN32" i="6"/>
  <c r="X32" i="6" s="1"/>
  <c r="AD32" i="6"/>
  <c r="AN30" i="6"/>
  <c r="X30" i="6" s="1"/>
  <c r="AD30" i="6"/>
  <c r="AN29" i="6"/>
  <c r="X29" i="6" s="1"/>
  <c r="AD29" i="6"/>
  <c r="AN27" i="6"/>
  <c r="X27" i="6" s="1"/>
  <c r="AD27" i="6"/>
  <c r="AN25" i="6"/>
  <c r="X25" i="6" s="1"/>
  <c r="AD25" i="6"/>
  <c r="AN24" i="6"/>
  <c r="X24" i="6" s="1"/>
  <c r="AD24" i="6"/>
  <c r="AD23" i="6"/>
  <c r="AN22" i="6"/>
  <c r="X22" i="6" s="1"/>
  <c r="AD22" i="6"/>
  <c r="AD20" i="6"/>
  <c r="AD19" i="6"/>
  <c r="AN18" i="6"/>
  <c r="X18" i="6" s="1"/>
  <c r="AD18" i="6"/>
  <c r="AN17" i="6"/>
  <c r="X17" i="6" s="1"/>
  <c r="AD17" i="6"/>
  <c r="AN16" i="6"/>
  <c r="X16" i="6" s="1"/>
  <c r="AD16" i="6"/>
  <c r="AN14" i="6"/>
  <c r="X14" i="6" s="1"/>
  <c r="AD14" i="6"/>
  <c r="AN12" i="6"/>
  <c r="X12" i="6" s="1"/>
  <c r="AD12" i="6"/>
  <c r="AN11" i="6"/>
  <c r="X11" i="6" s="1"/>
  <c r="AD11" i="6"/>
  <c r="AN39" i="12"/>
  <c r="X39" i="12" s="1"/>
  <c r="AD39" i="12"/>
  <c r="AN38" i="12"/>
  <c r="X38" i="12" s="1"/>
  <c r="AD38" i="12"/>
  <c r="AN37" i="12"/>
  <c r="X37" i="12" s="1"/>
  <c r="AD37" i="12"/>
  <c r="AN36" i="12"/>
  <c r="X36" i="12" s="1"/>
  <c r="AD36" i="12"/>
  <c r="AN35" i="12"/>
  <c r="X35" i="12" s="1"/>
  <c r="AD35" i="12"/>
  <c r="AN34" i="12"/>
  <c r="X34" i="12" s="1"/>
  <c r="AD34" i="12"/>
  <c r="AN33" i="12"/>
  <c r="X33" i="12" s="1"/>
  <c r="AD33" i="12"/>
  <c r="AN32" i="12"/>
  <c r="X32" i="12" s="1"/>
  <c r="AD32" i="12"/>
  <c r="AN31" i="12"/>
  <c r="X31" i="12" s="1"/>
  <c r="AD31" i="12"/>
  <c r="AN29" i="12"/>
  <c r="X29" i="12" s="1"/>
  <c r="AD29" i="12"/>
  <c r="AN28" i="12"/>
  <c r="X28" i="12" s="1"/>
  <c r="AD28" i="12"/>
  <c r="AN26" i="12"/>
  <c r="X26" i="12" s="1"/>
  <c r="AD26" i="12"/>
  <c r="AN25" i="12"/>
  <c r="X25" i="12" s="1"/>
  <c r="AD25" i="12"/>
  <c r="AN23" i="12"/>
  <c r="X23" i="12" s="1"/>
  <c r="AD23" i="12"/>
  <c r="AN22" i="12"/>
  <c r="X22" i="12" s="1"/>
  <c r="AD22" i="12"/>
  <c r="AN20" i="12"/>
  <c r="AD20" i="12"/>
  <c r="AN19" i="12"/>
  <c r="AD19" i="12"/>
  <c r="AN18" i="12"/>
  <c r="X18" i="12" s="1"/>
  <c r="AD18" i="12"/>
  <c r="AN17" i="12"/>
  <c r="X17" i="12" s="1"/>
  <c r="AD17" i="12"/>
  <c r="AN13" i="12"/>
  <c r="AD13" i="12"/>
  <c r="AN12" i="12"/>
  <c r="X12" i="12" s="1"/>
  <c r="AD12" i="12"/>
  <c r="AN11" i="12"/>
  <c r="X11" i="12" s="1"/>
  <c r="AD11" i="12"/>
  <c r="AN18" i="8"/>
  <c r="X18" i="8" s="1"/>
  <c r="AD18" i="8"/>
  <c r="AN17" i="8"/>
  <c r="X17" i="8" s="1"/>
  <c r="AD17" i="8"/>
  <c r="AN16" i="8"/>
  <c r="X16" i="8" s="1"/>
  <c r="AD16" i="8"/>
  <c r="AN15" i="8"/>
  <c r="X15" i="8" s="1"/>
  <c r="AD15" i="8"/>
  <c r="AN12" i="8"/>
  <c r="X12" i="8" s="1"/>
  <c r="AD12" i="8"/>
  <c r="AN11" i="8"/>
  <c r="X11" i="8" s="1"/>
  <c r="AD11" i="8"/>
  <c r="AN40" i="11"/>
  <c r="X40" i="11" s="1"/>
  <c r="AD40" i="11"/>
  <c r="AN39" i="11"/>
  <c r="X39" i="11" s="1"/>
  <c r="AD39" i="11"/>
  <c r="AN38" i="11"/>
  <c r="X38" i="11" s="1"/>
  <c r="AD38" i="11"/>
  <c r="AN37" i="11"/>
  <c r="X37" i="11" s="1"/>
  <c r="AD37" i="11"/>
  <c r="AN36" i="11"/>
  <c r="X36" i="11" s="1"/>
  <c r="AD36" i="11"/>
  <c r="AN35" i="11"/>
  <c r="X35" i="11" s="1"/>
  <c r="AD35" i="11"/>
  <c r="AN34" i="11"/>
  <c r="X34" i="11" s="1"/>
  <c r="AD34" i="11"/>
  <c r="AN33" i="11"/>
  <c r="X33" i="11" s="1"/>
  <c r="AD33" i="11"/>
  <c r="AN32" i="11"/>
  <c r="X32" i="11" s="1"/>
  <c r="AD32" i="11"/>
  <c r="AN31" i="11"/>
  <c r="X31" i="11" s="1"/>
  <c r="AD31" i="11"/>
  <c r="AN29" i="11"/>
  <c r="AD29" i="11"/>
  <c r="AN28" i="11"/>
  <c r="X28" i="11" s="1"/>
  <c r="AD28" i="11"/>
  <c r="AN26" i="11"/>
  <c r="X26" i="11" s="1"/>
  <c r="AD26" i="11"/>
  <c r="AN25" i="11"/>
  <c r="X25" i="11" s="1"/>
  <c r="AD25" i="11"/>
  <c r="AN23" i="11"/>
  <c r="X23" i="11" s="1"/>
  <c r="AD23" i="11"/>
  <c r="AN22" i="11"/>
  <c r="X22" i="11" s="1"/>
  <c r="AD22" i="11"/>
  <c r="AN21" i="11"/>
  <c r="X21" i="11" s="1"/>
  <c r="AD21" i="11"/>
  <c r="AN19" i="11"/>
  <c r="X19" i="11" s="1"/>
  <c r="AD19" i="11"/>
  <c r="AN18" i="11"/>
  <c r="X18" i="11" s="1"/>
  <c r="AD18" i="11"/>
  <c r="AN17" i="11"/>
  <c r="X17" i="11" s="1"/>
  <c r="AD17" i="11"/>
  <c r="AN16" i="11"/>
  <c r="X16" i="11" s="1"/>
  <c r="AD16" i="11"/>
  <c r="AN14" i="11"/>
  <c r="X14" i="11" s="1"/>
  <c r="AD14" i="11"/>
  <c r="AN12" i="11"/>
  <c r="AD12" i="11"/>
  <c r="X12" i="11"/>
  <c r="AN11" i="11"/>
  <c r="AD11" i="11"/>
  <c r="X11" i="11"/>
  <c r="AN40" i="10"/>
  <c r="X40" i="10" s="1"/>
  <c r="AD40" i="10"/>
  <c r="AN39" i="10"/>
  <c r="X39" i="10" s="1"/>
  <c r="AD39" i="10"/>
  <c r="AN38" i="10"/>
  <c r="X38" i="10" s="1"/>
  <c r="AD38" i="10"/>
  <c r="AN37" i="10"/>
  <c r="X37" i="10" s="1"/>
  <c r="AD37" i="10"/>
  <c r="AN36" i="10"/>
  <c r="X36" i="10" s="1"/>
  <c r="AD36" i="10"/>
  <c r="AN35" i="10"/>
  <c r="X35" i="10" s="1"/>
  <c r="AD35" i="10"/>
  <c r="AN34" i="10"/>
  <c r="AD34" i="10"/>
  <c r="X34" i="10"/>
  <c r="AN33" i="10"/>
  <c r="X33" i="10" s="1"/>
  <c r="AD33" i="10"/>
  <c r="AN32" i="10"/>
  <c r="X32" i="10" s="1"/>
  <c r="AD32" i="10"/>
  <c r="AN31" i="10"/>
  <c r="X31" i="10" s="1"/>
  <c r="AD31" i="10"/>
  <c r="AN29" i="10"/>
  <c r="X29" i="10" s="1"/>
  <c r="AD29" i="10"/>
  <c r="AN28" i="10"/>
  <c r="X28" i="10" s="1"/>
  <c r="AD28" i="10"/>
  <c r="AN26" i="10"/>
  <c r="X26" i="10" s="1"/>
  <c r="AD26" i="10"/>
  <c r="AN25" i="10"/>
  <c r="X25" i="10" s="1"/>
  <c r="AD25" i="10"/>
  <c r="AN23" i="10"/>
  <c r="X23" i="10" s="1"/>
  <c r="AD23" i="10"/>
  <c r="AN22" i="10"/>
  <c r="X22" i="10" s="1"/>
  <c r="AD22" i="10"/>
  <c r="AN21" i="10"/>
  <c r="X21" i="10" s="1"/>
  <c r="AD21" i="10"/>
  <c r="AN19" i="10"/>
  <c r="X19" i="10" s="1"/>
  <c r="AD19" i="10"/>
  <c r="AN18" i="10"/>
  <c r="X18" i="10" s="1"/>
  <c r="AD18" i="10"/>
  <c r="AN17" i="10"/>
  <c r="X17" i="10" s="1"/>
  <c r="AD17" i="10"/>
  <c r="AN16" i="10"/>
  <c r="X16" i="10" s="1"/>
  <c r="AD16" i="10"/>
  <c r="AN14" i="10"/>
  <c r="X14" i="10" s="1"/>
  <c r="AD14" i="10"/>
  <c r="AN12" i="10"/>
  <c r="X12" i="10" s="1"/>
  <c r="AD12" i="10"/>
  <c r="AN11" i="10"/>
  <c r="X11" i="10" s="1"/>
  <c r="AD11" i="10"/>
  <c r="AN59" i="9"/>
  <c r="AD59" i="9"/>
  <c r="AN58" i="9"/>
  <c r="AD58" i="9"/>
  <c r="AN57" i="9"/>
  <c r="X57" i="9" s="1"/>
  <c r="AD57" i="9"/>
  <c r="AN56" i="9"/>
  <c r="X56" i="9" s="1"/>
  <c r="AD56" i="9"/>
  <c r="AN55" i="9"/>
  <c r="X55" i="9" s="1"/>
  <c r="AD55" i="9"/>
  <c r="AN54" i="9"/>
  <c r="X54" i="9" s="1"/>
  <c r="AD54" i="9"/>
  <c r="AN53" i="9"/>
  <c r="X53" i="9" s="1"/>
  <c r="AD53" i="9"/>
  <c r="AN52" i="9"/>
  <c r="X52" i="9" s="1"/>
  <c r="AD52" i="9"/>
  <c r="AN51" i="9"/>
  <c r="X51" i="9" s="1"/>
  <c r="AD51" i="9"/>
  <c r="AN50" i="9"/>
  <c r="X50" i="9" s="1"/>
  <c r="AD50" i="9"/>
  <c r="AN49" i="9"/>
  <c r="X49" i="9" s="1"/>
  <c r="AD49" i="9"/>
  <c r="AN38" i="9"/>
  <c r="X38" i="9" s="1"/>
  <c r="AD38" i="9"/>
  <c r="AN37" i="9"/>
  <c r="X37" i="9" s="1"/>
  <c r="AD37" i="9"/>
  <c r="AN41" i="9"/>
  <c r="X41" i="9" s="1"/>
  <c r="AD41" i="9"/>
  <c r="AN40" i="9"/>
  <c r="X40" i="9" s="1"/>
  <c r="AD40" i="9"/>
  <c r="AN39" i="9"/>
  <c r="X39" i="9" s="1"/>
  <c r="AD39" i="9"/>
  <c r="AN35" i="9"/>
  <c r="X35" i="9" s="1"/>
  <c r="AD35" i="9"/>
  <c r="AN34" i="9"/>
  <c r="X34" i="9" s="1"/>
  <c r="AD34" i="9"/>
  <c r="AN33" i="9"/>
  <c r="AD33" i="9"/>
  <c r="AN32" i="9"/>
  <c r="X32" i="9" s="1"/>
  <c r="AD32" i="9"/>
  <c r="AN31" i="9"/>
  <c r="X31" i="9" s="1"/>
  <c r="AD31" i="9"/>
  <c r="AN30" i="9"/>
  <c r="X30" i="9" s="1"/>
  <c r="AD30" i="9"/>
  <c r="AN29" i="9"/>
  <c r="X29" i="9" s="1"/>
  <c r="AD29" i="9"/>
  <c r="AN28" i="9"/>
  <c r="X28" i="9" s="1"/>
  <c r="AD28" i="9"/>
  <c r="AN27" i="9"/>
  <c r="X27" i="9" s="1"/>
  <c r="AD27" i="9"/>
  <c r="AN25" i="9"/>
  <c r="X25" i="9" s="1"/>
  <c r="AD25" i="9"/>
  <c r="AN24" i="9"/>
  <c r="X24" i="9" s="1"/>
  <c r="AD24" i="9"/>
  <c r="AN23" i="9"/>
  <c r="X23" i="9" s="1"/>
  <c r="AD23" i="9"/>
  <c r="AN20" i="9"/>
  <c r="X20" i="9" s="1"/>
  <c r="AD20" i="9"/>
  <c r="AN19" i="9"/>
  <c r="X19" i="9" s="1"/>
  <c r="AD19" i="9"/>
  <c r="AN18" i="9"/>
  <c r="X18" i="9" s="1"/>
  <c r="AD18" i="9"/>
  <c r="AN17" i="9"/>
  <c r="X17" i="9" s="1"/>
  <c r="AD17" i="9"/>
  <c r="AN16" i="9"/>
  <c r="X16" i="9" s="1"/>
  <c r="AD16" i="9"/>
  <c r="AN14" i="9"/>
  <c r="X14" i="9" s="1"/>
  <c r="AD14" i="9"/>
  <c r="AN12" i="9"/>
  <c r="X12" i="9" s="1"/>
  <c r="AD12" i="9"/>
  <c r="AN11" i="9"/>
  <c r="X11" i="9" s="1"/>
  <c r="AD11" i="9"/>
  <c r="AN24" i="13"/>
  <c r="X24" i="13" s="1"/>
  <c r="AD24" i="13"/>
  <c r="AN23" i="13"/>
  <c r="AD23" i="13"/>
  <c r="AN22" i="13"/>
  <c r="X22" i="13" s="1"/>
  <c r="AD22" i="13"/>
  <c r="AN20" i="13"/>
  <c r="AD20" i="13"/>
  <c r="AN18" i="13"/>
  <c r="AD18" i="13"/>
  <c r="AN17" i="13"/>
  <c r="X17" i="13" s="1"/>
  <c r="AD17" i="13"/>
  <c r="AN16" i="13"/>
  <c r="X16" i="13" s="1"/>
  <c r="AD16" i="13"/>
  <c r="AN14" i="13"/>
  <c r="X14" i="13" s="1"/>
  <c r="AD14" i="13"/>
  <c r="AN13" i="13"/>
  <c r="X13" i="13" s="1"/>
  <c r="AD13" i="13"/>
  <c r="AN11" i="13"/>
  <c r="X11" i="13" s="1"/>
  <c r="AD11" i="13"/>
  <c r="AN26" i="7"/>
  <c r="X26" i="7" s="1"/>
  <c r="AD26" i="7"/>
  <c r="AN25" i="7"/>
  <c r="X25" i="7" s="1"/>
  <c r="AD25" i="7"/>
  <c r="AN24" i="7"/>
  <c r="X24" i="7" s="1"/>
  <c r="AD24" i="7"/>
  <c r="AN22" i="7"/>
  <c r="X22" i="7" s="1"/>
  <c r="AD22" i="7"/>
  <c r="AN21" i="7"/>
  <c r="X21" i="7" s="1"/>
  <c r="AD21" i="7"/>
  <c r="AN20" i="7"/>
  <c r="X20" i="7" s="1"/>
  <c r="AD20" i="7"/>
  <c r="AN19" i="7"/>
  <c r="X19" i="7" s="1"/>
  <c r="AD19" i="7"/>
  <c r="AN18" i="7"/>
  <c r="AD18" i="7"/>
  <c r="X18" i="7"/>
  <c r="AN17" i="7"/>
  <c r="X17" i="7" s="1"/>
  <c r="AD17" i="7"/>
  <c r="AN15" i="7"/>
  <c r="X15" i="7" s="1"/>
  <c r="AD15" i="7"/>
  <c r="AN13" i="7"/>
  <c r="AD13" i="7"/>
  <c r="AN12" i="7"/>
  <c r="X12" i="7" s="1"/>
  <c r="AD12" i="7"/>
  <c r="AN11" i="7"/>
  <c r="X11" i="7" s="1"/>
  <c r="AD11" i="7"/>
  <c r="AN55" i="17"/>
  <c r="X55" i="17" s="1"/>
  <c r="AD55" i="17"/>
  <c r="AN54" i="17"/>
  <c r="AR54" i="17" s="1"/>
  <c r="AD54" i="17"/>
  <c r="AN53" i="17"/>
  <c r="AD53" i="17"/>
  <c r="AN52" i="17"/>
  <c r="X52" i="17" s="1"/>
  <c r="AD52" i="17"/>
  <c r="AN51" i="17"/>
  <c r="AR51" i="17" s="1"/>
  <c r="AD51" i="17"/>
  <c r="AN50" i="17"/>
  <c r="X50" i="17" s="1"/>
  <c r="AD50" i="17"/>
  <c r="AN49" i="17"/>
  <c r="AD49" i="17"/>
  <c r="AN48" i="17"/>
  <c r="X48" i="17" s="1"/>
  <c r="AD48" i="17"/>
  <c r="AN47" i="17"/>
  <c r="X47" i="17" s="1"/>
  <c r="AD47" i="17"/>
  <c r="AN46" i="17"/>
  <c r="X46" i="17" s="1"/>
  <c r="AD46" i="17"/>
  <c r="AN45" i="17"/>
  <c r="X45" i="17" s="1"/>
  <c r="AD45" i="17"/>
  <c r="AN44" i="17"/>
  <c r="X44" i="17" s="1"/>
  <c r="AD44" i="17"/>
  <c r="AN42" i="17"/>
  <c r="X42" i="17" s="1"/>
  <c r="AD42" i="17"/>
  <c r="AN41" i="17"/>
  <c r="X41" i="17" s="1"/>
  <c r="AD41" i="17"/>
  <c r="AN39" i="17"/>
  <c r="X39" i="17" s="1"/>
  <c r="AD39" i="17"/>
  <c r="AN38" i="17"/>
  <c r="X38" i="17" s="1"/>
  <c r="AD38" i="17"/>
  <c r="AN37" i="17"/>
  <c r="X37" i="17" s="1"/>
  <c r="AD37" i="17"/>
  <c r="AN36" i="17"/>
  <c r="X36" i="17" s="1"/>
  <c r="AD36" i="17"/>
  <c r="AN35" i="17"/>
  <c r="X35" i="17" s="1"/>
  <c r="AD35" i="17"/>
  <c r="AN34" i="17"/>
  <c r="X34" i="17" s="1"/>
  <c r="AD34" i="17"/>
  <c r="AN33" i="17"/>
  <c r="X33" i="17" s="1"/>
  <c r="AD33" i="17"/>
  <c r="AN32" i="17"/>
  <c r="X32" i="17" s="1"/>
  <c r="AD32" i="17"/>
  <c r="AN31" i="17"/>
  <c r="X31" i="17" s="1"/>
  <c r="AD31" i="17"/>
  <c r="AN30" i="17"/>
  <c r="X30" i="17" s="1"/>
  <c r="AD30" i="17"/>
  <c r="AN29" i="17"/>
  <c r="X29" i="17" s="1"/>
  <c r="AD29" i="17"/>
  <c r="AN28" i="17"/>
  <c r="AD28" i="17"/>
  <c r="X28" i="17"/>
  <c r="AN27" i="17"/>
  <c r="X27" i="17" s="1"/>
  <c r="AD27" i="17"/>
  <c r="AN25" i="17"/>
  <c r="AD25" i="17"/>
  <c r="AN24" i="17"/>
  <c r="X24" i="17" s="1"/>
  <c r="AD24" i="17"/>
  <c r="AN23" i="17"/>
  <c r="X23" i="17" s="1"/>
  <c r="AD23" i="17"/>
  <c r="AN22" i="17"/>
  <c r="X22" i="17" s="1"/>
  <c r="AD22" i="17"/>
  <c r="AN20" i="17"/>
  <c r="X20" i="17" s="1"/>
  <c r="AD20" i="17"/>
  <c r="AN19" i="17"/>
  <c r="X19" i="17" s="1"/>
  <c r="AD19" i="17"/>
  <c r="AN18" i="17"/>
  <c r="X18" i="17" s="1"/>
  <c r="AD18" i="17"/>
  <c r="AN17" i="17"/>
  <c r="X17" i="17" s="1"/>
  <c r="AD17" i="17"/>
  <c r="AN16" i="17"/>
  <c r="X16" i="17" s="1"/>
  <c r="AD16" i="17"/>
  <c r="AN13" i="17"/>
  <c r="X13" i="17" s="1"/>
  <c r="AD13" i="17"/>
  <c r="AN12" i="17"/>
  <c r="X12" i="17" s="1"/>
  <c r="AD12" i="17"/>
  <c r="AN11" i="17"/>
  <c r="X11" i="17" s="1"/>
  <c r="AD11" i="17"/>
  <c r="AN15" i="16"/>
  <c r="AD15" i="16"/>
  <c r="AN14" i="16"/>
  <c r="AR14" i="16" s="1"/>
  <c r="AD14" i="16"/>
  <c r="AN13" i="16"/>
  <c r="AD13" i="16"/>
  <c r="AN12" i="16"/>
  <c r="AD12" i="16"/>
  <c r="AN11" i="16"/>
  <c r="X11" i="16" s="1"/>
  <c r="AD11" i="16"/>
  <c r="AN16" i="16"/>
  <c r="X16" i="16" s="1"/>
  <c r="AD16" i="16"/>
  <c r="AN36" i="16"/>
  <c r="AD36" i="16"/>
  <c r="AN35" i="16"/>
  <c r="X35" i="16" s="1"/>
  <c r="AD35" i="16"/>
  <c r="AN34" i="16"/>
  <c r="X34" i="16" s="1"/>
  <c r="AD34" i="16"/>
  <c r="AN33" i="16"/>
  <c r="X33" i="16" s="1"/>
  <c r="AD33" i="16"/>
  <c r="AN32" i="16"/>
  <c r="X32" i="16" s="1"/>
  <c r="AD32" i="16"/>
  <c r="AN30" i="16"/>
  <c r="X30" i="16" s="1"/>
  <c r="AD30" i="16"/>
  <c r="AN28" i="16"/>
  <c r="X28" i="16" s="1"/>
  <c r="AD28" i="16"/>
  <c r="AN27" i="16"/>
  <c r="X27" i="16" s="1"/>
  <c r="AD27" i="16"/>
  <c r="AN25" i="16"/>
  <c r="X25" i="16" s="1"/>
  <c r="AD25" i="16"/>
  <c r="AD23" i="16"/>
  <c r="AN22" i="16"/>
  <c r="X22" i="16" s="1"/>
  <c r="AD22" i="16"/>
  <c r="AN21" i="16"/>
  <c r="X21" i="16" s="1"/>
  <c r="AD21" i="16"/>
  <c r="AN19" i="16"/>
  <c r="X19" i="16" s="1"/>
  <c r="AD19" i="16"/>
  <c r="AN18" i="16"/>
  <c r="X18" i="16" s="1"/>
  <c r="AD18" i="16"/>
  <c r="AD53" i="14"/>
  <c r="AN52" i="14"/>
  <c r="X52" i="14" s="1"/>
  <c r="AD52" i="14"/>
  <c r="AN47" i="14"/>
  <c r="X47" i="14" s="1"/>
  <c r="AD47" i="14"/>
  <c r="AN46" i="14"/>
  <c r="AD46" i="14"/>
  <c r="AN51" i="14"/>
  <c r="X51" i="14" s="1"/>
  <c r="AD51" i="14"/>
  <c r="AN50" i="14"/>
  <c r="X50" i="14" s="1"/>
  <c r="AD50" i="14"/>
  <c r="AN49" i="14"/>
  <c r="AD49" i="14"/>
  <c r="AN48" i="14"/>
  <c r="AD48" i="14"/>
  <c r="AN36" i="14"/>
  <c r="X36" i="14" s="1"/>
  <c r="AD36" i="14"/>
  <c r="AN35" i="14"/>
  <c r="AD35" i="14"/>
  <c r="AD39" i="14"/>
  <c r="AD38" i="14"/>
  <c r="AD37" i="14"/>
  <c r="AD33" i="14"/>
  <c r="AD32" i="14"/>
  <c r="AD31" i="14"/>
  <c r="AD30" i="14"/>
  <c r="AD29" i="14"/>
  <c r="AD28" i="14"/>
  <c r="AD27" i="14"/>
  <c r="AN26" i="14"/>
  <c r="X26" i="14" s="1"/>
  <c r="AD26" i="14"/>
  <c r="AN25" i="14"/>
  <c r="X25" i="14" s="1"/>
  <c r="AD25" i="14"/>
  <c r="AD23" i="14"/>
  <c r="AD22" i="14"/>
  <c r="AD17" i="14"/>
  <c r="AD16" i="14"/>
  <c r="AN21" i="14"/>
  <c r="X21" i="14" s="1"/>
  <c r="AD21" i="14"/>
  <c r="AN14" i="14"/>
  <c r="X14" i="14" s="1"/>
  <c r="AD14" i="14"/>
  <c r="AN12" i="14"/>
  <c r="X12" i="14" s="1"/>
  <c r="AD12" i="14"/>
  <c r="AN11" i="14"/>
  <c r="X11" i="14" s="1"/>
  <c r="AD11" i="14"/>
  <c r="BG20" i="5"/>
  <c r="BF20" i="5"/>
  <c r="BE20" i="5"/>
  <c r="BD20" i="5"/>
  <c r="BC20" i="5"/>
  <c r="BB20" i="5"/>
  <c r="BA20" i="5"/>
  <c r="AZ20" i="5"/>
  <c r="AY20" i="5"/>
  <c r="AX20" i="5"/>
  <c r="AW20" i="5"/>
  <c r="AN20" i="5"/>
  <c r="AD20" i="5"/>
  <c r="X20" i="5"/>
  <c r="AH56" i="17"/>
  <c r="AG56" i="17"/>
  <c r="AF56" i="17"/>
  <c r="S3" i="17" s="1"/>
  <c r="BG55" i="17"/>
  <c r="BF55" i="17"/>
  <c r="BE55" i="17"/>
  <c r="BD55" i="17"/>
  <c r="BC55" i="17"/>
  <c r="BB55" i="17"/>
  <c r="BA55" i="17"/>
  <c r="AZ55" i="17"/>
  <c r="AY55" i="17"/>
  <c r="AX55" i="17"/>
  <c r="AW55" i="17"/>
  <c r="AR55" i="17"/>
  <c r="BG54" i="17"/>
  <c r="BF54" i="17"/>
  <c r="BE54" i="17"/>
  <c r="BD54" i="17"/>
  <c r="BC54" i="17"/>
  <c r="BB54" i="17"/>
  <c r="BA54" i="17"/>
  <c r="AZ54" i="17"/>
  <c r="AY54" i="17"/>
  <c r="AX54" i="17"/>
  <c r="AW54" i="17"/>
  <c r="BG53" i="17"/>
  <c r="BF53" i="17"/>
  <c r="BE53" i="17"/>
  <c r="BD53" i="17"/>
  <c r="BC53" i="17"/>
  <c r="BB53" i="17"/>
  <c r="BA53" i="17"/>
  <c r="AZ53" i="17"/>
  <c r="AY53" i="17"/>
  <c r="AX53" i="17"/>
  <c r="AW53" i="17"/>
  <c r="AR53" i="17"/>
  <c r="BG52" i="17"/>
  <c r="BF52" i="17"/>
  <c r="BE52" i="17"/>
  <c r="BD52" i="17"/>
  <c r="BC52" i="17"/>
  <c r="BB52" i="17"/>
  <c r="BA52" i="17"/>
  <c r="AZ52" i="17"/>
  <c r="AY52" i="17"/>
  <c r="AX52" i="17"/>
  <c r="AW52" i="17"/>
  <c r="AR52" i="17"/>
  <c r="BG51" i="17"/>
  <c r="BF51" i="17"/>
  <c r="BE51" i="17"/>
  <c r="BD51" i="17"/>
  <c r="BC51" i="17"/>
  <c r="BB51" i="17"/>
  <c r="BA51" i="17"/>
  <c r="AZ51" i="17"/>
  <c r="AY51" i="17"/>
  <c r="AX51" i="17"/>
  <c r="AW51" i="17"/>
  <c r="BG50" i="17"/>
  <c r="BF50" i="17"/>
  <c r="BE50" i="17"/>
  <c r="BD50" i="17"/>
  <c r="BC50" i="17"/>
  <c r="BB50" i="17"/>
  <c r="BA50" i="17"/>
  <c r="AZ50" i="17"/>
  <c r="AY50" i="17"/>
  <c r="AX50" i="17"/>
  <c r="AW50" i="17"/>
  <c r="BG49" i="17"/>
  <c r="BF49" i="17"/>
  <c r="BE49" i="17"/>
  <c r="BD49" i="17"/>
  <c r="BC49" i="17"/>
  <c r="BB49" i="17"/>
  <c r="BA49" i="17"/>
  <c r="AZ49" i="17"/>
  <c r="AY49" i="17"/>
  <c r="AX49" i="17"/>
  <c r="AW49" i="17"/>
  <c r="BG48" i="17"/>
  <c r="BF48" i="17"/>
  <c r="BE48" i="17"/>
  <c r="BD48" i="17"/>
  <c r="BC48" i="17"/>
  <c r="BB48" i="17"/>
  <c r="BA48" i="17"/>
  <c r="AZ48" i="17"/>
  <c r="AY48" i="17"/>
  <c r="AX48" i="17"/>
  <c r="AW48" i="17"/>
  <c r="AR48" i="17"/>
  <c r="BG47" i="17"/>
  <c r="BF47" i="17"/>
  <c r="BE47" i="17"/>
  <c r="BD47" i="17"/>
  <c r="BC47" i="17"/>
  <c r="BB47" i="17"/>
  <c r="BA47" i="17"/>
  <c r="AZ47" i="17"/>
  <c r="AY47" i="17"/>
  <c r="AX47" i="17"/>
  <c r="AW47" i="17"/>
  <c r="BG46" i="17"/>
  <c r="BF46" i="17"/>
  <c r="BE46" i="17"/>
  <c r="BD46" i="17"/>
  <c r="BC46" i="17"/>
  <c r="BB46" i="17"/>
  <c r="BA46" i="17"/>
  <c r="AZ46" i="17"/>
  <c r="AY46" i="17"/>
  <c r="AX46" i="17"/>
  <c r="AW46" i="17"/>
  <c r="BG45" i="17"/>
  <c r="BF45" i="17"/>
  <c r="BE45" i="17"/>
  <c r="BD45" i="17"/>
  <c r="BC45" i="17"/>
  <c r="BB45" i="17"/>
  <c r="BA45" i="17"/>
  <c r="AZ45" i="17"/>
  <c r="AY45" i="17"/>
  <c r="AX45" i="17"/>
  <c r="AW45" i="17"/>
  <c r="BG44" i="17"/>
  <c r="BF44" i="17"/>
  <c r="BE44" i="17"/>
  <c r="BD44" i="17"/>
  <c r="BC44" i="17"/>
  <c r="BB44" i="17"/>
  <c r="BA44" i="17"/>
  <c r="AZ44" i="17"/>
  <c r="AY44" i="17"/>
  <c r="AX44" i="17"/>
  <c r="AW44" i="17"/>
  <c r="BG42" i="17"/>
  <c r="BF42" i="17"/>
  <c r="BE42" i="17"/>
  <c r="BD42" i="17"/>
  <c r="BC42" i="17"/>
  <c r="BB42" i="17"/>
  <c r="BA42" i="17"/>
  <c r="AZ42" i="17"/>
  <c r="AY42" i="17"/>
  <c r="AX42" i="17"/>
  <c r="AW42" i="17"/>
  <c r="BG41" i="17"/>
  <c r="BF41" i="17"/>
  <c r="BE41" i="17"/>
  <c r="BD41" i="17"/>
  <c r="BC41" i="17"/>
  <c r="BB41" i="17"/>
  <c r="BA41" i="17"/>
  <c r="AZ41" i="17"/>
  <c r="AY41" i="17"/>
  <c r="AX41" i="17"/>
  <c r="AW41" i="17"/>
  <c r="BG39" i="17"/>
  <c r="BF39" i="17"/>
  <c r="BE39" i="17"/>
  <c r="BD39" i="17"/>
  <c r="BC39" i="17"/>
  <c r="BB39" i="17"/>
  <c r="BA39" i="17"/>
  <c r="AZ39" i="17"/>
  <c r="AY39" i="17"/>
  <c r="AX39" i="17"/>
  <c r="AW39" i="17"/>
  <c r="BG38" i="17"/>
  <c r="BF38" i="17"/>
  <c r="BE38" i="17"/>
  <c r="BD38" i="17"/>
  <c r="BC38" i="17"/>
  <c r="BB38" i="17"/>
  <c r="BA38" i="17"/>
  <c r="AZ38" i="17"/>
  <c r="AY38" i="17"/>
  <c r="AX38" i="17"/>
  <c r="AW38" i="17"/>
  <c r="BG37" i="17"/>
  <c r="BF37" i="17"/>
  <c r="BE37" i="17"/>
  <c r="BD37" i="17"/>
  <c r="BC37" i="17"/>
  <c r="BB37" i="17"/>
  <c r="BA37" i="17"/>
  <c r="AZ37" i="17"/>
  <c r="AY37" i="17"/>
  <c r="AX37" i="17"/>
  <c r="AW37" i="17"/>
  <c r="BG36" i="17"/>
  <c r="BF36" i="17"/>
  <c r="BE36" i="17"/>
  <c r="BD36" i="17"/>
  <c r="BC36" i="17"/>
  <c r="BB36" i="17"/>
  <c r="BA36" i="17"/>
  <c r="AZ36" i="17"/>
  <c r="AY36" i="17"/>
  <c r="AX36" i="17"/>
  <c r="AW36" i="17"/>
  <c r="AR36" i="17"/>
  <c r="BG35" i="17"/>
  <c r="BF35" i="17"/>
  <c r="BE35" i="17"/>
  <c r="BD35" i="17"/>
  <c r="BC35" i="17"/>
  <c r="BB35" i="17"/>
  <c r="BA35" i="17"/>
  <c r="AZ35" i="17"/>
  <c r="AY35" i="17"/>
  <c r="AX35" i="17"/>
  <c r="AW35" i="17"/>
  <c r="BG34" i="17"/>
  <c r="BF34" i="17"/>
  <c r="BE34" i="17"/>
  <c r="BD34" i="17"/>
  <c r="BC34" i="17"/>
  <c r="BB34" i="17"/>
  <c r="BA34" i="17"/>
  <c r="AZ34" i="17"/>
  <c r="AY34" i="17"/>
  <c r="AX34" i="17"/>
  <c r="AW34" i="17"/>
  <c r="BG33" i="17"/>
  <c r="BF33" i="17"/>
  <c r="BE33" i="17"/>
  <c r="BD33" i="17"/>
  <c r="BC33" i="17"/>
  <c r="BB33" i="17"/>
  <c r="BA33" i="17"/>
  <c r="AZ33" i="17"/>
  <c r="AY33" i="17"/>
  <c r="AX33" i="17"/>
  <c r="AW33" i="17"/>
  <c r="BG32" i="17"/>
  <c r="BF32" i="17"/>
  <c r="BE32" i="17"/>
  <c r="BD32" i="17"/>
  <c r="BC32" i="17"/>
  <c r="BB32" i="17"/>
  <c r="BA32" i="17"/>
  <c r="AZ32" i="17"/>
  <c r="AY32" i="17"/>
  <c r="AX32" i="17"/>
  <c r="AW32" i="17"/>
  <c r="BG31" i="17"/>
  <c r="BF31" i="17"/>
  <c r="BE31" i="17"/>
  <c r="BD31" i="17"/>
  <c r="BC31" i="17"/>
  <c r="BB31" i="17"/>
  <c r="BA31" i="17"/>
  <c r="AZ31" i="17"/>
  <c r="AY31" i="17"/>
  <c r="AX31" i="17"/>
  <c r="AW31" i="17"/>
  <c r="BG30" i="17"/>
  <c r="BF30" i="17"/>
  <c r="BE30" i="17"/>
  <c r="BD30" i="17"/>
  <c r="BC30" i="17"/>
  <c r="BB30" i="17"/>
  <c r="BA30" i="17"/>
  <c r="AZ30" i="17"/>
  <c r="AY30" i="17"/>
  <c r="AX30" i="17"/>
  <c r="AW30" i="17"/>
  <c r="BG29" i="17"/>
  <c r="BF29" i="17"/>
  <c r="BE29" i="17"/>
  <c r="BD29" i="17"/>
  <c r="BC29" i="17"/>
  <c r="BB29" i="17"/>
  <c r="BA29" i="17"/>
  <c r="AZ29" i="17"/>
  <c r="AY29" i="17"/>
  <c r="AX29" i="17"/>
  <c r="AW29" i="17"/>
  <c r="BG28" i="17"/>
  <c r="BF28" i="17"/>
  <c r="BE28" i="17"/>
  <c r="BD28" i="17"/>
  <c r="BC28" i="17"/>
  <c r="BB28" i="17"/>
  <c r="BA28" i="17"/>
  <c r="AZ28" i="17"/>
  <c r="AY28" i="17"/>
  <c r="AX28" i="17"/>
  <c r="AW28" i="17"/>
  <c r="BG27" i="17"/>
  <c r="BF27" i="17"/>
  <c r="BE27" i="17"/>
  <c r="BD27" i="17"/>
  <c r="BC27" i="17"/>
  <c r="BB27" i="17"/>
  <c r="BA27" i="17"/>
  <c r="AZ27" i="17"/>
  <c r="AY27" i="17"/>
  <c r="AX27" i="17"/>
  <c r="AW27" i="17"/>
  <c r="BG25" i="17"/>
  <c r="BF25" i="17"/>
  <c r="BE25" i="17"/>
  <c r="BD25" i="17"/>
  <c r="BC25" i="17"/>
  <c r="BB25" i="17"/>
  <c r="BA25" i="17"/>
  <c r="AZ25" i="17"/>
  <c r="AY25" i="17"/>
  <c r="AX25" i="17"/>
  <c r="AW25" i="17"/>
  <c r="BG24" i="17"/>
  <c r="BF24" i="17"/>
  <c r="BE24" i="17"/>
  <c r="BD24" i="17"/>
  <c r="BC24" i="17"/>
  <c r="BB24" i="17"/>
  <c r="BA24" i="17"/>
  <c r="AZ24" i="17"/>
  <c r="AY24" i="17"/>
  <c r="AX24" i="17"/>
  <c r="AW24" i="17"/>
  <c r="BG23" i="17"/>
  <c r="BF23" i="17"/>
  <c r="BE23" i="17"/>
  <c r="BD23" i="17"/>
  <c r="BC23" i="17"/>
  <c r="BB23" i="17"/>
  <c r="BA23" i="17"/>
  <c r="AZ23" i="17"/>
  <c r="AY23" i="17"/>
  <c r="AX23" i="17"/>
  <c r="AW23" i="17"/>
  <c r="BG22" i="17"/>
  <c r="BF22" i="17"/>
  <c r="BE22" i="17"/>
  <c r="BD22" i="17"/>
  <c r="BC22" i="17"/>
  <c r="BB22" i="17"/>
  <c r="BA22" i="17"/>
  <c r="AZ22" i="17"/>
  <c r="AY22" i="17"/>
  <c r="AX22" i="17"/>
  <c r="AW22" i="17"/>
  <c r="AR22" i="17"/>
  <c r="BG20" i="17"/>
  <c r="BF20" i="17"/>
  <c r="BE20" i="17"/>
  <c r="BD20" i="17"/>
  <c r="BC20" i="17"/>
  <c r="BB20" i="17"/>
  <c r="BA20" i="17"/>
  <c r="AZ20" i="17"/>
  <c r="AY20" i="17"/>
  <c r="AX20" i="17"/>
  <c r="AW20" i="17"/>
  <c r="AR20" i="17"/>
  <c r="BG19" i="17"/>
  <c r="BF19" i="17"/>
  <c r="BE19" i="17"/>
  <c r="BD19" i="17"/>
  <c r="BC19" i="17"/>
  <c r="BB19" i="17"/>
  <c r="BA19" i="17"/>
  <c r="AZ19" i="17"/>
  <c r="AY19" i="17"/>
  <c r="AX19" i="17"/>
  <c r="AW19" i="17"/>
  <c r="BG18" i="17"/>
  <c r="BF18" i="17"/>
  <c r="BE18" i="17"/>
  <c r="BD18" i="17"/>
  <c r="BC18" i="17"/>
  <c r="BB18" i="17"/>
  <c r="BA18" i="17"/>
  <c r="AZ18" i="17"/>
  <c r="AY18" i="17"/>
  <c r="AX18" i="17"/>
  <c r="AW18" i="17"/>
  <c r="BG17" i="17"/>
  <c r="BF17" i="17"/>
  <c r="BE17" i="17"/>
  <c r="BD17" i="17"/>
  <c r="BC17" i="17"/>
  <c r="BB17" i="17"/>
  <c r="BA17" i="17"/>
  <c r="AZ17" i="17"/>
  <c r="AY17" i="17"/>
  <c r="AX17" i="17"/>
  <c r="AW17" i="17"/>
  <c r="BG16" i="17"/>
  <c r="BF16" i="17"/>
  <c r="BE16" i="17"/>
  <c r="BD16" i="17"/>
  <c r="BC16" i="17"/>
  <c r="BB16" i="17"/>
  <c r="BA16" i="17"/>
  <c r="AZ16" i="17"/>
  <c r="AY16" i="17"/>
  <c r="AX16" i="17"/>
  <c r="AW16" i="17"/>
  <c r="BG13" i="17"/>
  <c r="BF13" i="17"/>
  <c r="BE13" i="17"/>
  <c r="BD13" i="17"/>
  <c r="BC13" i="17"/>
  <c r="BB13" i="17"/>
  <c r="BA13" i="17"/>
  <c r="AZ13" i="17"/>
  <c r="AY13" i="17"/>
  <c r="AX13" i="17"/>
  <c r="AW13" i="17"/>
  <c r="BG12" i="17"/>
  <c r="BF12" i="17"/>
  <c r="BE12" i="17"/>
  <c r="BD12" i="17"/>
  <c r="BC12" i="17"/>
  <c r="BB12" i="17"/>
  <c r="BA12" i="17"/>
  <c r="AZ12" i="17"/>
  <c r="AY12" i="17"/>
  <c r="AX12" i="17"/>
  <c r="AW12" i="17"/>
  <c r="AR12" i="17"/>
  <c r="BG11" i="17"/>
  <c r="BF11" i="17"/>
  <c r="BE11" i="17"/>
  <c r="BD11" i="17"/>
  <c r="BC11" i="17"/>
  <c r="BB11" i="17"/>
  <c r="BA11" i="17"/>
  <c r="AZ11" i="17"/>
  <c r="AY11" i="17"/>
  <c r="AX11" i="17"/>
  <c r="AW11" i="17"/>
  <c r="AR11" i="17"/>
  <c r="AD4" i="17"/>
  <c r="S4" i="17"/>
  <c r="X3" i="17" s="1"/>
  <c r="AH37" i="16"/>
  <c r="S4" i="16" s="1"/>
  <c r="X3" i="16" s="1"/>
  <c r="AG37" i="16"/>
  <c r="AF37" i="16"/>
  <c r="S3" i="16" s="1"/>
  <c r="BG15" i="16"/>
  <c r="BF15" i="16"/>
  <c r="BE15" i="16"/>
  <c r="BD15" i="16"/>
  <c r="BC15" i="16"/>
  <c r="BB15" i="16"/>
  <c r="BA15" i="16"/>
  <c r="AZ15" i="16"/>
  <c r="AY15" i="16"/>
  <c r="AX15" i="16"/>
  <c r="AW15" i="16"/>
  <c r="AR15" i="16"/>
  <c r="BG14" i="16"/>
  <c r="BF14" i="16"/>
  <c r="BE14" i="16"/>
  <c r="BD14" i="16"/>
  <c r="BC14" i="16"/>
  <c r="BB14" i="16"/>
  <c r="BA14" i="16"/>
  <c r="AZ14" i="16"/>
  <c r="AY14" i="16"/>
  <c r="AX14" i="16"/>
  <c r="AW14" i="16"/>
  <c r="BG13" i="16"/>
  <c r="BF13" i="16"/>
  <c r="BE13" i="16"/>
  <c r="BD13" i="16"/>
  <c r="BC13" i="16"/>
  <c r="BB13" i="16"/>
  <c r="BA13" i="16"/>
  <c r="AZ13" i="16"/>
  <c r="AY13" i="16"/>
  <c r="AX13" i="16"/>
  <c r="AW13" i="16"/>
  <c r="BG12" i="16"/>
  <c r="BF12" i="16"/>
  <c r="BE12" i="16"/>
  <c r="BD12" i="16"/>
  <c r="BC12" i="16"/>
  <c r="BB12" i="16"/>
  <c r="BA12" i="16"/>
  <c r="AZ12" i="16"/>
  <c r="AY12" i="16"/>
  <c r="AX12" i="16"/>
  <c r="AW12" i="16"/>
  <c r="BG11" i="16"/>
  <c r="BF11" i="16"/>
  <c r="BE11" i="16"/>
  <c r="BD11" i="16"/>
  <c r="BC11" i="16"/>
  <c r="BB11" i="16"/>
  <c r="BA11" i="16"/>
  <c r="AZ11" i="16"/>
  <c r="AY11" i="16"/>
  <c r="AX11" i="16"/>
  <c r="AW11" i="16"/>
  <c r="BG16" i="16"/>
  <c r="BF16" i="16"/>
  <c r="BE16" i="16"/>
  <c r="BD16" i="16"/>
  <c r="BC16" i="16"/>
  <c r="BB16" i="16"/>
  <c r="BA16" i="16"/>
  <c r="AZ16" i="16"/>
  <c r="AY16" i="16"/>
  <c r="AX16" i="16"/>
  <c r="AW16" i="16"/>
  <c r="BG36" i="16"/>
  <c r="BF36" i="16"/>
  <c r="BE36" i="16"/>
  <c r="BD36" i="16"/>
  <c r="BC36" i="16"/>
  <c r="BB36" i="16"/>
  <c r="BA36" i="16"/>
  <c r="AZ36" i="16"/>
  <c r="AY36" i="16"/>
  <c r="AX36" i="16"/>
  <c r="AW36" i="16"/>
  <c r="BG35" i="16"/>
  <c r="BF35" i="16"/>
  <c r="BE35" i="16"/>
  <c r="BD35" i="16"/>
  <c r="BC35" i="16"/>
  <c r="BB35" i="16"/>
  <c r="BA35" i="16"/>
  <c r="AZ35" i="16"/>
  <c r="AY35" i="16"/>
  <c r="AX35" i="16"/>
  <c r="AW35" i="16"/>
  <c r="AR35" i="16"/>
  <c r="BG34" i="16"/>
  <c r="BF34" i="16"/>
  <c r="BE34" i="16"/>
  <c r="BD34" i="16"/>
  <c r="BC34" i="16"/>
  <c r="BB34" i="16"/>
  <c r="BA34" i="16"/>
  <c r="AZ34" i="16"/>
  <c r="AY34" i="16"/>
  <c r="AX34" i="16"/>
  <c r="AW34" i="16"/>
  <c r="BG33" i="16"/>
  <c r="BF33" i="16"/>
  <c r="BE33" i="16"/>
  <c r="BD33" i="16"/>
  <c r="BC33" i="16"/>
  <c r="BB33" i="16"/>
  <c r="BA33" i="16"/>
  <c r="AZ33" i="16"/>
  <c r="AY33" i="16"/>
  <c r="AX33" i="16"/>
  <c r="AW33" i="16"/>
  <c r="BG32" i="16"/>
  <c r="BF32" i="16"/>
  <c r="BE32" i="16"/>
  <c r="BD32" i="16"/>
  <c r="BC32" i="16"/>
  <c r="BB32" i="16"/>
  <c r="BA32" i="16"/>
  <c r="AZ32" i="16"/>
  <c r="AY32" i="16"/>
  <c r="AX32" i="16"/>
  <c r="AW32" i="16"/>
  <c r="AR32" i="16"/>
  <c r="BG30" i="16"/>
  <c r="BF30" i="16"/>
  <c r="BE30" i="16"/>
  <c r="BD30" i="16"/>
  <c r="BC30" i="16"/>
  <c r="BB30" i="16"/>
  <c r="BA30" i="16"/>
  <c r="AZ30" i="16"/>
  <c r="AY30" i="16"/>
  <c r="AX30" i="16"/>
  <c r="AW30" i="16"/>
  <c r="BG28" i="16"/>
  <c r="BF28" i="16"/>
  <c r="BE28" i="16"/>
  <c r="BD28" i="16"/>
  <c r="BC28" i="16"/>
  <c r="BB28" i="16"/>
  <c r="BA28" i="16"/>
  <c r="AZ28" i="16"/>
  <c r="AY28" i="16"/>
  <c r="AX28" i="16"/>
  <c r="AW28" i="16"/>
  <c r="BG27" i="16"/>
  <c r="BF27" i="16"/>
  <c r="BE27" i="16"/>
  <c r="BD27" i="16"/>
  <c r="BC27" i="16"/>
  <c r="BB27" i="16"/>
  <c r="BA27" i="16"/>
  <c r="AZ27" i="16"/>
  <c r="AY27" i="16"/>
  <c r="AX27" i="16"/>
  <c r="AW27" i="16"/>
  <c r="BG25" i="16"/>
  <c r="BF25" i="16"/>
  <c r="BE25" i="16"/>
  <c r="BD25" i="16"/>
  <c r="BC25" i="16"/>
  <c r="BB25" i="16"/>
  <c r="BA25" i="16"/>
  <c r="AZ25" i="16"/>
  <c r="AY25" i="16"/>
  <c r="AX25" i="16"/>
  <c r="AW25" i="16"/>
  <c r="BG23" i="16"/>
  <c r="BF23" i="16"/>
  <c r="BE23" i="16"/>
  <c r="BD23" i="16"/>
  <c r="BC23" i="16"/>
  <c r="BB23" i="16"/>
  <c r="BA23" i="16"/>
  <c r="AZ23" i="16"/>
  <c r="AY23" i="16"/>
  <c r="AX23" i="16"/>
  <c r="AW23" i="16"/>
  <c r="BG22" i="16"/>
  <c r="BF22" i="16"/>
  <c r="BE22" i="16"/>
  <c r="BD22" i="16"/>
  <c r="BC22" i="16"/>
  <c r="BB22" i="16"/>
  <c r="BA22" i="16"/>
  <c r="AZ22" i="16"/>
  <c r="AY22" i="16"/>
  <c r="AX22" i="16"/>
  <c r="AW22" i="16"/>
  <c r="AR22" i="16"/>
  <c r="BG21" i="16"/>
  <c r="BF21" i="16"/>
  <c r="BE21" i="16"/>
  <c r="BD21" i="16"/>
  <c r="BC21" i="16"/>
  <c r="BB21" i="16"/>
  <c r="BA21" i="16"/>
  <c r="AZ21" i="16"/>
  <c r="AY21" i="16"/>
  <c r="AX21" i="16"/>
  <c r="AW21" i="16"/>
  <c r="BG19" i="16"/>
  <c r="BF19" i="16"/>
  <c r="BE19" i="16"/>
  <c r="BD19" i="16"/>
  <c r="BC19" i="16"/>
  <c r="BB19" i="16"/>
  <c r="BA19" i="16"/>
  <c r="AZ19" i="16"/>
  <c r="AY19" i="16"/>
  <c r="AX19" i="16"/>
  <c r="AW19" i="16"/>
  <c r="BG18" i="16"/>
  <c r="BF18" i="16"/>
  <c r="BE18" i="16"/>
  <c r="BD18" i="16"/>
  <c r="BC18" i="16"/>
  <c r="BB18" i="16"/>
  <c r="BA18" i="16"/>
  <c r="AZ18" i="16"/>
  <c r="AY18" i="16"/>
  <c r="AX18" i="16"/>
  <c r="AW18" i="16"/>
  <c r="AD4" i="16"/>
  <c r="AH69" i="15"/>
  <c r="S4" i="15" s="1"/>
  <c r="X3" i="15" s="1"/>
  <c r="AG69" i="15"/>
  <c r="AF69" i="15"/>
  <c r="S3" i="15" s="1"/>
  <c r="BG68" i="15"/>
  <c r="BF68" i="15"/>
  <c r="BE68" i="15"/>
  <c r="BD68" i="15"/>
  <c r="BC68" i="15"/>
  <c r="BB68" i="15"/>
  <c r="BA68" i="15"/>
  <c r="AZ68" i="15"/>
  <c r="AY68" i="15"/>
  <c r="AX68" i="15"/>
  <c r="AW68" i="15"/>
  <c r="AD68" i="15"/>
  <c r="BG67" i="15"/>
  <c r="BF67" i="15"/>
  <c r="BE67" i="15"/>
  <c r="BD67" i="15"/>
  <c r="BC67" i="15"/>
  <c r="BB67" i="15"/>
  <c r="BA67" i="15"/>
  <c r="AZ67" i="15"/>
  <c r="AY67" i="15"/>
  <c r="AX67" i="15"/>
  <c r="AW67" i="15"/>
  <c r="AD67" i="15"/>
  <c r="BG66" i="15"/>
  <c r="BF66" i="15"/>
  <c r="BE66" i="15"/>
  <c r="BD66" i="15"/>
  <c r="BC66" i="15"/>
  <c r="BB66" i="15"/>
  <c r="BA66" i="15"/>
  <c r="AZ66" i="15"/>
  <c r="AY66" i="15"/>
  <c r="AX66" i="15"/>
  <c r="AW66" i="15"/>
  <c r="AD66" i="15"/>
  <c r="BG65" i="15"/>
  <c r="BF65" i="15"/>
  <c r="BE65" i="15"/>
  <c r="BD65" i="15"/>
  <c r="BC65" i="15"/>
  <c r="BB65" i="15"/>
  <c r="BA65" i="15"/>
  <c r="AZ65" i="15"/>
  <c r="AY65" i="15"/>
  <c r="AX65" i="15"/>
  <c r="AW65" i="15"/>
  <c r="AD65" i="15"/>
  <c r="BG64" i="15"/>
  <c r="BF64" i="15"/>
  <c r="BE64" i="15"/>
  <c r="BD64" i="15"/>
  <c r="BC64" i="15"/>
  <c r="BB64" i="15"/>
  <c r="BA64" i="15"/>
  <c r="AZ64" i="15"/>
  <c r="AY64" i="15"/>
  <c r="AX64" i="15"/>
  <c r="AW64" i="15"/>
  <c r="AD64" i="15"/>
  <c r="BG63" i="15"/>
  <c r="BF63" i="15"/>
  <c r="BE63" i="15"/>
  <c r="BD63" i="15"/>
  <c r="BC63" i="15"/>
  <c r="BB63" i="15"/>
  <c r="BA63" i="15"/>
  <c r="AZ63" i="15"/>
  <c r="AY63" i="15"/>
  <c r="AX63" i="15"/>
  <c r="AW63" i="15"/>
  <c r="AD63" i="15"/>
  <c r="BG62" i="15"/>
  <c r="BF62" i="15"/>
  <c r="BE62" i="15"/>
  <c r="BD62" i="15"/>
  <c r="BC62" i="15"/>
  <c r="BB62" i="15"/>
  <c r="BA62" i="15"/>
  <c r="AZ62" i="15"/>
  <c r="AY62" i="15"/>
  <c r="AX62" i="15"/>
  <c r="AW62" i="15"/>
  <c r="AD62" i="15"/>
  <c r="BG61" i="15"/>
  <c r="BF61" i="15"/>
  <c r="BE61" i="15"/>
  <c r="BD61" i="15"/>
  <c r="BC61" i="15"/>
  <c r="BB61" i="15"/>
  <c r="BA61" i="15"/>
  <c r="AZ61" i="15"/>
  <c r="AY61" i="15"/>
  <c r="AX61" i="15"/>
  <c r="AW61" i="15"/>
  <c r="AD61" i="15"/>
  <c r="BG54" i="15"/>
  <c r="BF54" i="15"/>
  <c r="BE54" i="15"/>
  <c r="BD54" i="15"/>
  <c r="BC54" i="15"/>
  <c r="BB54" i="15"/>
  <c r="BA54" i="15"/>
  <c r="AZ54" i="15"/>
  <c r="AY54" i="15"/>
  <c r="AX54" i="15"/>
  <c r="AW54" i="15"/>
  <c r="AN54" i="15"/>
  <c r="X54" i="15" s="1"/>
  <c r="AD54" i="15"/>
  <c r="BG53" i="15"/>
  <c r="BF53" i="15"/>
  <c r="BE53" i="15"/>
  <c r="BD53" i="15"/>
  <c r="BC53" i="15"/>
  <c r="BB53" i="15"/>
  <c r="BA53" i="15"/>
  <c r="AZ53" i="15"/>
  <c r="AY53" i="15"/>
  <c r="AX53" i="15"/>
  <c r="AW53" i="15"/>
  <c r="AN53" i="15"/>
  <c r="X53" i="15" s="1"/>
  <c r="AD53" i="15"/>
  <c r="BG52" i="15"/>
  <c r="BF52" i="15"/>
  <c r="BE52" i="15"/>
  <c r="BD52" i="15"/>
  <c r="BC52" i="15"/>
  <c r="BB52" i="15"/>
  <c r="BA52" i="15"/>
  <c r="AZ52" i="15"/>
  <c r="AY52" i="15"/>
  <c r="AX52" i="15"/>
  <c r="AW52" i="15"/>
  <c r="AN52" i="15"/>
  <c r="X52" i="15" s="1"/>
  <c r="AD52" i="15"/>
  <c r="BG43" i="15"/>
  <c r="BF43" i="15"/>
  <c r="BE43" i="15"/>
  <c r="BD43" i="15"/>
  <c r="BC43" i="15"/>
  <c r="BB43" i="15"/>
  <c r="BA43" i="15"/>
  <c r="AZ43" i="15"/>
  <c r="AY43" i="15"/>
  <c r="AX43" i="15"/>
  <c r="AW43" i="15"/>
  <c r="AD43" i="15"/>
  <c r="BG42" i="15"/>
  <c r="BF42" i="15"/>
  <c r="BE42" i="15"/>
  <c r="BD42" i="15"/>
  <c r="BC42" i="15"/>
  <c r="BB42" i="15"/>
  <c r="BA42" i="15"/>
  <c r="AZ42" i="15"/>
  <c r="AY42" i="15"/>
  <c r="AX42" i="15"/>
  <c r="AW42" i="15"/>
  <c r="AN42" i="15"/>
  <c r="X42" i="15" s="1"/>
  <c r="AD42" i="15"/>
  <c r="BG40" i="15"/>
  <c r="BF40" i="15"/>
  <c r="BE40" i="15"/>
  <c r="BD40" i="15"/>
  <c r="BC40" i="15"/>
  <c r="BB40" i="15"/>
  <c r="BA40" i="15"/>
  <c r="AZ40" i="15"/>
  <c r="AY40" i="15"/>
  <c r="AX40" i="15"/>
  <c r="AW40" i="15"/>
  <c r="AD40" i="15"/>
  <c r="BG39" i="15"/>
  <c r="BF39" i="15"/>
  <c r="BE39" i="15"/>
  <c r="BD39" i="15"/>
  <c r="BC39" i="15"/>
  <c r="BB39" i="15"/>
  <c r="BA39" i="15"/>
  <c r="AZ39" i="15"/>
  <c r="AY39" i="15"/>
  <c r="AX39" i="15"/>
  <c r="AW39" i="15"/>
  <c r="AD39" i="15"/>
  <c r="BG38" i="15"/>
  <c r="BF38" i="15"/>
  <c r="BE38" i="15"/>
  <c r="BD38" i="15"/>
  <c r="BC38" i="15"/>
  <c r="BB38" i="15"/>
  <c r="BA38" i="15"/>
  <c r="AZ38" i="15"/>
  <c r="AY38" i="15"/>
  <c r="AX38" i="15"/>
  <c r="AW38" i="15"/>
  <c r="AD38" i="15"/>
  <c r="BG37" i="15"/>
  <c r="BF37" i="15"/>
  <c r="BE37" i="15"/>
  <c r="BD37" i="15"/>
  <c r="BC37" i="15"/>
  <c r="BB37" i="15"/>
  <c r="BA37" i="15"/>
  <c r="AZ37" i="15"/>
  <c r="AY37" i="15"/>
  <c r="AX37" i="15"/>
  <c r="AW37" i="15"/>
  <c r="AD37" i="15"/>
  <c r="BG36" i="15"/>
  <c r="BF36" i="15"/>
  <c r="BE36" i="15"/>
  <c r="BD36" i="15"/>
  <c r="BC36" i="15"/>
  <c r="BB36" i="15"/>
  <c r="BA36" i="15"/>
  <c r="AZ36" i="15"/>
  <c r="AY36" i="15"/>
  <c r="AX36" i="15"/>
  <c r="AW36" i="15"/>
  <c r="AD36" i="15"/>
  <c r="BG35" i="15"/>
  <c r="BF35" i="15"/>
  <c r="BE35" i="15"/>
  <c r="BD35" i="15"/>
  <c r="BC35" i="15"/>
  <c r="BB35" i="15"/>
  <c r="BA35" i="15"/>
  <c r="AZ35" i="15"/>
  <c r="AY35" i="15"/>
  <c r="AX35" i="15"/>
  <c r="AW35" i="15"/>
  <c r="AD35" i="15"/>
  <c r="BG34" i="15"/>
  <c r="BF34" i="15"/>
  <c r="BE34" i="15"/>
  <c r="BD34" i="15"/>
  <c r="BC34" i="15"/>
  <c r="BB34" i="15"/>
  <c r="BA34" i="15"/>
  <c r="AZ34" i="15"/>
  <c r="AY34" i="15"/>
  <c r="AX34" i="15"/>
  <c r="AW34" i="15"/>
  <c r="AD34" i="15"/>
  <c r="BG33" i="15"/>
  <c r="BF33" i="15"/>
  <c r="BE33" i="15"/>
  <c r="BD33" i="15"/>
  <c r="BC33" i="15"/>
  <c r="BB33" i="15"/>
  <c r="BA33" i="15"/>
  <c r="AZ33" i="15"/>
  <c r="AY33" i="15"/>
  <c r="AX33" i="15"/>
  <c r="AW33" i="15"/>
  <c r="AD33" i="15"/>
  <c r="BG32" i="15"/>
  <c r="BF32" i="15"/>
  <c r="BE32" i="15"/>
  <c r="BD32" i="15"/>
  <c r="BC32" i="15"/>
  <c r="BB32" i="15"/>
  <c r="BA32" i="15"/>
  <c r="AZ32" i="15"/>
  <c r="AY32" i="15"/>
  <c r="AX32" i="15"/>
  <c r="AW32" i="15"/>
  <c r="AD32" i="15"/>
  <c r="BG31" i="15"/>
  <c r="BF31" i="15"/>
  <c r="BE31" i="15"/>
  <c r="BD31" i="15"/>
  <c r="BC31" i="15"/>
  <c r="BB31" i="15"/>
  <c r="BA31" i="15"/>
  <c r="AZ31" i="15"/>
  <c r="AY31" i="15"/>
  <c r="AX31" i="15"/>
  <c r="AW31" i="15"/>
  <c r="AD31" i="15"/>
  <c r="BG30" i="15"/>
  <c r="BF30" i="15"/>
  <c r="BE30" i="15"/>
  <c r="BD30" i="15"/>
  <c r="BC30" i="15"/>
  <c r="BB30" i="15"/>
  <c r="BA30" i="15"/>
  <c r="AZ30" i="15"/>
  <c r="AY30" i="15"/>
  <c r="AX30" i="15"/>
  <c r="AW30" i="15"/>
  <c r="AD30" i="15"/>
  <c r="BG29" i="15"/>
  <c r="BF29" i="15"/>
  <c r="BE29" i="15"/>
  <c r="BD29" i="15"/>
  <c r="BC29" i="15"/>
  <c r="BB29" i="15"/>
  <c r="BA29" i="15"/>
  <c r="AZ29" i="15"/>
  <c r="AY29" i="15"/>
  <c r="AX29" i="15"/>
  <c r="AW29" i="15"/>
  <c r="AD29" i="15"/>
  <c r="BG28" i="15"/>
  <c r="BF28" i="15"/>
  <c r="BE28" i="15"/>
  <c r="BD28" i="15"/>
  <c r="BC28" i="15"/>
  <c r="BB28" i="15"/>
  <c r="BA28" i="15"/>
  <c r="AZ28" i="15"/>
  <c r="AY28" i="15"/>
  <c r="AX28" i="15"/>
  <c r="AW28" i="15"/>
  <c r="AN28" i="15"/>
  <c r="X28" i="15" s="1"/>
  <c r="AD28" i="15"/>
  <c r="BG25" i="15"/>
  <c r="BF25" i="15"/>
  <c r="BE25" i="15"/>
  <c r="BD25" i="15"/>
  <c r="BC25" i="15"/>
  <c r="BB25" i="15"/>
  <c r="BA25" i="15"/>
  <c r="AZ25" i="15"/>
  <c r="AY25" i="15"/>
  <c r="AX25" i="15"/>
  <c r="AW25" i="15"/>
  <c r="AD25" i="15"/>
  <c r="BG24" i="15"/>
  <c r="BF24" i="15"/>
  <c r="BE24" i="15"/>
  <c r="BD24" i="15"/>
  <c r="BC24" i="15"/>
  <c r="BB24" i="15"/>
  <c r="BA24" i="15"/>
  <c r="AZ24" i="15"/>
  <c r="AY24" i="15"/>
  <c r="AX24" i="15"/>
  <c r="AW24" i="15"/>
  <c r="AD24" i="15"/>
  <c r="BG22" i="15"/>
  <c r="BF22" i="15"/>
  <c r="BE22" i="15"/>
  <c r="BD22" i="15"/>
  <c r="BC22" i="15"/>
  <c r="BB22" i="15"/>
  <c r="BA22" i="15"/>
  <c r="AZ22" i="15"/>
  <c r="AY22" i="15"/>
  <c r="AX22" i="15"/>
  <c r="AW22" i="15"/>
  <c r="AN22" i="15"/>
  <c r="AD22" i="15"/>
  <c r="BG19" i="15"/>
  <c r="BF19" i="15"/>
  <c r="BE19" i="15"/>
  <c r="BD19" i="15"/>
  <c r="BC19" i="15"/>
  <c r="BB19" i="15"/>
  <c r="BA19" i="15"/>
  <c r="AZ19" i="15"/>
  <c r="AY19" i="15"/>
  <c r="AX19" i="15"/>
  <c r="AW19" i="15"/>
  <c r="AN19" i="15"/>
  <c r="X19" i="15" s="1"/>
  <c r="AD19" i="15"/>
  <c r="BG18" i="15"/>
  <c r="BF18" i="15"/>
  <c r="BE18" i="15"/>
  <c r="BD18" i="15"/>
  <c r="BC18" i="15"/>
  <c r="BB18" i="15"/>
  <c r="BA18" i="15"/>
  <c r="AZ18" i="15"/>
  <c r="AY18" i="15"/>
  <c r="AX18" i="15"/>
  <c r="AW18" i="15"/>
  <c r="AN18" i="15"/>
  <c r="AD18" i="15"/>
  <c r="BG17" i="15"/>
  <c r="BF17" i="15"/>
  <c r="BE17" i="15"/>
  <c r="BD17" i="15"/>
  <c r="BC17" i="15"/>
  <c r="BB17" i="15"/>
  <c r="BA17" i="15"/>
  <c r="AZ17" i="15"/>
  <c r="AY17" i="15"/>
  <c r="AX17" i="15"/>
  <c r="AW17" i="15"/>
  <c r="AN17" i="15"/>
  <c r="X17" i="15" s="1"/>
  <c r="AD17" i="15"/>
  <c r="BG16" i="15"/>
  <c r="BF16" i="15"/>
  <c r="BE16" i="15"/>
  <c r="BD16" i="15"/>
  <c r="BC16" i="15"/>
  <c r="BB16" i="15"/>
  <c r="BA16" i="15"/>
  <c r="AZ16" i="15"/>
  <c r="AY16" i="15"/>
  <c r="AX16" i="15"/>
  <c r="AW16" i="15"/>
  <c r="AN16" i="15"/>
  <c r="AD16" i="15"/>
  <c r="BG13" i="15"/>
  <c r="BF13" i="15"/>
  <c r="BE13" i="15"/>
  <c r="BD13" i="15"/>
  <c r="BC13" i="15"/>
  <c r="BB13" i="15"/>
  <c r="BA13" i="15"/>
  <c r="AZ13" i="15"/>
  <c r="AY13" i="15"/>
  <c r="AX13" i="15"/>
  <c r="AW13" i="15"/>
  <c r="AN13" i="15"/>
  <c r="X13" i="15" s="1"/>
  <c r="AD13" i="15"/>
  <c r="BG12" i="15"/>
  <c r="BF12" i="15"/>
  <c r="BE12" i="15"/>
  <c r="BD12" i="15"/>
  <c r="BC12" i="15"/>
  <c r="BB12" i="15"/>
  <c r="BA12" i="15"/>
  <c r="AZ12" i="15"/>
  <c r="AY12" i="15"/>
  <c r="AX12" i="15"/>
  <c r="AW12" i="15"/>
  <c r="AN12" i="15"/>
  <c r="X12" i="15" s="1"/>
  <c r="AD12" i="15"/>
  <c r="BG11" i="15"/>
  <c r="BF11" i="15"/>
  <c r="BE11" i="15"/>
  <c r="BD11" i="15"/>
  <c r="BC11" i="15"/>
  <c r="BB11" i="15"/>
  <c r="BA11" i="15"/>
  <c r="AZ11" i="15"/>
  <c r="AY11" i="15"/>
  <c r="AX11" i="15"/>
  <c r="AW11" i="15"/>
  <c r="AN11" i="15"/>
  <c r="X11" i="15" s="1"/>
  <c r="AD11" i="15"/>
  <c r="AD4" i="15"/>
  <c r="AH54" i="14"/>
  <c r="S4" i="14" s="1"/>
  <c r="AG54" i="14"/>
  <c r="AF54" i="14"/>
  <c r="S3" i="14" s="1"/>
  <c r="BG53" i="14"/>
  <c r="BF53" i="14"/>
  <c r="BE53" i="14"/>
  <c r="BD53" i="14"/>
  <c r="BC53" i="14"/>
  <c r="BB53" i="14"/>
  <c r="BA53" i="14"/>
  <c r="AZ53" i="14"/>
  <c r="AY53" i="14"/>
  <c r="AX53" i="14"/>
  <c r="AW53" i="14"/>
  <c r="BG52" i="14"/>
  <c r="BF52" i="14"/>
  <c r="BE52" i="14"/>
  <c r="BD52" i="14"/>
  <c r="BC52" i="14"/>
  <c r="BB52" i="14"/>
  <c r="BA52" i="14"/>
  <c r="AZ52" i="14"/>
  <c r="AY52" i="14"/>
  <c r="AX52" i="14"/>
  <c r="AW52" i="14"/>
  <c r="BG47" i="14"/>
  <c r="BF47" i="14"/>
  <c r="BE47" i="14"/>
  <c r="BD47" i="14"/>
  <c r="BC47" i="14"/>
  <c r="BB47" i="14"/>
  <c r="BA47" i="14"/>
  <c r="AZ47" i="14"/>
  <c r="AY47" i="14"/>
  <c r="AX47" i="14"/>
  <c r="AW47" i="14"/>
  <c r="BG46" i="14"/>
  <c r="BF46" i="14"/>
  <c r="BE46" i="14"/>
  <c r="BD46" i="14"/>
  <c r="BC46" i="14"/>
  <c r="BB46" i="14"/>
  <c r="BA46" i="14"/>
  <c r="AZ46" i="14"/>
  <c r="AY46" i="14"/>
  <c r="AX46" i="14"/>
  <c r="AW46" i="14"/>
  <c r="BG51" i="14"/>
  <c r="BF51" i="14"/>
  <c r="BE51" i="14"/>
  <c r="BD51" i="14"/>
  <c r="BC51" i="14"/>
  <c r="BB51" i="14"/>
  <c r="BA51" i="14"/>
  <c r="AZ51" i="14"/>
  <c r="AY51" i="14"/>
  <c r="AX51" i="14"/>
  <c r="AW51" i="14"/>
  <c r="BG50" i="14"/>
  <c r="BF50" i="14"/>
  <c r="BE50" i="14"/>
  <c r="BD50" i="14"/>
  <c r="BC50" i="14"/>
  <c r="BB50" i="14"/>
  <c r="BA50" i="14"/>
  <c r="AZ50" i="14"/>
  <c r="AY50" i="14"/>
  <c r="AX50" i="14"/>
  <c r="AW50" i="14"/>
  <c r="BG49" i="14"/>
  <c r="BF49" i="14"/>
  <c r="BE49" i="14"/>
  <c r="BD49" i="14"/>
  <c r="BC49" i="14"/>
  <c r="BB49" i="14"/>
  <c r="BA49" i="14"/>
  <c r="AZ49" i="14"/>
  <c r="AY49" i="14"/>
  <c r="AX49" i="14"/>
  <c r="AW49" i="14"/>
  <c r="BG48" i="14"/>
  <c r="BF48" i="14"/>
  <c r="BE48" i="14"/>
  <c r="BD48" i="14"/>
  <c r="BC48" i="14"/>
  <c r="BB48" i="14"/>
  <c r="BA48" i="14"/>
  <c r="AZ48" i="14"/>
  <c r="AY48" i="14"/>
  <c r="AX48" i="14"/>
  <c r="AW48" i="14"/>
  <c r="BG36" i="14"/>
  <c r="BF36" i="14"/>
  <c r="BE36" i="14"/>
  <c r="BD36" i="14"/>
  <c r="BC36" i="14"/>
  <c r="BB36" i="14"/>
  <c r="BA36" i="14"/>
  <c r="AZ36" i="14"/>
  <c r="AY36" i="14"/>
  <c r="AX36" i="14"/>
  <c r="AW36" i="14"/>
  <c r="BG35" i="14"/>
  <c r="BF35" i="14"/>
  <c r="BE35" i="14"/>
  <c r="BD35" i="14"/>
  <c r="BC35" i="14"/>
  <c r="BB35" i="14"/>
  <c r="BA35" i="14"/>
  <c r="AZ35" i="14"/>
  <c r="AY35" i="14"/>
  <c r="AX35" i="14"/>
  <c r="AW35" i="14"/>
  <c r="BG39" i="14"/>
  <c r="BF39" i="14"/>
  <c r="BE39" i="14"/>
  <c r="BD39" i="14"/>
  <c r="BC39" i="14"/>
  <c r="BB39" i="14"/>
  <c r="BA39" i="14"/>
  <c r="AZ39" i="14"/>
  <c r="AY39" i="14"/>
  <c r="AX39" i="14"/>
  <c r="AW39" i="14"/>
  <c r="BG38" i="14"/>
  <c r="BF38" i="14"/>
  <c r="BE38" i="14"/>
  <c r="BD38" i="14"/>
  <c r="BC38" i="14"/>
  <c r="BB38" i="14"/>
  <c r="BA38" i="14"/>
  <c r="AZ38" i="14"/>
  <c r="AY38" i="14"/>
  <c r="AX38" i="14"/>
  <c r="AW38" i="14"/>
  <c r="BG37" i="14"/>
  <c r="BF37" i="14"/>
  <c r="BE37" i="14"/>
  <c r="BD37" i="14"/>
  <c r="BC37" i="14"/>
  <c r="BB37" i="14"/>
  <c r="BA37" i="14"/>
  <c r="AZ37" i="14"/>
  <c r="AY37" i="14"/>
  <c r="AX37" i="14"/>
  <c r="AW37" i="14"/>
  <c r="BG33" i="14"/>
  <c r="BF33" i="14"/>
  <c r="BE33" i="14"/>
  <c r="BD33" i="14"/>
  <c r="BC33" i="14"/>
  <c r="BB33" i="14"/>
  <c r="BA33" i="14"/>
  <c r="AZ33" i="14"/>
  <c r="AY33" i="14"/>
  <c r="AX33" i="14"/>
  <c r="AW33" i="14"/>
  <c r="BG32" i="14"/>
  <c r="BF32" i="14"/>
  <c r="BE32" i="14"/>
  <c r="BD32" i="14"/>
  <c r="BC32" i="14"/>
  <c r="BB32" i="14"/>
  <c r="BA32" i="14"/>
  <c r="AZ32" i="14"/>
  <c r="AY32" i="14"/>
  <c r="AX32" i="14"/>
  <c r="AW32" i="14"/>
  <c r="BG31" i="14"/>
  <c r="BF31" i="14"/>
  <c r="BE31" i="14"/>
  <c r="BD31" i="14"/>
  <c r="BC31" i="14"/>
  <c r="BB31" i="14"/>
  <c r="BA31" i="14"/>
  <c r="AZ31" i="14"/>
  <c r="AY31" i="14"/>
  <c r="AX31" i="14"/>
  <c r="AW31" i="14"/>
  <c r="BG30" i="14"/>
  <c r="BF30" i="14"/>
  <c r="BE30" i="14"/>
  <c r="BD30" i="14"/>
  <c r="BC30" i="14"/>
  <c r="BB30" i="14"/>
  <c r="BA30" i="14"/>
  <c r="AZ30" i="14"/>
  <c r="AY30" i="14"/>
  <c r="AX30" i="14"/>
  <c r="AW30" i="14"/>
  <c r="BG29" i="14"/>
  <c r="BF29" i="14"/>
  <c r="BE29" i="14"/>
  <c r="BD29" i="14"/>
  <c r="BC29" i="14"/>
  <c r="BB29" i="14"/>
  <c r="BA29" i="14"/>
  <c r="AZ29" i="14"/>
  <c r="AY29" i="14"/>
  <c r="AX29" i="14"/>
  <c r="AW29" i="14"/>
  <c r="BG28" i="14"/>
  <c r="BF28" i="14"/>
  <c r="BE28" i="14"/>
  <c r="BD28" i="14"/>
  <c r="BC28" i="14"/>
  <c r="BB28" i="14"/>
  <c r="BA28" i="14"/>
  <c r="AZ28" i="14"/>
  <c r="AY28" i="14"/>
  <c r="AX28" i="14"/>
  <c r="AW28" i="14"/>
  <c r="BG27" i="14"/>
  <c r="BF27" i="14"/>
  <c r="BE27" i="14"/>
  <c r="BD27" i="14"/>
  <c r="BC27" i="14"/>
  <c r="BB27" i="14"/>
  <c r="BA27" i="14"/>
  <c r="AZ27" i="14"/>
  <c r="AY27" i="14"/>
  <c r="AX27" i="14"/>
  <c r="AW27" i="14"/>
  <c r="BG26" i="14"/>
  <c r="BF26" i="14"/>
  <c r="BE26" i="14"/>
  <c r="BD26" i="14"/>
  <c r="BC26" i="14"/>
  <c r="BB26" i="14"/>
  <c r="BA26" i="14"/>
  <c r="AZ26" i="14"/>
  <c r="AY26" i="14"/>
  <c r="AX26" i="14"/>
  <c r="AW26" i="14"/>
  <c r="BG25" i="14"/>
  <c r="BF25" i="14"/>
  <c r="BE25" i="14"/>
  <c r="BD25" i="14"/>
  <c r="BC25" i="14"/>
  <c r="BB25" i="14"/>
  <c r="BA25" i="14"/>
  <c r="AZ25" i="14"/>
  <c r="AY25" i="14"/>
  <c r="AX25" i="14"/>
  <c r="AW25" i="14"/>
  <c r="BG23" i="14"/>
  <c r="BF23" i="14"/>
  <c r="BE23" i="14"/>
  <c r="BD23" i="14"/>
  <c r="BC23" i="14"/>
  <c r="BB23" i="14"/>
  <c r="BA23" i="14"/>
  <c r="AZ23" i="14"/>
  <c r="AY23" i="14"/>
  <c r="AX23" i="14"/>
  <c r="AW23" i="14"/>
  <c r="BG22" i="14"/>
  <c r="BF22" i="14"/>
  <c r="BE22" i="14"/>
  <c r="BD22" i="14"/>
  <c r="BC22" i="14"/>
  <c r="BB22" i="14"/>
  <c r="BA22" i="14"/>
  <c r="AZ22" i="14"/>
  <c r="AY22" i="14"/>
  <c r="AX22" i="14"/>
  <c r="AW22" i="14"/>
  <c r="BG17" i="14"/>
  <c r="BF17" i="14"/>
  <c r="BE17" i="14"/>
  <c r="BD17" i="14"/>
  <c r="BC17" i="14"/>
  <c r="BB17" i="14"/>
  <c r="BA17" i="14"/>
  <c r="AZ17" i="14"/>
  <c r="AY17" i="14"/>
  <c r="AX17" i="14"/>
  <c r="AW17" i="14"/>
  <c r="BG16" i="14"/>
  <c r="BF16" i="14"/>
  <c r="BE16" i="14"/>
  <c r="BD16" i="14"/>
  <c r="BC16" i="14"/>
  <c r="BB16" i="14"/>
  <c r="BA16" i="14"/>
  <c r="AZ16" i="14"/>
  <c r="AY16" i="14"/>
  <c r="AX16" i="14"/>
  <c r="AW16" i="14"/>
  <c r="BG21" i="14"/>
  <c r="BF21" i="14"/>
  <c r="BE21" i="14"/>
  <c r="BD21" i="14"/>
  <c r="BC21" i="14"/>
  <c r="BB21" i="14"/>
  <c r="BA21" i="14"/>
  <c r="AZ21" i="14"/>
  <c r="AY21" i="14"/>
  <c r="AX21" i="14"/>
  <c r="AW21" i="14"/>
  <c r="BG14" i="14"/>
  <c r="BF14" i="14"/>
  <c r="BE14" i="14"/>
  <c r="BD14" i="14"/>
  <c r="BC14" i="14"/>
  <c r="BB14" i="14"/>
  <c r="BA14" i="14"/>
  <c r="AZ14" i="14"/>
  <c r="AY14" i="14"/>
  <c r="AX14" i="14"/>
  <c r="AW14" i="14"/>
  <c r="BG12" i="14"/>
  <c r="BF12" i="14"/>
  <c r="BE12" i="14"/>
  <c r="BD12" i="14"/>
  <c r="BC12" i="14"/>
  <c r="BB12" i="14"/>
  <c r="BA12" i="14"/>
  <c r="AZ12" i="14"/>
  <c r="AY12" i="14"/>
  <c r="AX12" i="14"/>
  <c r="AW12" i="14"/>
  <c r="BG11" i="14"/>
  <c r="BF11" i="14"/>
  <c r="BE11" i="14"/>
  <c r="BD11" i="14"/>
  <c r="BC11" i="14"/>
  <c r="BB11" i="14"/>
  <c r="BA11" i="14"/>
  <c r="AZ11" i="14"/>
  <c r="AY11" i="14"/>
  <c r="AX11" i="14"/>
  <c r="AW11" i="14"/>
  <c r="AD4" i="14"/>
  <c r="AH25" i="13"/>
  <c r="AG25" i="13"/>
  <c r="AF25" i="13"/>
  <c r="BG24" i="13"/>
  <c r="BF24" i="13"/>
  <c r="BE24" i="13"/>
  <c r="BD24" i="13"/>
  <c r="BC24" i="13"/>
  <c r="BB24" i="13"/>
  <c r="BA24" i="13"/>
  <c r="AZ24" i="13"/>
  <c r="AY24" i="13"/>
  <c r="AX24" i="13"/>
  <c r="AW24" i="13"/>
  <c r="BG23" i="13"/>
  <c r="BF23" i="13"/>
  <c r="BE23" i="13"/>
  <c r="BD23" i="13"/>
  <c r="BC23" i="13"/>
  <c r="BB23" i="13"/>
  <c r="BA23" i="13"/>
  <c r="AZ23" i="13"/>
  <c r="AY23" i="13"/>
  <c r="AX23" i="13"/>
  <c r="AW23" i="13"/>
  <c r="BG22" i="13"/>
  <c r="BF22" i="13"/>
  <c r="BE22" i="13"/>
  <c r="BD22" i="13"/>
  <c r="BC22" i="13"/>
  <c r="BB22" i="13"/>
  <c r="BA22" i="13"/>
  <c r="AZ22" i="13"/>
  <c r="AY22" i="13"/>
  <c r="AX22" i="13"/>
  <c r="AW22" i="13"/>
  <c r="BG20" i="13"/>
  <c r="BF20" i="13"/>
  <c r="BE20" i="13"/>
  <c r="BD20" i="13"/>
  <c r="BC20" i="13"/>
  <c r="BB20" i="13"/>
  <c r="BA20" i="13"/>
  <c r="AZ20" i="13"/>
  <c r="AY20" i="13"/>
  <c r="AX20" i="13"/>
  <c r="AW20" i="13"/>
  <c r="BG18" i="13"/>
  <c r="BF18" i="13"/>
  <c r="BE18" i="13"/>
  <c r="BD18" i="13"/>
  <c r="BC18" i="13"/>
  <c r="BB18" i="13"/>
  <c r="BA18" i="13"/>
  <c r="AZ18" i="13"/>
  <c r="AY18" i="13"/>
  <c r="AX18" i="13"/>
  <c r="AW18" i="13"/>
  <c r="BG17" i="13"/>
  <c r="BF17" i="13"/>
  <c r="BE17" i="13"/>
  <c r="BD17" i="13"/>
  <c r="BC17" i="13"/>
  <c r="BB17" i="13"/>
  <c r="BA17" i="13"/>
  <c r="AZ17" i="13"/>
  <c r="AY17" i="13"/>
  <c r="AX17" i="13"/>
  <c r="AW17" i="13"/>
  <c r="BG16" i="13"/>
  <c r="BF16" i="13"/>
  <c r="BE16" i="13"/>
  <c r="BD16" i="13"/>
  <c r="BC16" i="13"/>
  <c r="BB16" i="13"/>
  <c r="BA16" i="13"/>
  <c r="AZ16" i="13"/>
  <c r="AY16" i="13"/>
  <c r="AX16" i="13"/>
  <c r="AW16" i="13"/>
  <c r="BG14" i="13"/>
  <c r="BF14" i="13"/>
  <c r="BE14" i="13"/>
  <c r="BD14" i="13"/>
  <c r="BC14" i="13"/>
  <c r="BB14" i="13"/>
  <c r="BA14" i="13"/>
  <c r="AZ14" i="13"/>
  <c r="AY14" i="13"/>
  <c r="AX14" i="13"/>
  <c r="AW14" i="13"/>
  <c r="BG13" i="13"/>
  <c r="BF13" i="13"/>
  <c r="BE13" i="13"/>
  <c r="BD13" i="13"/>
  <c r="BC13" i="13"/>
  <c r="BB13" i="13"/>
  <c r="BA13" i="13"/>
  <c r="AZ13" i="13"/>
  <c r="AY13" i="13"/>
  <c r="AX13" i="13"/>
  <c r="AW13" i="13"/>
  <c r="BG11" i="13"/>
  <c r="BF11" i="13"/>
  <c r="BE11" i="13"/>
  <c r="BD11" i="13"/>
  <c r="BC11" i="13"/>
  <c r="BB11" i="13"/>
  <c r="BA11" i="13"/>
  <c r="AZ11" i="13"/>
  <c r="AY11" i="13"/>
  <c r="AX11" i="13"/>
  <c r="AW11" i="13"/>
  <c r="AD4" i="13"/>
  <c r="S4" i="13"/>
  <c r="X3" i="13" s="1"/>
  <c r="S3" i="13"/>
  <c r="AH40" i="12"/>
  <c r="S4" i="12" s="1"/>
  <c r="X3" i="12" s="1"/>
  <c r="AG40" i="12"/>
  <c r="AF40" i="12"/>
  <c r="BG39" i="12"/>
  <c r="BF39" i="12"/>
  <c r="BE39" i="12"/>
  <c r="BD39" i="12"/>
  <c r="BC39" i="12"/>
  <c r="BB39" i="12"/>
  <c r="BA39" i="12"/>
  <c r="AZ39" i="12"/>
  <c r="AY39" i="12"/>
  <c r="AX39" i="12"/>
  <c r="AW39" i="12"/>
  <c r="BG38" i="12"/>
  <c r="BF38" i="12"/>
  <c r="BE38" i="12"/>
  <c r="BD38" i="12"/>
  <c r="BC38" i="12"/>
  <c r="BB38" i="12"/>
  <c r="BA38" i="12"/>
  <c r="AZ38" i="12"/>
  <c r="AY38" i="12"/>
  <c r="AX38" i="12"/>
  <c r="AW38" i="12"/>
  <c r="BG37" i="12"/>
  <c r="BF37" i="12"/>
  <c r="BE37" i="12"/>
  <c r="BD37" i="12"/>
  <c r="BC37" i="12"/>
  <c r="BB37" i="12"/>
  <c r="BA37" i="12"/>
  <c r="AZ37" i="12"/>
  <c r="AY37" i="12"/>
  <c r="AX37" i="12"/>
  <c r="AW37" i="12"/>
  <c r="BG36" i="12"/>
  <c r="BF36" i="12"/>
  <c r="BE36" i="12"/>
  <c r="BD36" i="12"/>
  <c r="BC36" i="12"/>
  <c r="BB36" i="12"/>
  <c r="BA36" i="12"/>
  <c r="AZ36" i="12"/>
  <c r="AY36" i="12"/>
  <c r="AX36" i="12"/>
  <c r="AW36" i="12"/>
  <c r="BG35" i="12"/>
  <c r="BF35" i="12"/>
  <c r="BE35" i="12"/>
  <c r="BD35" i="12"/>
  <c r="BC35" i="12"/>
  <c r="BB35" i="12"/>
  <c r="BA35" i="12"/>
  <c r="AZ35" i="12"/>
  <c r="AY35" i="12"/>
  <c r="AX35" i="12"/>
  <c r="AW35" i="12"/>
  <c r="BG34" i="12"/>
  <c r="BF34" i="12"/>
  <c r="BE34" i="12"/>
  <c r="BD34" i="12"/>
  <c r="BC34" i="12"/>
  <c r="BB34" i="12"/>
  <c r="BA34" i="12"/>
  <c r="AZ34" i="12"/>
  <c r="AY34" i="12"/>
  <c r="AX34" i="12"/>
  <c r="AW34" i="12"/>
  <c r="BG33" i="12"/>
  <c r="BF33" i="12"/>
  <c r="BE33" i="12"/>
  <c r="BD33" i="12"/>
  <c r="BC33" i="12"/>
  <c r="BB33" i="12"/>
  <c r="BA33" i="12"/>
  <c r="AZ33" i="12"/>
  <c r="AY33" i="12"/>
  <c r="AX33" i="12"/>
  <c r="AW33" i="12"/>
  <c r="BG32" i="12"/>
  <c r="BF32" i="12"/>
  <c r="BE32" i="12"/>
  <c r="BD32" i="12"/>
  <c r="BC32" i="12"/>
  <c r="BB32" i="12"/>
  <c r="BA32" i="12"/>
  <c r="AZ32" i="12"/>
  <c r="AY32" i="12"/>
  <c r="AX32" i="12"/>
  <c r="AW32" i="12"/>
  <c r="BG31" i="12"/>
  <c r="BF31" i="12"/>
  <c r="BE31" i="12"/>
  <c r="BD31" i="12"/>
  <c r="BC31" i="12"/>
  <c r="BB31" i="12"/>
  <c r="BA31" i="12"/>
  <c r="AZ31" i="12"/>
  <c r="AY31" i="12"/>
  <c r="AX31" i="12"/>
  <c r="AW31" i="12"/>
  <c r="BG29" i="12"/>
  <c r="BF29" i="12"/>
  <c r="BE29" i="12"/>
  <c r="BD29" i="12"/>
  <c r="BC29" i="12"/>
  <c r="BB29" i="12"/>
  <c r="BA29" i="12"/>
  <c r="AZ29" i="12"/>
  <c r="AY29" i="12"/>
  <c r="AX29" i="12"/>
  <c r="AW29" i="12"/>
  <c r="BG28" i="12"/>
  <c r="BF28" i="12"/>
  <c r="BE28" i="12"/>
  <c r="BD28" i="12"/>
  <c r="BC28" i="12"/>
  <c r="BB28" i="12"/>
  <c r="BA28" i="12"/>
  <c r="AZ28" i="12"/>
  <c r="AY28" i="12"/>
  <c r="AX28" i="12"/>
  <c r="AW28" i="12"/>
  <c r="BG26" i="12"/>
  <c r="BF26" i="12"/>
  <c r="BE26" i="12"/>
  <c r="BD26" i="12"/>
  <c r="BC26" i="12"/>
  <c r="BB26" i="12"/>
  <c r="BA26" i="12"/>
  <c r="AZ26" i="12"/>
  <c r="AY26" i="12"/>
  <c r="AX26" i="12"/>
  <c r="AW26" i="12"/>
  <c r="BG25" i="12"/>
  <c r="BF25" i="12"/>
  <c r="BE25" i="12"/>
  <c r="BD25" i="12"/>
  <c r="BC25" i="12"/>
  <c r="BB25" i="12"/>
  <c r="BA25" i="12"/>
  <c r="AZ25" i="12"/>
  <c r="AY25" i="12"/>
  <c r="AX25" i="12"/>
  <c r="AW25" i="12"/>
  <c r="BG23" i="12"/>
  <c r="BF23" i="12"/>
  <c r="BE23" i="12"/>
  <c r="BD23" i="12"/>
  <c r="BC23" i="12"/>
  <c r="BB23" i="12"/>
  <c r="BA23" i="12"/>
  <c r="AZ23" i="12"/>
  <c r="AY23" i="12"/>
  <c r="AX23" i="12"/>
  <c r="AW23" i="12"/>
  <c r="BG22" i="12"/>
  <c r="BF22" i="12"/>
  <c r="BE22" i="12"/>
  <c r="BD22" i="12"/>
  <c r="BC22" i="12"/>
  <c r="BB22" i="12"/>
  <c r="BA22" i="12"/>
  <c r="AZ22" i="12"/>
  <c r="AY22" i="12"/>
  <c r="AX22" i="12"/>
  <c r="AW22" i="12"/>
  <c r="BG20" i="12"/>
  <c r="BF20" i="12"/>
  <c r="BE20" i="12"/>
  <c r="BD20" i="12"/>
  <c r="BC20" i="12"/>
  <c r="BB20" i="12"/>
  <c r="BA20" i="12"/>
  <c r="AZ20" i="12"/>
  <c r="AY20" i="12"/>
  <c r="AX20" i="12"/>
  <c r="AW20" i="12"/>
  <c r="BG19" i="12"/>
  <c r="BF19" i="12"/>
  <c r="BE19" i="12"/>
  <c r="BD19" i="12"/>
  <c r="BC19" i="12"/>
  <c r="BB19" i="12"/>
  <c r="BA19" i="12"/>
  <c r="AZ19" i="12"/>
  <c r="AY19" i="12"/>
  <c r="AX19" i="12"/>
  <c r="AW19" i="12"/>
  <c r="BG18" i="12"/>
  <c r="BF18" i="12"/>
  <c r="BE18" i="12"/>
  <c r="BD18" i="12"/>
  <c r="BC18" i="12"/>
  <c r="BB18" i="12"/>
  <c r="BA18" i="12"/>
  <c r="AZ18" i="12"/>
  <c r="AY18" i="12"/>
  <c r="AX18" i="12"/>
  <c r="AW18" i="12"/>
  <c r="BG17" i="12"/>
  <c r="BF17" i="12"/>
  <c r="BE17" i="12"/>
  <c r="BD17" i="12"/>
  <c r="BC17" i="12"/>
  <c r="BB17" i="12"/>
  <c r="BA17" i="12"/>
  <c r="AZ17" i="12"/>
  <c r="AY17" i="12"/>
  <c r="AX17" i="12"/>
  <c r="AW17" i="12"/>
  <c r="BG13" i="12"/>
  <c r="BF13" i="12"/>
  <c r="BE13" i="12"/>
  <c r="BD13" i="12"/>
  <c r="BC13" i="12"/>
  <c r="BB13" i="12"/>
  <c r="BA13" i="12"/>
  <c r="AZ13" i="12"/>
  <c r="AY13" i="12"/>
  <c r="AX13" i="12"/>
  <c r="AW13" i="12"/>
  <c r="BG12" i="12"/>
  <c r="BF12" i="12"/>
  <c r="BE12" i="12"/>
  <c r="BD12" i="12"/>
  <c r="BC12" i="12"/>
  <c r="BB12" i="12"/>
  <c r="BA12" i="12"/>
  <c r="AZ12" i="12"/>
  <c r="AY12" i="12"/>
  <c r="AX12" i="12"/>
  <c r="AW12" i="12"/>
  <c r="BG11" i="12"/>
  <c r="BF11" i="12"/>
  <c r="BE11" i="12"/>
  <c r="BD11" i="12"/>
  <c r="BC11" i="12"/>
  <c r="BB11" i="12"/>
  <c r="BA11" i="12"/>
  <c r="AZ11" i="12"/>
  <c r="AY11" i="12"/>
  <c r="AX11" i="12"/>
  <c r="AW11" i="12"/>
  <c r="AD4" i="12"/>
  <c r="S3" i="12"/>
  <c r="AH41" i="11"/>
  <c r="S4" i="11" s="1"/>
  <c r="X3" i="11" s="1"/>
  <c r="AG41" i="11"/>
  <c r="AF41" i="11"/>
  <c r="BG40" i="11"/>
  <c r="BF40" i="11"/>
  <c r="BE40" i="11"/>
  <c r="BD40" i="11"/>
  <c r="BC40" i="11"/>
  <c r="BB40" i="11"/>
  <c r="BA40" i="11"/>
  <c r="AZ40" i="11"/>
  <c r="AY40" i="11"/>
  <c r="AX40" i="11"/>
  <c r="AW40" i="11"/>
  <c r="BG39" i="11"/>
  <c r="BF39" i="11"/>
  <c r="BE39" i="11"/>
  <c r="BD39" i="11"/>
  <c r="BC39" i="11"/>
  <c r="BB39" i="11"/>
  <c r="BA39" i="11"/>
  <c r="AZ39" i="11"/>
  <c r="AY39" i="11"/>
  <c r="AX39" i="11"/>
  <c r="AW39" i="11"/>
  <c r="BG38" i="11"/>
  <c r="BF38" i="11"/>
  <c r="BE38" i="11"/>
  <c r="BD38" i="11"/>
  <c r="BC38" i="11"/>
  <c r="BB38" i="11"/>
  <c r="BA38" i="11"/>
  <c r="AZ38" i="11"/>
  <c r="AY38" i="11"/>
  <c r="AX38" i="11"/>
  <c r="AW38" i="11"/>
  <c r="BG37" i="11"/>
  <c r="BF37" i="11"/>
  <c r="BE37" i="11"/>
  <c r="BD37" i="11"/>
  <c r="BC37" i="11"/>
  <c r="BB37" i="11"/>
  <c r="BA37" i="11"/>
  <c r="AZ37" i="11"/>
  <c r="AY37" i="11"/>
  <c r="AX37" i="11"/>
  <c r="AW37" i="11"/>
  <c r="BG36" i="11"/>
  <c r="BF36" i="11"/>
  <c r="BE36" i="11"/>
  <c r="BD36" i="11"/>
  <c r="BC36" i="11"/>
  <c r="BB36" i="11"/>
  <c r="BA36" i="11"/>
  <c r="AZ36" i="11"/>
  <c r="AY36" i="11"/>
  <c r="AX36" i="11"/>
  <c r="AW36" i="11"/>
  <c r="BG35" i="11"/>
  <c r="BF35" i="11"/>
  <c r="BE35" i="11"/>
  <c r="BD35" i="11"/>
  <c r="BC35" i="11"/>
  <c r="BB35" i="11"/>
  <c r="BA35" i="11"/>
  <c r="AZ35" i="11"/>
  <c r="AY35" i="11"/>
  <c r="AX35" i="11"/>
  <c r="AW35" i="11"/>
  <c r="BG34" i="11"/>
  <c r="BF34" i="11"/>
  <c r="BE34" i="11"/>
  <c r="BD34" i="11"/>
  <c r="BC34" i="11"/>
  <c r="BB34" i="11"/>
  <c r="BA34" i="11"/>
  <c r="AZ34" i="11"/>
  <c r="AY34" i="11"/>
  <c r="AX34" i="11"/>
  <c r="AW34" i="11"/>
  <c r="BG33" i="11"/>
  <c r="BF33" i="11"/>
  <c r="BE33" i="11"/>
  <c r="BD33" i="11"/>
  <c r="BC33" i="11"/>
  <c r="BB33" i="11"/>
  <c r="BA33" i="11"/>
  <c r="AZ33" i="11"/>
  <c r="AY33" i="11"/>
  <c r="AX33" i="11"/>
  <c r="AW33" i="11"/>
  <c r="BG32" i="11"/>
  <c r="BF32" i="11"/>
  <c r="BE32" i="11"/>
  <c r="BD32" i="11"/>
  <c r="BC32" i="11"/>
  <c r="BB32" i="11"/>
  <c r="BA32" i="11"/>
  <c r="AZ32" i="11"/>
  <c r="AY32" i="11"/>
  <c r="AX32" i="11"/>
  <c r="AW32" i="11"/>
  <c r="BG31" i="11"/>
  <c r="BF31" i="11"/>
  <c r="BE31" i="11"/>
  <c r="BD31" i="11"/>
  <c r="BC31" i="11"/>
  <c r="BB31" i="11"/>
  <c r="BA31" i="11"/>
  <c r="AZ31" i="11"/>
  <c r="AY31" i="11"/>
  <c r="AX31" i="11"/>
  <c r="AW31" i="11"/>
  <c r="BG29" i="11"/>
  <c r="BF29" i="11"/>
  <c r="BE29" i="11"/>
  <c r="BD29" i="11"/>
  <c r="BC29" i="11"/>
  <c r="BB29" i="11"/>
  <c r="BA29" i="11"/>
  <c r="AZ29" i="11"/>
  <c r="AY29" i="11"/>
  <c r="AX29" i="11"/>
  <c r="AW29" i="11"/>
  <c r="BG28" i="11"/>
  <c r="BF28" i="11"/>
  <c r="BE28" i="11"/>
  <c r="BD28" i="11"/>
  <c r="BC28" i="11"/>
  <c r="BB28" i="11"/>
  <c r="BA28" i="11"/>
  <c r="AZ28" i="11"/>
  <c r="AY28" i="11"/>
  <c r="AX28" i="11"/>
  <c r="AW28" i="11"/>
  <c r="BG26" i="11"/>
  <c r="BF26" i="11"/>
  <c r="BE26" i="11"/>
  <c r="BD26" i="11"/>
  <c r="BC26" i="11"/>
  <c r="BB26" i="11"/>
  <c r="BA26" i="11"/>
  <c r="AZ26" i="11"/>
  <c r="AY26" i="11"/>
  <c r="AX26" i="11"/>
  <c r="AW26" i="11"/>
  <c r="BG25" i="11"/>
  <c r="BF25" i="11"/>
  <c r="BE25" i="11"/>
  <c r="BD25" i="11"/>
  <c r="BC25" i="11"/>
  <c r="BB25" i="11"/>
  <c r="BA25" i="11"/>
  <c r="AZ25" i="11"/>
  <c r="AY25" i="11"/>
  <c r="AX25" i="11"/>
  <c r="AW25" i="11"/>
  <c r="BG23" i="11"/>
  <c r="BF23" i="11"/>
  <c r="BE23" i="11"/>
  <c r="BD23" i="11"/>
  <c r="BC23" i="11"/>
  <c r="BB23" i="11"/>
  <c r="BA23" i="11"/>
  <c r="AZ23" i="11"/>
  <c r="AY23" i="11"/>
  <c r="AX23" i="11"/>
  <c r="AW23" i="11"/>
  <c r="BG22" i="11"/>
  <c r="BF22" i="11"/>
  <c r="BE22" i="11"/>
  <c r="BD22" i="11"/>
  <c r="BC22" i="11"/>
  <c r="BB22" i="11"/>
  <c r="BA22" i="11"/>
  <c r="AZ22" i="11"/>
  <c r="AY22" i="11"/>
  <c r="AX22" i="11"/>
  <c r="AW22" i="11"/>
  <c r="BG21" i="11"/>
  <c r="BF21" i="11"/>
  <c r="BE21" i="11"/>
  <c r="BD21" i="11"/>
  <c r="BC21" i="11"/>
  <c r="BB21" i="11"/>
  <c r="BA21" i="11"/>
  <c r="AZ21" i="11"/>
  <c r="AY21" i="11"/>
  <c r="AX21" i="11"/>
  <c r="AW21" i="11"/>
  <c r="BG19" i="11"/>
  <c r="BF19" i="11"/>
  <c r="BE19" i="11"/>
  <c r="BD19" i="11"/>
  <c r="BC19" i="11"/>
  <c r="BB19" i="11"/>
  <c r="BA19" i="11"/>
  <c r="AZ19" i="11"/>
  <c r="AY19" i="11"/>
  <c r="AX19" i="11"/>
  <c r="AW19" i="11"/>
  <c r="BG18" i="11"/>
  <c r="BF18" i="11"/>
  <c r="BE18" i="11"/>
  <c r="BD18" i="11"/>
  <c r="BC18" i="11"/>
  <c r="BB18" i="11"/>
  <c r="BA18" i="11"/>
  <c r="AZ18" i="11"/>
  <c r="AY18" i="11"/>
  <c r="AX18" i="11"/>
  <c r="AW18" i="11"/>
  <c r="BG17" i="11"/>
  <c r="BF17" i="11"/>
  <c r="BE17" i="11"/>
  <c r="BD17" i="11"/>
  <c r="BC17" i="11"/>
  <c r="BB17" i="11"/>
  <c r="BA17" i="11"/>
  <c r="AZ17" i="11"/>
  <c r="AY17" i="11"/>
  <c r="AX17" i="11"/>
  <c r="AW17" i="11"/>
  <c r="BG16" i="11"/>
  <c r="BF16" i="11"/>
  <c r="BE16" i="11"/>
  <c r="BD16" i="11"/>
  <c r="BC16" i="11"/>
  <c r="BB16" i="11"/>
  <c r="BA16" i="11"/>
  <c r="AZ16" i="11"/>
  <c r="AY16" i="11"/>
  <c r="AX16" i="11"/>
  <c r="AW16" i="11"/>
  <c r="BG14" i="11"/>
  <c r="BF14" i="11"/>
  <c r="BE14" i="11"/>
  <c r="BD14" i="11"/>
  <c r="BC14" i="11"/>
  <c r="BB14" i="11"/>
  <c r="BA14" i="11"/>
  <c r="AZ14" i="11"/>
  <c r="AY14" i="11"/>
  <c r="AX14" i="11"/>
  <c r="AW14" i="11"/>
  <c r="BG12" i="11"/>
  <c r="BF12" i="11"/>
  <c r="BE12" i="11"/>
  <c r="BD12" i="11"/>
  <c r="BC12" i="11"/>
  <c r="BB12" i="11"/>
  <c r="BA12" i="11"/>
  <c r="AZ12" i="11"/>
  <c r="AY12" i="11"/>
  <c r="AX12" i="11"/>
  <c r="AW12" i="11"/>
  <c r="BG11" i="11"/>
  <c r="BF11" i="11"/>
  <c r="BE11" i="11"/>
  <c r="BD11" i="11"/>
  <c r="BC11" i="11"/>
  <c r="BB11" i="11"/>
  <c r="BA11" i="11"/>
  <c r="AZ11" i="11"/>
  <c r="AY11" i="11"/>
  <c r="AX11" i="11"/>
  <c r="AW11" i="11"/>
  <c r="AI41" i="11"/>
  <c r="X2" i="11" s="1"/>
  <c r="AD4" i="11"/>
  <c r="S3" i="11"/>
  <c r="AH41" i="10"/>
  <c r="S4" i="10" s="1"/>
  <c r="X3" i="10" s="1"/>
  <c r="AG41" i="10"/>
  <c r="AF41" i="10"/>
  <c r="BG40" i="10"/>
  <c r="BF40" i="10"/>
  <c r="BE40" i="10"/>
  <c r="BD40" i="10"/>
  <c r="BC40" i="10"/>
  <c r="BB40" i="10"/>
  <c r="BA40" i="10"/>
  <c r="AZ40" i="10"/>
  <c r="AY40" i="10"/>
  <c r="AX40" i="10"/>
  <c r="AW40" i="10"/>
  <c r="BG39" i="10"/>
  <c r="BF39" i="10"/>
  <c r="BE39" i="10"/>
  <c r="BD39" i="10"/>
  <c r="BC39" i="10"/>
  <c r="BB39" i="10"/>
  <c r="BA39" i="10"/>
  <c r="AZ39" i="10"/>
  <c r="AY39" i="10"/>
  <c r="AX39" i="10"/>
  <c r="AW39" i="10"/>
  <c r="BG38" i="10"/>
  <c r="BF38" i="10"/>
  <c r="BE38" i="10"/>
  <c r="BD38" i="10"/>
  <c r="BC38" i="10"/>
  <c r="BB38" i="10"/>
  <c r="BA38" i="10"/>
  <c r="AZ38" i="10"/>
  <c r="AY38" i="10"/>
  <c r="AX38" i="10"/>
  <c r="AW38" i="10"/>
  <c r="BG37" i="10"/>
  <c r="BF37" i="10"/>
  <c r="BE37" i="10"/>
  <c r="BD37" i="10"/>
  <c r="BC37" i="10"/>
  <c r="BB37" i="10"/>
  <c r="BA37" i="10"/>
  <c r="AZ37" i="10"/>
  <c r="AY37" i="10"/>
  <c r="AX37" i="10"/>
  <c r="AW37" i="10"/>
  <c r="BG36" i="10"/>
  <c r="BF36" i="10"/>
  <c r="BE36" i="10"/>
  <c r="BD36" i="10"/>
  <c r="BC36" i="10"/>
  <c r="BB36" i="10"/>
  <c r="BA36" i="10"/>
  <c r="AZ36" i="10"/>
  <c r="AY36" i="10"/>
  <c r="AX36" i="10"/>
  <c r="AW36" i="10"/>
  <c r="BG35" i="10"/>
  <c r="BF35" i="10"/>
  <c r="BE35" i="10"/>
  <c r="BD35" i="10"/>
  <c r="BC35" i="10"/>
  <c r="BB35" i="10"/>
  <c r="BA35" i="10"/>
  <c r="AZ35" i="10"/>
  <c r="AY35" i="10"/>
  <c r="AX35" i="10"/>
  <c r="AW35" i="10"/>
  <c r="BG34" i="10"/>
  <c r="BF34" i="10"/>
  <c r="BE34" i="10"/>
  <c r="BD34" i="10"/>
  <c r="BC34" i="10"/>
  <c r="BB34" i="10"/>
  <c r="BA34" i="10"/>
  <c r="AZ34" i="10"/>
  <c r="AY34" i="10"/>
  <c r="AX34" i="10"/>
  <c r="AW34" i="10"/>
  <c r="BG33" i="10"/>
  <c r="BF33" i="10"/>
  <c r="BE33" i="10"/>
  <c r="BD33" i="10"/>
  <c r="BC33" i="10"/>
  <c r="BB33" i="10"/>
  <c r="BA33" i="10"/>
  <c r="AZ33" i="10"/>
  <c r="AY33" i="10"/>
  <c r="AX33" i="10"/>
  <c r="AW33" i="10"/>
  <c r="BG32" i="10"/>
  <c r="BF32" i="10"/>
  <c r="BE32" i="10"/>
  <c r="BD32" i="10"/>
  <c r="BC32" i="10"/>
  <c r="BB32" i="10"/>
  <c r="BA32" i="10"/>
  <c r="AZ32" i="10"/>
  <c r="AY32" i="10"/>
  <c r="AX32" i="10"/>
  <c r="AW32" i="10"/>
  <c r="BG31" i="10"/>
  <c r="BF31" i="10"/>
  <c r="BE31" i="10"/>
  <c r="BD31" i="10"/>
  <c r="BC31" i="10"/>
  <c r="BB31" i="10"/>
  <c r="BA31" i="10"/>
  <c r="AZ31" i="10"/>
  <c r="AY31" i="10"/>
  <c r="AX31" i="10"/>
  <c r="AW31" i="10"/>
  <c r="BG29" i="10"/>
  <c r="BF29" i="10"/>
  <c r="BE29" i="10"/>
  <c r="BD29" i="10"/>
  <c r="BC29" i="10"/>
  <c r="BB29" i="10"/>
  <c r="BA29" i="10"/>
  <c r="AZ29" i="10"/>
  <c r="AY29" i="10"/>
  <c r="AX29" i="10"/>
  <c r="AW29" i="10"/>
  <c r="BG28" i="10"/>
  <c r="BF28" i="10"/>
  <c r="BE28" i="10"/>
  <c r="BD28" i="10"/>
  <c r="BC28" i="10"/>
  <c r="BB28" i="10"/>
  <c r="BA28" i="10"/>
  <c r="AZ28" i="10"/>
  <c r="AY28" i="10"/>
  <c r="AX28" i="10"/>
  <c r="AW28" i="10"/>
  <c r="BG26" i="10"/>
  <c r="BF26" i="10"/>
  <c r="BE26" i="10"/>
  <c r="BD26" i="10"/>
  <c r="BC26" i="10"/>
  <c r="BB26" i="10"/>
  <c r="BA26" i="10"/>
  <c r="AZ26" i="10"/>
  <c r="AY26" i="10"/>
  <c r="AX26" i="10"/>
  <c r="AW26" i="10"/>
  <c r="BG25" i="10"/>
  <c r="BF25" i="10"/>
  <c r="BE25" i="10"/>
  <c r="BD25" i="10"/>
  <c r="BC25" i="10"/>
  <c r="BB25" i="10"/>
  <c r="BA25" i="10"/>
  <c r="AZ25" i="10"/>
  <c r="AY25" i="10"/>
  <c r="AX25" i="10"/>
  <c r="AW25" i="10"/>
  <c r="BG23" i="10"/>
  <c r="BF23" i="10"/>
  <c r="BE23" i="10"/>
  <c r="BD23" i="10"/>
  <c r="BC23" i="10"/>
  <c r="BB23" i="10"/>
  <c r="BA23" i="10"/>
  <c r="AZ23" i="10"/>
  <c r="AY23" i="10"/>
  <c r="AX23" i="10"/>
  <c r="AW23" i="10"/>
  <c r="BG22" i="10"/>
  <c r="BF22" i="10"/>
  <c r="BE22" i="10"/>
  <c r="BD22" i="10"/>
  <c r="BC22" i="10"/>
  <c r="BB22" i="10"/>
  <c r="BA22" i="10"/>
  <c r="AZ22" i="10"/>
  <c r="AY22" i="10"/>
  <c r="AX22" i="10"/>
  <c r="AW22" i="10"/>
  <c r="BG21" i="10"/>
  <c r="BF21" i="10"/>
  <c r="BE21" i="10"/>
  <c r="BD21" i="10"/>
  <c r="BC21" i="10"/>
  <c r="BB21" i="10"/>
  <c r="BA21" i="10"/>
  <c r="AZ21" i="10"/>
  <c r="AY21" i="10"/>
  <c r="AX21" i="10"/>
  <c r="AW21" i="10"/>
  <c r="BG19" i="10"/>
  <c r="BF19" i="10"/>
  <c r="BE19" i="10"/>
  <c r="BD19" i="10"/>
  <c r="BC19" i="10"/>
  <c r="BB19" i="10"/>
  <c r="BA19" i="10"/>
  <c r="AZ19" i="10"/>
  <c r="AY19" i="10"/>
  <c r="AX19" i="10"/>
  <c r="AW19" i="10"/>
  <c r="BG18" i="10"/>
  <c r="BF18" i="10"/>
  <c r="BE18" i="10"/>
  <c r="BD18" i="10"/>
  <c r="BC18" i="10"/>
  <c r="BB18" i="10"/>
  <c r="BA18" i="10"/>
  <c r="AZ18" i="10"/>
  <c r="AY18" i="10"/>
  <c r="AX18" i="10"/>
  <c r="AW18" i="10"/>
  <c r="BG17" i="10"/>
  <c r="BF17" i="10"/>
  <c r="BE17" i="10"/>
  <c r="BD17" i="10"/>
  <c r="BC17" i="10"/>
  <c r="BB17" i="10"/>
  <c r="BA17" i="10"/>
  <c r="AZ17" i="10"/>
  <c r="AY17" i="10"/>
  <c r="AX17" i="10"/>
  <c r="AW17" i="10"/>
  <c r="BG16" i="10"/>
  <c r="BF16" i="10"/>
  <c r="BE16" i="10"/>
  <c r="BD16" i="10"/>
  <c r="BC16" i="10"/>
  <c r="BB16" i="10"/>
  <c r="BA16" i="10"/>
  <c r="AZ16" i="10"/>
  <c r="AY16" i="10"/>
  <c r="AX16" i="10"/>
  <c r="AW16" i="10"/>
  <c r="BG14" i="10"/>
  <c r="BF14" i="10"/>
  <c r="BE14" i="10"/>
  <c r="BD14" i="10"/>
  <c r="BC14" i="10"/>
  <c r="BB14" i="10"/>
  <c r="BA14" i="10"/>
  <c r="AZ14" i="10"/>
  <c r="AY14" i="10"/>
  <c r="AX14" i="10"/>
  <c r="AW14" i="10"/>
  <c r="BG12" i="10"/>
  <c r="BF12" i="10"/>
  <c r="BE12" i="10"/>
  <c r="BD12" i="10"/>
  <c r="BC12" i="10"/>
  <c r="BB12" i="10"/>
  <c r="BA12" i="10"/>
  <c r="AZ12" i="10"/>
  <c r="AY12" i="10"/>
  <c r="AX12" i="10"/>
  <c r="AW12" i="10"/>
  <c r="BG11" i="10"/>
  <c r="BF11" i="10"/>
  <c r="BE11" i="10"/>
  <c r="BD11" i="10"/>
  <c r="BC11" i="10"/>
  <c r="BB11" i="10"/>
  <c r="BA11" i="10"/>
  <c r="AZ11" i="10"/>
  <c r="AY11" i="10"/>
  <c r="AX11" i="10"/>
  <c r="AW11" i="10"/>
  <c r="AD4" i="10"/>
  <c r="S3" i="10"/>
  <c r="AH60" i="9"/>
  <c r="S4" i="9" s="1"/>
  <c r="X3" i="9" s="1"/>
  <c r="Y3" i="9" s="1"/>
  <c r="AG60" i="9"/>
  <c r="AF60" i="9"/>
  <c r="S3" i="9" s="1"/>
  <c r="BG59" i="9"/>
  <c r="BF59" i="9"/>
  <c r="BE59" i="9"/>
  <c r="BD59" i="9"/>
  <c r="BC59" i="9"/>
  <c r="BB59" i="9"/>
  <c r="BA59" i="9"/>
  <c r="AZ59" i="9"/>
  <c r="AY59" i="9"/>
  <c r="AX59" i="9"/>
  <c r="AW59" i="9"/>
  <c r="BG58" i="9"/>
  <c r="BF58" i="9"/>
  <c r="BE58" i="9"/>
  <c r="BD58" i="9"/>
  <c r="BC58" i="9"/>
  <c r="BB58" i="9"/>
  <c r="BA58" i="9"/>
  <c r="AZ58" i="9"/>
  <c r="AY58" i="9"/>
  <c r="AX58" i="9"/>
  <c r="AW58" i="9"/>
  <c r="BG57" i="9"/>
  <c r="BF57" i="9"/>
  <c r="BE57" i="9"/>
  <c r="BD57" i="9"/>
  <c r="BC57" i="9"/>
  <c r="BB57" i="9"/>
  <c r="BA57" i="9"/>
  <c r="AZ57" i="9"/>
  <c r="AY57" i="9"/>
  <c r="AX57" i="9"/>
  <c r="AW57" i="9"/>
  <c r="BG56" i="9"/>
  <c r="BF56" i="9"/>
  <c r="BE56" i="9"/>
  <c r="BD56" i="9"/>
  <c r="BC56" i="9"/>
  <c r="BB56" i="9"/>
  <c r="BA56" i="9"/>
  <c r="AZ56" i="9"/>
  <c r="AY56" i="9"/>
  <c r="AX56" i="9"/>
  <c r="AW56" i="9"/>
  <c r="BG55" i="9"/>
  <c r="BF55" i="9"/>
  <c r="BE55" i="9"/>
  <c r="BD55" i="9"/>
  <c r="BC55" i="9"/>
  <c r="BB55" i="9"/>
  <c r="BA55" i="9"/>
  <c r="AZ55" i="9"/>
  <c r="AY55" i="9"/>
  <c r="AX55" i="9"/>
  <c r="AW55" i="9"/>
  <c r="BG54" i="9"/>
  <c r="BF54" i="9"/>
  <c r="BE54" i="9"/>
  <c r="BD54" i="9"/>
  <c r="BC54" i="9"/>
  <c r="BB54" i="9"/>
  <c r="BA54" i="9"/>
  <c r="AZ54" i="9"/>
  <c r="AY54" i="9"/>
  <c r="AX54" i="9"/>
  <c r="AW54" i="9"/>
  <c r="BG53" i="9"/>
  <c r="BF53" i="9"/>
  <c r="BE53" i="9"/>
  <c r="BD53" i="9"/>
  <c r="BC53" i="9"/>
  <c r="BB53" i="9"/>
  <c r="BA53" i="9"/>
  <c r="AZ53" i="9"/>
  <c r="AY53" i="9"/>
  <c r="AX53" i="9"/>
  <c r="AW53" i="9"/>
  <c r="BG52" i="9"/>
  <c r="BF52" i="9"/>
  <c r="BE52" i="9"/>
  <c r="BD52" i="9"/>
  <c r="BC52" i="9"/>
  <c r="BB52" i="9"/>
  <c r="BA52" i="9"/>
  <c r="AZ52" i="9"/>
  <c r="AY52" i="9"/>
  <c r="AX52" i="9"/>
  <c r="AW52" i="9"/>
  <c r="BG51" i="9"/>
  <c r="BF51" i="9"/>
  <c r="BE51" i="9"/>
  <c r="BD51" i="9"/>
  <c r="BC51" i="9"/>
  <c r="BB51" i="9"/>
  <c r="BA51" i="9"/>
  <c r="AZ51" i="9"/>
  <c r="AY51" i="9"/>
  <c r="AX51" i="9"/>
  <c r="AW51" i="9"/>
  <c r="BG50" i="9"/>
  <c r="BF50" i="9"/>
  <c r="BE50" i="9"/>
  <c r="BD50" i="9"/>
  <c r="BC50" i="9"/>
  <c r="BB50" i="9"/>
  <c r="BA50" i="9"/>
  <c r="AZ50" i="9"/>
  <c r="AY50" i="9"/>
  <c r="AX50" i="9"/>
  <c r="AW50" i="9"/>
  <c r="BG49" i="9"/>
  <c r="BF49" i="9"/>
  <c r="BE49" i="9"/>
  <c r="BD49" i="9"/>
  <c r="BC49" i="9"/>
  <c r="BB49" i="9"/>
  <c r="BA49" i="9"/>
  <c r="AZ49" i="9"/>
  <c r="AY49" i="9"/>
  <c r="AX49" i="9"/>
  <c r="AW49" i="9"/>
  <c r="BG38" i="9"/>
  <c r="BF38" i="9"/>
  <c r="BE38" i="9"/>
  <c r="BD38" i="9"/>
  <c r="BC38" i="9"/>
  <c r="BB38" i="9"/>
  <c r="BA38" i="9"/>
  <c r="AZ38" i="9"/>
  <c r="AY38" i="9"/>
  <c r="AX38" i="9"/>
  <c r="AW38" i="9"/>
  <c r="BG37" i="9"/>
  <c r="BF37" i="9"/>
  <c r="BE37" i="9"/>
  <c r="BD37" i="9"/>
  <c r="BC37" i="9"/>
  <c r="BB37" i="9"/>
  <c r="BA37" i="9"/>
  <c r="AZ37" i="9"/>
  <c r="AY37" i="9"/>
  <c r="AX37" i="9"/>
  <c r="AW37" i="9"/>
  <c r="BG41" i="9"/>
  <c r="BF41" i="9"/>
  <c r="BE41" i="9"/>
  <c r="BD41" i="9"/>
  <c r="BC41" i="9"/>
  <c r="BB41" i="9"/>
  <c r="BA41" i="9"/>
  <c r="AZ41" i="9"/>
  <c r="AY41" i="9"/>
  <c r="AX41" i="9"/>
  <c r="AW41" i="9"/>
  <c r="BG40" i="9"/>
  <c r="BF40" i="9"/>
  <c r="BE40" i="9"/>
  <c r="BD40" i="9"/>
  <c r="BC40" i="9"/>
  <c r="BB40" i="9"/>
  <c r="BA40" i="9"/>
  <c r="AZ40" i="9"/>
  <c r="AY40" i="9"/>
  <c r="AX40" i="9"/>
  <c r="AW40" i="9"/>
  <c r="BG39" i="9"/>
  <c r="BF39" i="9"/>
  <c r="BE39" i="9"/>
  <c r="BD39" i="9"/>
  <c r="BC39" i="9"/>
  <c r="BB39" i="9"/>
  <c r="BA39" i="9"/>
  <c r="AZ39" i="9"/>
  <c r="AY39" i="9"/>
  <c r="AX39" i="9"/>
  <c r="AW39" i="9"/>
  <c r="BG35" i="9"/>
  <c r="BF35" i="9"/>
  <c r="BE35" i="9"/>
  <c r="BD35" i="9"/>
  <c r="BC35" i="9"/>
  <c r="BB35" i="9"/>
  <c r="BA35" i="9"/>
  <c r="AZ35" i="9"/>
  <c r="AY35" i="9"/>
  <c r="AX35" i="9"/>
  <c r="AW35" i="9"/>
  <c r="BG34" i="9"/>
  <c r="BF34" i="9"/>
  <c r="BE34" i="9"/>
  <c r="BD34" i="9"/>
  <c r="BC34" i="9"/>
  <c r="BB34" i="9"/>
  <c r="BA34" i="9"/>
  <c r="AZ34" i="9"/>
  <c r="AY34" i="9"/>
  <c r="AX34" i="9"/>
  <c r="AW34" i="9"/>
  <c r="BG33" i="9"/>
  <c r="BF33" i="9"/>
  <c r="BE33" i="9"/>
  <c r="BD33" i="9"/>
  <c r="BC33" i="9"/>
  <c r="BB33" i="9"/>
  <c r="BA33" i="9"/>
  <c r="AZ33" i="9"/>
  <c r="AY33" i="9"/>
  <c r="AX33" i="9"/>
  <c r="AW33" i="9"/>
  <c r="BG32" i="9"/>
  <c r="BF32" i="9"/>
  <c r="BE32" i="9"/>
  <c r="BD32" i="9"/>
  <c r="BC32" i="9"/>
  <c r="BB32" i="9"/>
  <c r="BA32" i="9"/>
  <c r="AZ32" i="9"/>
  <c r="AY32" i="9"/>
  <c r="AX32" i="9"/>
  <c r="AW32" i="9"/>
  <c r="BG31" i="9"/>
  <c r="BF31" i="9"/>
  <c r="BE31" i="9"/>
  <c r="BD31" i="9"/>
  <c r="BC31" i="9"/>
  <c r="BB31" i="9"/>
  <c r="BA31" i="9"/>
  <c r="AZ31" i="9"/>
  <c r="AY31" i="9"/>
  <c r="AX31" i="9"/>
  <c r="AW31" i="9"/>
  <c r="BG30" i="9"/>
  <c r="BF30" i="9"/>
  <c r="BE30" i="9"/>
  <c r="BD30" i="9"/>
  <c r="BC30" i="9"/>
  <c r="BB30" i="9"/>
  <c r="BA30" i="9"/>
  <c r="AZ30" i="9"/>
  <c r="AY30" i="9"/>
  <c r="AX30" i="9"/>
  <c r="AW30" i="9"/>
  <c r="BG29" i="9"/>
  <c r="BF29" i="9"/>
  <c r="BE29" i="9"/>
  <c r="BD29" i="9"/>
  <c r="BC29" i="9"/>
  <c r="BB29" i="9"/>
  <c r="BA29" i="9"/>
  <c r="AZ29" i="9"/>
  <c r="AY29" i="9"/>
  <c r="AX29" i="9"/>
  <c r="AW29" i="9"/>
  <c r="BG28" i="9"/>
  <c r="BF28" i="9"/>
  <c r="BE28" i="9"/>
  <c r="BD28" i="9"/>
  <c r="BC28" i="9"/>
  <c r="BB28" i="9"/>
  <c r="BA28" i="9"/>
  <c r="AZ28" i="9"/>
  <c r="AY28" i="9"/>
  <c r="AX28" i="9"/>
  <c r="AW28" i="9"/>
  <c r="BG27" i="9"/>
  <c r="BF27" i="9"/>
  <c r="BE27" i="9"/>
  <c r="BD27" i="9"/>
  <c r="BC27" i="9"/>
  <c r="BB27" i="9"/>
  <c r="BA27" i="9"/>
  <c r="AZ27" i="9"/>
  <c r="AY27" i="9"/>
  <c r="AX27" i="9"/>
  <c r="AW27" i="9"/>
  <c r="BG25" i="9"/>
  <c r="BF25" i="9"/>
  <c r="BE25" i="9"/>
  <c r="BD25" i="9"/>
  <c r="BC25" i="9"/>
  <c r="BB25" i="9"/>
  <c r="BA25" i="9"/>
  <c r="AZ25" i="9"/>
  <c r="AY25" i="9"/>
  <c r="AX25" i="9"/>
  <c r="AW25" i="9"/>
  <c r="BG24" i="9"/>
  <c r="BF24" i="9"/>
  <c r="BE24" i="9"/>
  <c r="BD24" i="9"/>
  <c r="BC24" i="9"/>
  <c r="BB24" i="9"/>
  <c r="BA24" i="9"/>
  <c r="AZ24" i="9"/>
  <c r="AY24" i="9"/>
  <c r="AX24" i="9"/>
  <c r="AW24" i="9"/>
  <c r="BG23" i="9"/>
  <c r="BF23" i="9"/>
  <c r="BE23" i="9"/>
  <c r="BD23" i="9"/>
  <c r="BC23" i="9"/>
  <c r="BB23" i="9"/>
  <c r="BA23" i="9"/>
  <c r="AZ23" i="9"/>
  <c r="AY23" i="9"/>
  <c r="AX23" i="9"/>
  <c r="AW23" i="9"/>
  <c r="BG20" i="9"/>
  <c r="BF20" i="9"/>
  <c r="BE20" i="9"/>
  <c r="BD20" i="9"/>
  <c r="BC20" i="9"/>
  <c r="BB20" i="9"/>
  <c r="BA20" i="9"/>
  <c r="AZ20" i="9"/>
  <c r="AY20" i="9"/>
  <c r="AX20" i="9"/>
  <c r="AW20" i="9"/>
  <c r="BG19" i="9"/>
  <c r="BF19" i="9"/>
  <c r="BE19" i="9"/>
  <c r="BD19" i="9"/>
  <c r="BC19" i="9"/>
  <c r="BB19" i="9"/>
  <c r="BA19" i="9"/>
  <c r="AZ19" i="9"/>
  <c r="AY19" i="9"/>
  <c r="AX19" i="9"/>
  <c r="AW19" i="9"/>
  <c r="BG18" i="9"/>
  <c r="BF18" i="9"/>
  <c r="BE18" i="9"/>
  <c r="BD18" i="9"/>
  <c r="BC18" i="9"/>
  <c r="BB18" i="9"/>
  <c r="BA18" i="9"/>
  <c r="AZ18" i="9"/>
  <c r="AY18" i="9"/>
  <c r="AX18" i="9"/>
  <c r="AW18" i="9"/>
  <c r="BG17" i="9"/>
  <c r="BF17" i="9"/>
  <c r="BE17" i="9"/>
  <c r="BD17" i="9"/>
  <c r="BC17" i="9"/>
  <c r="BB17" i="9"/>
  <c r="BA17" i="9"/>
  <c r="AZ17" i="9"/>
  <c r="AY17" i="9"/>
  <c r="AX17" i="9"/>
  <c r="AW17" i="9"/>
  <c r="BG16" i="9"/>
  <c r="BF16" i="9"/>
  <c r="BE16" i="9"/>
  <c r="BD16" i="9"/>
  <c r="BC16" i="9"/>
  <c r="BB16" i="9"/>
  <c r="BA16" i="9"/>
  <c r="AZ16" i="9"/>
  <c r="AY16" i="9"/>
  <c r="AX16" i="9"/>
  <c r="AW16" i="9"/>
  <c r="BG14" i="9"/>
  <c r="BF14" i="9"/>
  <c r="BE14" i="9"/>
  <c r="BD14" i="9"/>
  <c r="BC14" i="9"/>
  <c r="BB14" i="9"/>
  <c r="BA14" i="9"/>
  <c r="AZ14" i="9"/>
  <c r="AY14" i="9"/>
  <c r="AX14" i="9"/>
  <c r="AW14" i="9"/>
  <c r="BG12" i="9"/>
  <c r="BF12" i="9"/>
  <c r="BE12" i="9"/>
  <c r="BD12" i="9"/>
  <c r="BC12" i="9"/>
  <c r="BB12" i="9"/>
  <c r="BA12" i="9"/>
  <c r="AZ12" i="9"/>
  <c r="AY12" i="9"/>
  <c r="AX12" i="9"/>
  <c r="AW12" i="9"/>
  <c r="BG11" i="9"/>
  <c r="BF11" i="9"/>
  <c r="BE11" i="9"/>
  <c r="BD11" i="9"/>
  <c r="BC11" i="9"/>
  <c r="BB11" i="9"/>
  <c r="BA11" i="9"/>
  <c r="AZ11" i="9"/>
  <c r="AY11" i="9"/>
  <c r="AX11" i="9"/>
  <c r="AW11" i="9"/>
  <c r="AI60" i="9"/>
  <c r="X2" i="9" s="1"/>
  <c r="AD4" i="9"/>
  <c r="AH19" i="8"/>
  <c r="S4" i="8" s="1"/>
  <c r="X3" i="8" s="1"/>
  <c r="AG19" i="8"/>
  <c r="AF19" i="8"/>
  <c r="S3" i="8" s="1"/>
  <c r="BG18" i="8"/>
  <c r="BF18" i="8"/>
  <c r="BE18" i="8"/>
  <c r="BD18" i="8"/>
  <c r="BC18" i="8"/>
  <c r="BB18" i="8"/>
  <c r="BA18" i="8"/>
  <c r="AZ18" i="8"/>
  <c r="AY18" i="8"/>
  <c r="AX18" i="8"/>
  <c r="AW18" i="8"/>
  <c r="BG17" i="8"/>
  <c r="BF17" i="8"/>
  <c r="BE17" i="8"/>
  <c r="BD17" i="8"/>
  <c r="BC17" i="8"/>
  <c r="BB17" i="8"/>
  <c r="BA17" i="8"/>
  <c r="AZ17" i="8"/>
  <c r="AY17" i="8"/>
  <c r="AX17" i="8"/>
  <c r="AW17" i="8"/>
  <c r="BG16" i="8"/>
  <c r="BF16" i="8"/>
  <c r="BE16" i="8"/>
  <c r="BD16" i="8"/>
  <c r="BC16" i="8"/>
  <c r="BB16" i="8"/>
  <c r="BA16" i="8"/>
  <c r="AZ16" i="8"/>
  <c r="AY16" i="8"/>
  <c r="AX16" i="8"/>
  <c r="AW16" i="8"/>
  <c r="BG15" i="8"/>
  <c r="BF15" i="8"/>
  <c r="BE15" i="8"/>
  <c r="BD15" i="8"/>
  <c r="BC15" i="8"/>
  <c r="BB15" i="8"/>
  <c r="BA15" i="8"/>
  <c r="AZ15" i="8"/>
  <c r="AY15" i="8"/>
  <c r="AX15" i="8"/>
  <c r="AW15" i="8"/>
  <c r="BG12" i="8"/>
  <c r="BF12" i="8"/>
  <c r="BE12" i="8"/>
  <c r="BD12" i="8"/>
  <c r="BC12" i="8"/>
  <c r="BB12" i="8"/>
  <c r="AZ12" i="8"/>
  <c r="AY12" i="8"/>
  <c r="AX12" i="8"/>
  <c r="AW12" i="8"/>
  <c r="BG11" i="8"/>
  <c r="BF11" i="8"/>
  <c r="BE11" i="8"/>
  <c r="BD11" i="8"/>
  <c r="AZ11" i="8"/>
  <c r="AY11" i="8"/>
  <c r="AX11" i="8"/>
  <c r="AW11" i="8"/>
  <c r="AD4" i="8"/>
  <c r="AH27" i="7"/>
  <c r="S4" i="7" s="1"/>
  <c r="X3" i="7" s="1"/>
  <c r="AG27" i="7"/>
  <c r="AF27" i="7"/>
  <c r="S3" i="7" s="1"/>
  <c r="BG26" i="7"/>
  <c r="BF26" i="7"/>
  <c r="BE26" i="7"/>
  <c r="BD26" i="7"/>
  <c r="BC26" i="7"/>
  <c r="BB26" i="7"/>
  <c r="BA26" i="7"/>
  <c r="AZ26" i="7"/>
  <c r="AY26" i="7"/>
  <c r="AX26" i="7"/>
  <c r="AW26" i="7"/>
  <c r="BG25" i="7"/>
  <c r="BF25" i="7"/>
  <c r="BE25" i="7"/>
  <c r="BD25" i="7"/>
  <c r="BC25" i="7"/>
  <c r="BB25" i="7"/>
  <c r="BA25" i="7"/>
  <c r="AZ25" i="7"/>
  <c r="AY25" i="7"/>
  <c r="AX25" i="7"/>
  <c r="AW25" i="7"/>
  <c r="BG24" i="7"/>
  <c r="BF24" i="7"/>
  <c r="BE24" i="7"/>
  <c r="BD24" i="7"/>
  <c r="BC24" i="7"/>
  <c r="BB24" i="7"/>
  <c r="BA24" i="7"/>
  <c r="AZ24" i="7"/>
  <c r="AY24" i="7"/>
  <c r="AX24" i="7"/>
  <c r="AW24" i="7"/>
  <c r="BG22" i="7"/>
  <c r="BF22" i="7"/>
  <c r="BE22" i="7"/>
  <c r="BD22" i="7"/>
  <c r="BC22" i="7"/>
  <c r="BB22" i="7"/>
  <c r="BA22" i="7"/>
  <c r="AZ22" i="7"/>
  <c r="AY22" i="7"/>
  <c r="AX22" i="7"/>
  <c r="AW22" i="7"/>
  <c r="BG21" i="7"/>
  <c r="BF21" i="7"/>
  <c r="BE21" i="7"/>
  <c r="BD21" i="7"/>
  <c r="BC21" i="7"/>
  <c r="BB21" i="7"/>
  <c r="BA21" i="7"/>
  <c r="AZ21" i="7"/>
  <c r="AY21" i="7"/>
  <c r="AX21" i="7"/>
  <c r="AW21" i="7"/>
  <c r="BG20" i="7"/>
  <c r="BF20" i="7"/>
  <c r="BE20" i="7"/>
  <c r="BD20" i="7"/>
  <c r="BC20" i="7"/>
  <c r="BB20" i="7"/>
  <c r="BA20" i="7"/>
  <c r="AZ20" i="7"/>
  <c r="AY20" i="7"/>
  <c r="AX20" i="7"/>
  <c r="AW20" i="7"/>
  <c r="BG19" i="7"/>
  <c r="BF19" i="7"/>
  <c r="BE19" i="7"/>
  <c r="BD19" i="7"/>
  <c r="BC19" i="7"/>
  <c r="BB19" i="7"/>
  <c r="BA19" i="7"/>
  <c r="AZ19" i="7"/>
  <c r="AY19" i="7"/>
  <c r="AX19" i="7"/>
  <c r="AW19" i="7"/>
  <c r="BG18" i="7"/>
  <c r="BF18" i="7"/>
  <c r="BE18" i="7"/>
  <c r="BD18" i="7"/>
  <c r="BC18" i="7"/>
  <c r="BB18" i="7"/>
  <c r="BA18" i="7"/>
  <c r="AZ18" i="7"/>
  <c r="AY18" i="7"/>
  <c r="AX18" i="7"/>
  <c r="AW18" i="7"/>
  <c r="BG17" i="7"/>
  <c r="BF17" i="7"/>
  <c r="BE17" i="7"/>
  <c r="BD17" i="7"/>
  <c r="BC17" i="7"/>
  <c r="BB17" i="7"/>
  <c r="BA17" i="7"/>
  <c r="AZ17" i="7"/>
  <c r="AY17" i="7"/>
  <c r="AX17" i="7"/>
  <c r="AW17" i="7"/>
  <c r="BG15" i="7"/>
  <c r="BF15" i="7"/>
  <c r="BE15" i="7"/>
  <c r="BD15" i="7"/>
  <c r="BC15" i="7"/>
  <c r="BB15" i="7"/>
  <c r="BA15" i="7"/>
  <c r="AZ15" i="7"/>
  <c r="AY15" i="7"/>
  <c r="AX15" i="7"/>
  <c r="AW15" i="7"/>
  <c r="BG13" i="7"/>
  <c r="BF13" i="7"/>
  <c r="BE13" i="7"/>
  <c r="BD13" i="7"/>
  <c r="BC13" i="7"/>
  <c r="BB13" i="7"/>
  <c r="BA13" i="7"/>
  <c r="AZ13" i="7"/>
  <c r="AY13" i="7"/>
  <c r="AX13" i="7"/>
  <c r="AW13" i="7"/>
  <c r="BG12" i="7"/>
  <c r="BF12" i="7"/>
  <c r="BE12" i="7"/>
  <c r="BD12" i="7"/>
  <c r="BC12" i="7"/>
  <c r="BB12" i="7"/>
  <c r="BA12" i="7"/>
  <c r="AZ12" i="7"/>
  <c r="AY12" i="7"/>
  <c r="AX12" i="7"/>
  <c r="AW12" i="7"/>
  <c r="BG11" i="7"/>
  <c r="BF11" i="7"/>
  <c r="BE11" i="7"/>
  <c r="BD11" i="7"/>
  <c r="BC11" i="7"/>
  <c r="BB11" i="7"/>
  <c r="BA11" i="7"/>
  <c r="AZ11" i="7"/>
  <c r="AY11" i="7"/>
  <c r="AX11" i="7"/>
  <c r="AW11" i="7"/>
  <c r="AD4" i="7"/>
  <c r="AH39" i="6"/>
  <c r="S4" i="6" s="1"/>
  <c r="X3" i="6" s="1"/>
  <c r="AG39" i="6"/>
  <c r="AF39" i="6"/>
  <c r="S3" i="6" s="1"/>
  <c r="BG38" i="6"/>
  <c r="BF38" i="6"/>
  <c r="BE38" i="6"/>
  <c r="BD38" i="6"/>
  <c r="BC38" i="6"/>
  <c r="BB38" i="6"/>
  <c r="BA38" i="6"/>
  <c r="AZ38" i="6"/>
  <c r="AY38" i="6"/>
  <c r="AX38" i="6"/>
  <c r="AW38" i="6"/>
  <c r="BG37" i="6"/>
  <c r="BF37" i="6"/>
  <c r="BE37" i="6"/>
  <c r="BD37" i="6"/>
  <c r="BC37" i="6"/>
  <c r="BB37" i="6"/>
  <c r="BA37" i="6"/>
  <c r="AZ37" i="6"/>
  <c r="AY37" i="6"/>
  <c r="AX37" i="6"/>
  <c r="AW37" i="6"/>
  <c r="BG36" i="6"/>
  <c r="BF36" i="6"/>
  <c r="BE36" i="6"/>
  <c r="BD36" i="6"/>
  <c r="BC36" i="6"/>
  <c r="BB36" i="6"/>
  <c r="BA36" i="6"/>
  <c r="AZ36" i="6"/>
  <c r="AY36" i="6"/>
  <c r="AX36" i="6"/>
  <c r="AW36" i="6"/>
  <c r="BG35" i="6"/>
  <c r="BF35" i="6"/>
  <c r="BE35" i="6"/>
  <c r="BD35" i="6"/>
  <c r="BC35" i="6"/>
  <c r="BB35" i="6"/>
  <c r="BA35" i="6"/>
  <c r="AZ35" i="6"/>
  <c r="AY35" i="6"/>
  <c r="AX35" i="6"/>
  <c r="AW35" i="6"/>
  <c r="BG34" i="6"/>
  <c r="BF34" i="6"/>
  <c r="BE34" i="6"/>
  <c r="BD34" i="6"/>
  <c r="BC34" i="6"/>
  <c r="BB34" i="6"/>
  <c r="BA34" i="6"/>
  <c r="AZ34" i="6"/>
  <c r="AY34" i="6"/>
  <c r="AX34" i="6"/>
  <c r="AW34" i="6"/>
  <c r="BG33" i="6"/>
  <c r="BF33" i="6"/>
  <c r="BE33" i="6"/>
  <c r="BD33" i="6"/>
  <c r="BC33" i="6"/>
  <c r="BB33" i="6"/>
  <c r="BA33" i="6"/>
  <c r="AZ33" i="6"/>
  <c r="AY33" i="6"/>
  <c r="AX33" i="6"/>
  <c r="AW33" i="6"/>
  <c r="BG32" i="6"/>
  <c r="BF32" i="6"/>
  <c r="BE32" i="6"/>
  <c r="BD32" i="6"/>
  <c r="BC32" i="6"/>
  <c r="BB32" i="6"/>
  <c r="BA32" i="6"/>
  <c r="AZ32" i="6"/>
  <c r="AY32" i="6"/>
  <c r="AX32" i="6"/>
  <c r="AW32" i="6"/>
  <c r="BG30" i="6"/>
  <c r="BF30" i="6"/>
  <c r="BE30" i="6"/>
  <c r="BD30" i="6"/>
  <c r="BC30" i="6"/>
  <c r="BB30" i="6"/>
  <c r="BA30" i="6"/>
  <c r="AZ30" i="6"/>
  <c r="AY30" i="6"/>
  <c r="AX30" i="6"/>
  <c r="AW30" i="6"/>
  <c r="BG29" i="6"/>
  <c r="BF29" i="6"/>
  <c r="BE29" i="6"/>
  <c r="BD29" i="6"/>
  <c r="BC29" i="6"/>
  <c r="BB29" i="6"/>
  <c r="BA29" i="6"/>
  <c r="AZ29" i="6"/>
  <c r="AY29" i="6"/>
  <c r="AX29" i="6"/>
  <c r="AW29" i="6"/>
  <c r="BG27" i="6"/>
  <c r="BF27" i="6"/>
  <c r="BE27" i="6"/>
  <c r="BD27" i="6"/>
  <c r="BC27" i="6"/>
  <c r="BB27" i="6"/>
  <c r="BA27" i="6"/>
  <c r="AZ27" i="6"/>
  <c r="AY27" i="6"/>
  <c r="AX27" i="6"/>
  <c r="AW27" i="6"/>
  <c r="BG25" i="6"/>
  <c r="BF25" i="6"/>
  <c r="BE25" i="6"/>
  <c r="BD25" i="6"/>
  <c r="BC25" i="6"/>
  <c r="BB25" i="6"/>
  <c r="BA25" i="6"/>
  <c r="AZ25" i="6"/>
  <c r="AY25" i="6"/>
  <c r="AX25" i="6"/>
  <c r="AW25" i="6"/>
  <c r="BG24" i="6"/>
  <c r="BF24" i="6"/>
  <c r="BE24" i="6"/>
  <c r="BD24" i="6"/>
  <c r="BC24" i="6"/>
  <c r="BB24" i="6"/>
  <c r="BA24" i="6"/>
  <c r="AZ24" i="6"/>
  <c r="AY24" i="6"/>
  <c r="AX24" i="6"/>
  <c r="AW24" i="6"/>
  <c r="BG23" i="6"/>
  <c r="BF23" i="6"/>
  <c r="BE23" i="6"/>
  <c r="BD23" i="6"/>
  <c r="BC23" i="6"/>
  <c r="BB23" i="6"/>
  <c r="BA23" i="6"/>
  <c r="AZ23" i="6"/>
  <c r="AY23" i="6"/>
  <c r="AX23" i="6"/>
  <c r="AW23" i="6"/>
  <c r="BG22" i="6"/>
  <c r="BF22" i="6"/>
  <c r="BE22" i="6"/>
  <c r="BD22" i="6"/>
  <c r="BC22" i="6"/>
  <c r="BB22" i="6"/>
  <c r="BA22" i="6"/>
  <c r="AZ22" i="6"/>
  <c r="AY22" i="6"/>
  <c r="AX22" i="6"/>
  <c r="AW22" i="6"/>
  <c r="BG20" i="6"/>
  <c r="BF20" i="6"/>
  <c r="BE20" i="6"/>
  <c r="BD20" i="6"/>
  <c r="BC20" i="6"/>
  <c r="BB20" i="6"/>
  <c r="BA20" i="6"/>
  <c r="AZ20" i="6"/>
  <c r="AY20" i="6"/>
  <c r="AX20" i="6"/>
  <c r="AW20" i="6"/>
  <c r="BG19" i="6"/>
  <c r="BF19" i="6"/>
  <c r="BE19" i="6"/>
  <c r="BD19" i="6"/>
  <c r="BC19" i="6"/>
  <c r="BB19" i="6"/>
  <c r="BA19" i="6"/>
  <c r="AZ19" i="6"/>
  <c r="AY19" i="6"/>
  <c r="AX19" i="6"/>
  <c r="AW19" i="6"/>
  <c r="BG18" i="6"/>
  <c r="BF18" i="6"/>
  <c r="BE18" i="6"/>
  <c r="BD18" i="6"/>
  <c r="BC18" i="6"/>
  <c r="BB18" i="6"/>
  <c r="BA18" i="6"/>
  <c r="AZ18" i="6"/>
  <c r="AY18" i="6"/>
  <c r="AX18" i="6"/>
  <c r="AW18" i="6"/>
  <c r="BG17" i="6"/>
  <c r="BF17" i="6"/>
  <c r="BE17" i="6"/>
  <c r="BD17" i="6"/>
  <c r="BC17" i="6"/>
  <c r="BB17" i="6"/>
  <c r="BA17" i="6"/>
  <c r="AZ17" i="6"/>
  <c r="AY17" i="6"/>
  <c r="AX17" i="6"/>
  <c r="AW17" i="6"/>
  <c r="BG16" i="6"/>
  <c r="BF16" i="6"/>
  <c r="BE16" i="6"/>
  <c r="BD16" i="6"/>
  <c r="BC16" i="6"/>
  <c r="BB16" i="6"/>
  <c r="BA16" i="6"/>
  <c r="AZ16" i="6"/>
  <c r="AY16" i="6"/>
  <c r="AX16" i="6"/>
  <c r="AW16" i="6"/>
  <c r="BG14" i="6"/>
  <c r="BF14" i="6"/>
  <c r="BE14" i="6"/>
  <c r="BD14" i="6"/>
  <c r="BC14" i="6"/>
  <c r="BB14" i="6"/>
  <c r="BA14" i="6"/>
  <c r="AZ14" i="6"/>
  <c r="AY14" i="6"/>
  <c r="AX14" i="6"/>
  <c r="AW14" i="6"/>
  <c r="BG12" i="6"/>
  <c r="BF12" i="6"/>
  <c r="BE12" i="6"/>
  <c r="BD12" i="6"/>
  <c r="BC12" i="6"/>
  <c r="BB12" i="6"/>
  <c r="BA12" i="6"/>
  <c r="AZ12" i="6"/>
  <c r="AY12" i="6"/>
  <c r="AX12" i="6"/>
  <c r="AW12" i="6"/>
  <c r="BG11" i="6"/>
  <c r="BF11" i="6"/>
  <c r="BE11" i="6"/>
  <c r="BD11" i="6"/>
  <c r="BC11" i="6"/>
  <c r="BB11" i="6"/>
  <c r="BA11" i="6"/>
  <c r="AZ11" i="6"/>
  <c r="AY11" i="6"/>
  <c r="AX11" i="6"/>
  <c r="AW11" i="6"/>
  <c r="AD4" i="6"/>
  <c r="AH35" i="5"/>
  <c r="S4" i="5" s="1"/>
  <c r="X3" i="5" s="1"/>
  <c r="AG35" i="5"/>
  <c r="AF35" i="5"/>
  <c r="S3" i="5" s="1"/>
  <c r="BG34" i="5"/>
  <c r="BF34" i="5"/>
  <c r="BE34" i="5"/>
  <c r="BD34" i="5"/>
  <c r="BC34" i="5"/>
  <c r="BB34" i="5"/>
  <c r="BA34" i="5"/>
  <c r="AZ34" i="5"/>
  <c r="AY34" i="5"/>
  <c r="AX34" i="5"/>
  <c r="AW34" i="5"/>
  <c r="AN34" i="5"/>
  <c r="X34" i="5" s="1"/>
  <c r="AD34" i="5"/>
  <c r="BG33" i="5"/>
  <c r="BF33" i="5"/>
  <c r="BE33" i="5"/>
  <c r="BD33" i="5"/>
  <c r="BC33" i="5"/>
  <c r="BB33" i="5"/>
  <c r="BA33" i="5"/>
  <c r="AZ33" i="5"/>
  <c r="AY33" i="5"/>
  <c r="AX33" i="5"/>
  <c r="AW33" i="5"/>
  <c r="AN33" i="5"/>
  <c r="X33" i="5" s="1"/>
  <c r="AD33" i="5"/>
  <c r="BG32" i="5"/>
  <c r="BF32" i="5"/>
  <c r="BE32" i="5"/>
  <c r="BD32" i="5"/>
  <c r="BC32" i="5"/>
  <c r="BB32" i="5"/>
  <c r="BA32" i="5"/>
  <c r="AZ32" i="5"/>
  <c r="AY32" i="5"/>
  <c r="AX32" i="5"/>
  <c r="AW32" i="5"/>
  <c r="AN32" i="5"/>
  <c r="X32" i="5" s="1"/>
  <c r="AD32" i="5"/>
  <c r="BG31" i="5"/>
  <c r="BF31" i="5"/>
  <c r="BE31" i="5"/>
  <c r="BD31" i="5"/>
  <c r="BC31" i="5"/>
  <c r="BB31" i="5"/>
  <c r="BA31" i="5"/>
  <c r="AZ31" i="5"/>
  <c r="AY31" i="5"/>
  <c r="AX31" i="5"/>
  <c r="AW31" i="5"/>
  <c r="AN31" i="5"/>
  <c r="X31" i="5" s="1"/>
  <c r="AD31" i="5"/>
  <c r="BG30" i="5"/>
  <c r="BF30" i="5"/>
  <c r="BE30" i="5"/>
  <c r="BD30" i="5"/>
  <c r="BC30" i="5"/>
  <c r="BB30" i="5"/>
  <c r="BA30" i="5"/>
  <c r="AZ30" i="5"/>
  <c r="AY30" i="5"/>
  <c r="AX30" i="5"/>
  <c r="AW30" i="5"/>
  <c r="AN30" i="5"/>
  <c r="X30" i="5" s="1"/>
  <c r="AD30" i="5"/>
  <c r="BG29" i="5"/>
  <c r="BF29" i="5"/>
  <c r="BE29" i="5"/>
  <c r="BD29" i="5"/>
  <c r="BC29" i="5"/>
  <c r="BB29" i="5"/>
  <c r="BA29" i="5"/>
  <c r="AZ29" i="5"/>
  <c r="AY29" i="5"/>
  <c r="AX29" i="5"/>
  <c r="AW29" i="5"/>
  <c r="AN29" i="5"/>
  <c r="AD29" i="5"/>
  <c r="BG28" i="5"/>
  <c r="BF28" i="5"/>
  <c r="BE28" i="5"/>
  <c r="BD28" i="5"/>
  <c r="BC28" i="5"/>
  <c r="BB28" i="5"/>
  <c r="BA28" i="5"/>
  <c r="AZ28" i="5"/>
  <c r="AY28" i="5"/>
  <c r="AX28" i="5"/>
  <c r="AW28" i="5"/>
  <c r="AN28" i="5"/>
  <c r="X28" i="5" s="1"/>
  <c r="AD28" i="5"/>
  <c r="BG26" i="5"/>
  <c r="BF26" i="5"/>
  <c r="BE26" i="5"/>
  <c r="BD26" i="5"/>
  <c r="BC26" i="5"/>
  <c r="BB26" i="5"/>
  <c r="BA26" i="5"/>
  <c r="AZ26" i="5"/>
  <c r="AY26" i="5"/>
  <c r="AX26" i="5"/>
  <c r="AW26" i="5"/>
  <c r="AN26" i="5"/>
  <c r="AD26" i="5"/>
  <c r="BG24" i="5"/>
  <c r="BF24" i="5"/>
  <c r="BE24" i="5"/>
  <c r="BD24" i="5"/>
  <c r="BC24" i="5"/>
  <c r="BB24" i="5"/>
  <c r="BA24" i="5"/>
  <c r="AZ24" i="5"/>
  <c r="AY24" i="5"/>
  <c r="AX24" i="5"/>
  <c r="AW24" i="5"/>
  <c r="AN24" i="5"/>
  <c r="AD24" i="5"/>
  <c r="BG23" i="5"/>
  <c r="BF23" i="5"/>
  <c r="BE23" i="5"/>
  <c r="BD23" i="5"/>
  <c r="BC23" i="5"/>
  <c r="BB23" i="5"/>
  <c r="BA23" i="5"/>
  <c r="AZ23" i="5"/>
  <c r="AY23" i="5"/>
  <c r="AX23" i="5"/>
  <c r="AW23" i="5"/>
  <c r="AN23" i="5"/>
  <c r="X23" i="5" s="1"/>
  <c r="AD23" i="5"/>
  <c r="BG22" i="5"/>
  <c r="BF22" i="5"/>
  <c r="BE22" i="5"/>
  <c r="BD22" i="5"/>
  <c r="BC22" i="5"/>
  <c r="BB22" i="5"/>
  <c r="BA22" i="5"/>
  <c r="AZ22" i="5"/>
  <c r="AY22" i="5"/>
  <c r="AX22" i="5"/>
  <c r="AW22" i="5"/>
  <c r="AN22" i="5"/>
  <c r="X22" i="5" s="1"/>
  <c r="AD22" i="5"/>
  <c r="BG19" i="5"/>
  <c r="BF19" i="5"/>
  <c r="BE19" i="5"/>
  <c r="BD19" i="5"/>
  <c r="BC19" i="5"/>
  <c r="BB19" i="5"/>
  <c r="BA19" i="5"/>
  <c r="AZ19" i="5"/>
  <c r="AY19" i="5"/>
  <c r="AX19" i="5"/>
  <c r="AW19" i="5"/>
  <c r="AN19" i="5"/>
  <c r="AD19" i="5"/>
  <c r="BG18" i="5"/>
  <c r="BF18" i="5"/>
  <c r="BE18" i="5"/>
  <c r="BD18" i="5"/>
  <c r="BC18" i="5"/>
  <c r="BB18" i="5"/>
  <c r="BA18" i="5"/>
  <c r="AZ18" i="5"/>
  <c r="AY18" i="5"/>
  <c r="AX18" i="5"/>
  <c r="AW18" i="5"/>
  <c r="AN18" i="5"/>
  <c r="X18" i="5" s="1"/>
  <c r="AD18" i="5"/>
  <c r="BG16" i="5"/>
  <c r="BF16" i="5"/>
  <c r="BE16" i="5"/>
  <c r="BD16" i="5"/>
  <c r="BC16" i="5"/>
  <c r="BB16" i="5"/>
  <c r="BA16" i="5"/>
  <c r="AZ16" i="5"/>
  <c r="AY16" i="5"/>
  <c r="AX16" i="5"/>
  <c r="AW16" i="5"/>
  <c r="AN16" i="5"/>
  <c r="X16" i="5" s="1"/>
  <c r="AD16" i="5"/>
  <c r="BG15" i="5"/>
  <c r="BF15" i="5"/>
  <c r="BE15" i="5"/>
  <c r="BD15" i="5"/>
  <c r="BC15" i="5"/>
  <c r="BB15" i="5"/>
  <c r="BA15" i="5"/>
  <c r="AZ15" i="5"/>
  <c r="AY15" i="5"/>
  <c r="AX15" i="5"/>
  <c r="AW15" i="5"/>
  <c r="AN15" i="5"/>
  <c r="X15" i="5" s="1"/>
  <c r="AD15" i="5"/>
  <c r="BG13" i="5"/>
  <c r="BF13" i="5"/>
  <c r="BE13" i="5"/>
  <c r="BD13" i="5"/>
  <c r="BC13" i="5"/>
  <c r="BB13" i="5"/>
  <c r="BA13" i="5"/>
  <c r="AZ13" i="5"/>
  <c r="AY13" i="5"/>
  <c r="AX13" i="5"/>
  <c r="AW13" i="5"/>
  <c r="AN13" i="5"/>
  <c r="X13" i="5" s="1"/>
  <c r="AD13" i="5"/>
  <c r="BG12" i="5"/>
  <c r="BF12" i="5"/>
  <c r="BE12" i="5"/>
  <c r="BD12" i="5"/>
  <c r="BC12" i="5"/>
  <c r="BB12" i="5"/>
  <c r="BA12" i="5"/>
  <c r="AZ12" i="5"/>
  <c r="AY12" i="5"/>
  <c r="AX12" i="5"/>
  <c r="AW12" i="5"/>
  <c r="AN12" i="5"/>
  <c r="X12" i="5" s="1"/>
  <c r="AD12" i="5"/>
  <c r="BG11" i="5"/>
  <c r="BF11" i="5"/>
  <c r="BE11" i="5"/>
  <c r="BD11" i="5"/>
  <c r="BC11" i="5"/>
  <c r="BB11" i="5"/>
  <c r="BA11" i="5"/>
  <c r="AZ11" i="5"/>
  <c r="AY11" i="5"/>
  <c r="AX11" i="5"/>
  <c r="AW11" i="5"/>
  <c r="AN11" i="5"/>
  <c r="X11" i="5" s="1"/>
  <c r="AD11" i="5"/>
  <c r="AD23" i="3"/>
  <c r="AU49" i="3"/>
  <c r="AU48" i="3"/>
  <c r="AU47" i="3"/>
  <c r="AU46" i="3"/>
  <c r="AU45" i="3"/>
  <c r="AU44" i="3"/>
  <c r="AU42" i="3"/>
  <c r="AU41" i="3"/>
  <c r="AU27" i="3"/>
  <c r="AU22" i="3"/>
  <c r="AU18" i="3"/>
  <c r="AU17" i="3"/>
  <c r="AU16" i="3"/>
  <c r="AU13" i="3"/>
  <c r="AU12" i="3"/>
  <c r="AU11" i="3"/>
  <c r="AD39" i="3"/>
  <c r="AD55" i="3"/>
  <c r="AD54" i="3"/>
  <c r="AD53" i="3"/>
  <c r="AD52" i="3"/>
  <c r="AD51" i="3"/>
  <c r="AD50" i="3"/>
  <c r="AD49" i="3"/>
  <c r="AD48" i="3"/>
  <c r="AD47" i="3"/>
  <c r="AD46" i="3"/>
  <c r="AD45" i="3"/>
  <c r="AD44" i="3"/>
  <c r="AD42" i="3"/>
  <c r="AD41" i="3"/>
  <c r="AD38" i="3"/>
  <c r="AD37" i="3"/>
  <c r="AD36" i="3"/>
  <c r="AD35" i="3"/>
  <c r="AD34" i="3"/>
  <c r="AD33" i="3"/>
  <c r="AD32" i="3"/>
  <c r="AD31" i="3"/>
  <c r="AD30" i="3"/>
  <c r="AD29" i="3"/>
  <c r="AD28" i="3"/>
  <c r="AD27" i="3"/>
  <c r="AD25" i="3"/>
  <c r="AD24" i="3"/>
  <c r="AD22" i="3"/>
  <c r="AD20" i="3"/>
  <c r="AD19" i="3"/>
  <c r="AD18" i="3"/>
  <c r="AD17" i="3"/>
  <c r="AD16" i="3"/>
  <c r="AD13" i="3"/>
  <c r="AD12" i="3"/>
  <c r="AD11" i="3"/>
  <c r="AN39" i="3"/>
  <c r="X39" i="3" s="1"/>
  <c r="BG39" i="3"/>
  <c r="BF39" i="3"/>
  <c r="BE39" i="3"/>
  <c r="BD39" i="3"/>
  <c r="BC39" i="3"/>
  <c r="BB39" i="3"/>
  <c r="BA39" i="3"/>
  <c r="AZ39" i="3"/>
  <c r="AY39" i="3"/>
  <c r="AX39" i="3"/>
  <c r="AW39" i="3"/>
  <c r="AG56" i="3"/>
  <c r="AH56" i="3"/>
  <c r="S4" i="3" s="1"/>
  <c r="AF56" i="3"/>
  <c r="S3" i="3" s="1"/>
  <c r="BG55" i="3"/>
  <c r="BF55" i="3"/>
  <c r="BE55" i="3"/>
  <c r="BD55" i="3"/>
  <c r="BC55" i="3"/>
  <c r="BB55" i="3"/>
  <c r="BA55" i="3"/>
  <c r="AZ55" i="3"/>
  <c r="AY55" i="3"/>
  <c r="AX55" i="3"/>
  <c r="AW55" i="3"/>
  <c r="AN55" i="3"/>
  <c r="X55" i="3" s="1"/>
  <c r="BG54" i="3"/>
  <c r="BF54" i="3"/>
  <c r="BE54" i="3"/>
  <c r="BD54" i="3"/>
  <c r="BC54" i="3"/>
  <c r="BB54" i="3"/>
  <c r="BA54" i="3"/>
  <c r="AZ54" i="3"/>
  <c r="AY54" i="3"/>
  <c r="AX54" i="3"/>
  <c r="AW54" i="3"/>
  <c r="AN54" i="3"/>
  <c r="X54" i="3" s="1"/>
  <c r="BG53" i="3"/>
  <c r="BF53" i="3"/>
  <c r="BE53" i="3"/>
  <c r="BD53" i="3"/>
  <c r="BC53" i="3"/>
  <c r="BB53" i="3"/>
  <c r="BA53" i="3"/>
  <c r="AZ53" i="3"/>
  <c r="AY53" i="3"/>
  <c r="AX53" i="3"/>
  <c r="AW53" i="3"/>
  <c r="AN53" i="3"/>
  <c r="X53" i="3" s="1"/>
  <c r="V53" i="3" s="1"/>
  <c r="T53" i="3" s="1"/>
  <c r="R53" i="3" s="1"/>
  <c r="P53" i="3" s="1"/>
  <c r="N53" i="3" s="1"/>
  <c r="L53" i="3" s="1"/>
  <c r="J53" i="3" s="1"/>
  <c r="H53" i="3" s="1"/>
  <c r="F53" i="3" s="1"/>
  <c r="AV53" i="3" s="1" a="1"/>
  <c r="AV53" i="3" s="1"/>
  <c r="BG52" i="3"/>
  <c r="BF52" i="3"/>
  <c r="BE52" i="3"/>
  <c r="BD52" i="3"/>
  <c r="BC52" i="3"/>
  <c r="BB52" i="3"/>
  <c r="BA52" i="3"/>
  <c r="AZ52" i="3"/>
  <c r="AY52" i="3"/>
  <c r="AX52" i="3"/>
  <c r="AW52" i="3"/>
  <c r="AN52" i="3"/>
  <c r="X52" i="3" s="1"/>
  <c r="V52" i="3" s="1"/>
  <c r="T52" i="3" s="1"/>
  <c r="R52" i="3" s="1"/>
  <c r="P52" i="3" s="1"/>
  <c r="N52" i="3" s="1"/>
  <c r="L52" i="3" s="1"/>
  <c r="J52" i="3" s="1"/>
  <c r="H52" i="3" s="1"/>
  <c r="F52" i="3" s="1"/>
  <c r="AV52" i="3" s="1" a="1"/>
  <c r="AV52" i="3" s="1"/>
  <c r="BG51" i="3"/>
  <c r="BF51" i="3"/>
  <c r="BE51" i="3"/>
  <c r="BD51" i="3"/>
  <c r="BC51" i="3"/>
  <c r="BB51" i="3"/>
  <c r="BA51" i="3"/>
  <c r="AZ51" i="3"/>
  <c r="AY51" i="3"/>
  <c r="AX51" i="3"/>
  <c r="AW51" i="3"/>
  <c r="AQ51" i="3"/>
  <c r="AN51" i="3"/>
  <c r="X51" i="3" s="1"/>
  <c r="V51" i="3" s="1"/>
  <c r="T51" i="3" s="1"/>
  <c r="R51" i="3" s="1"/>
  <c r="P51" i="3" s="1"/>
  <c r="N51" i="3" s="1"/>
  <c r="L51" i="3" s="1"/>
  <c r="J51" i="3" s="1"/>
  <c r="H51" i="3" s="1"/>
  <c r="F51" i="3" s="1"/>
  <c r="AV51" i="3" s="1" a="1"/>
  <c r="AV51" i="3" s="1"/>
  <c r="BG50" i="3"/>
  <c r="BF50" i="3"/>
  <c r="BE50" i="3"/>
  <c r="BD50" i="3"/>
  <c r="BC50" i="3"/>
  <c r="BB50" i="3"/>
  <c r="BA50" i="3"/>
  <c r="AZ50" i="3"/>
  <c r="AY50" i="3"/>
  <c r="AX50" i="3"/>
  <c r="AW50" i="3"/>
  <c r="AN50" i="3"/>
  <c r="X50" i="3" s="1"/>
  <c r="V50" i="3" s="1"/>
  <c r="T50" i="3" s="1"/>
  <c r="R50" i="3" s="1"/>
  <c r="P50" i="3" s="1"/>
  <c r="N50" i="3" s="1"/>
  <c r="L50" i="3" s="1"/>
  <c r="J50" i="3" s="1"/>
  <c r="H50" i="3" s="1"/>
  <c r="F50" i="3" s="1"/>
  <c r="AV50" i="3" s="1" a="1"/>
  <c r="AV50" i="3" s="1"/>
  <c r="BG49" i="3"/>
  <c r="BF49" i="3"/>
  <c r="BE49" i="3"/>
  <c r="BD49" i="3"/>
  <c r="BC49" i="3"/>
  <c r="BB49" i="3"/>
  <c r="BA49" i="3"/>
  <c r="AZ49" i="3"/>
  <c r="AY49" i="3"/>
  <c r="AX49" i="3"/>
  <c r="AW49" i="3"/>
  <c r="AN49" i="3"/>
  <c r="X49" i="3" s="1"/>
  <c r="V49" i="3" s="1"/>
  <c r="T49" i="3" s="1"/>
  <c r="R49" i="3" s="1"/>
  <c r="P49" i="3" s="1"/>
  <c r="N49" i="3" s="1"/>
  <c r="L49" i="3" s="1"/>
  <c r="J49" i="3" s="1"/>
  <c r="H49" i="3" s="1"/>
  <c r="F49" i="3" s="1"/>
  <c r="BG48" i="3"/>
  <c r="BF48" i="3"/>
  <c r="BE48" i="3"/>
  <c r="BD48" i="3"/>
  <c r="BC48" i="3"/>
  <c r="BB48" i="3"/>
  <c r="BA48" i="3"/>
  <c r="AZ48" i="3"/>
  <c r="AY48" i="3"/>
  <c r="AX48" i="3"/>
  <c r="AW48" i="3"/>
  <c r="AN48" i="3"/>
  <c r="X48" i="3" s="1"/>
  <c r="BG47" i="3"/>
  <c r="BF47" i="3"/>
  <c r="BE47" i="3"/>
  <c r="BD47" i="3"/>
  <c r="BC47" i="3"/>
  <c r="BB47" i="3"/>
  <c r="BA47" i="3"/>
  <c r="AZ47" i="3"/>
  <c r="AY47" i="3"/>
  <c r="AX47" i="3"/>
  <c r="AW47" i="3"/>
  <c r="AN47" i="3"/>
  <c r="X47" i="3" s="1"/>
  <c r="BG46" i="3"/>
  <c r="BF46" i="3"/>
  <c r="BE46" i="3"/>
  <c r="BD46" i="3"/>
  <c r="BC46" i="3"/>
  <c r="BB46" i="3"/>
  <c r="BA46" i="3"/>
  <c r="AZ46" i="3"/>
  <c r="AY46" i="3"/>
  <c r="AX46" i="3"/>
  <c r="AW46" i="3"/>
  <c r="AN46" i="3"/>
  <c r="X46" i="3" s="1"/>
  <c r="V46" i="3" s="1"/>
  <c r="T46" i="3" s="1"/>
  <c r="R46" i="3" s="1"/>
  <c r="P46" i="3" s="1"/>
  <c r="N46" i="3" s="1"/>
  <c r="L46" i="3" s="1"/>
  <c r="J46" i="3" s="1"/>
  <c r="H46" i="3" s="1"/>
  <c r="F46" i="3" s="1"/>
  <c r="BG45" i="3"/>
  <c r="BF45" i="3"/>
  <c r="BE45" i="3"/>
  <c r="BD45" i="3"/>
  <c r="BC45" i="3"/>
  <c r="BB45" i="3"/>
  <c r="BA45" i="3"/>
  <c r="AZ45" i="3"/>
  <c r="AY45" i="3"/>
  <c r="AX45" i="3"/>
  <c r="AW45" i="3"/>
  <c r="AN45" i="3"/>
  <c r="X45" i="3" s="1"/>
  <c r="BG44" i="3"/>
  <c r="BF44" i="3"/>
  <c r="BE44" i="3"/>
  <c r="BD44" i="3"/>
  <c r="BC44" i="3"/>
  <c r="BB44" i="3"/>
  <c r="BA44" i="3"/>
  <c r="AZ44" i="3"/>
  <c r="AY44" i="3"/>
  <c r="AX44" i="3"/>
  <c r="AW44" i="3"/>
  <c r="AN44" i="3"/>
  <c r="X44" i="3" s="1"/>
  <c r="BG42" i="3"/>
  <c r="BF42" i="3"/>
  <c r="BE42" i="3"/>
  <c r="BD42" i="3"/>
  <c r="BC42" i="3"/>
  <c r="BB42" i="3"/>
  <c r="BA42" i="3"/>
  <c r="AZ42" i="3"/>
  <c r="AY42" i="3"/>
  <c r="AX42" i="3"/>
  <c r="AW42" i="3"/>
  <c r="AN42" i="3"/>
  <c r="X42" i="3" s="1"/>
  <c r="BG41" i="3"/>
  <c r="BF41" i="3"/>
  <c r="BE41" i="3"/>
  <c r="BD41" i="3"/>
  <c r="BC41" i="3"/>
  <c r="BB41" i="3"/>
  <c r="BA41" i="3"/>
  <c r="AZ41" i="3"/>
  <c r="AY41" i="3"/>
  <c r="AX41" i="3"/>
  <c r="AW41" i="3"/>
  <c r="AN41" i="3"/>
  <c r="X41" i="3" s="1"/>
  <c r="BG38" i="3"/>
  <c r="BF38" i="3"/>
  <c r="BE38" i="3"/>
  <c r="BD38" i="3"/>
  <c r="BC38" i="3"/>
  <c r="BB38" i="3"/>
  <c r="BA38" i="3"/>
  <c r="AZ38" i="3"/>
  <c r="AY38" i="3"/>
  <c r="AX38" i="3"/>
  <c r="AW38" i="3"/>
  <c r="AN38" i="3"/>
  <c r="X38" i="3" s="1"/>
  <c r="BG37" i="3"/>
  <c r="BF37" i="3"/>
  <c r="BE37" i="3"/>
  <c r="BD37" i="3"/>
  <c r="BC37" i="3"/>
  <c r="BB37" i="3"/>
  <c r="BA37" i="3"/>
  <c r="AZ37" i="3"/>
  <c r="AY37" i="3"/>
  <c r="AX37" i="3"/>
  <c r="AW37" i="3"/>
  <c r="AN37" i="3"/>
  <c r="BG36" i="3"/>
  <c r="BF36" i="3"/>
  <c r="BE36" i="3"/>
  <c r="BD36" i="3"/>
  <c r="BC36" i="3"/>
  <c r="BB36" i="3"/>
  <c r="BA36" i="3"/>
  <c r="AZ36" i="3"/>
  <c r="AY36" i="3"/>
  <c r="AX36" i="3"/>
  <c r="AW36" i="3"/>
  <c r="AN36" i="3"/>
  <c r="X36" i="3" s="1"/>
  <c r="BG35" i="3"/>
  <c r="BF35" i="3"/>
  <c r="BE35" i="3"/>
  <c r="BD35" i="3"/>
  <c r="BC35" i="3"/>
  <c r="BB35" i="3"/>
  <c r="BA35" i="3"/>
  <c r="AZ35" i="3"/>
  <c r="AY35" i="3"/>
  <c r="AX35" i="3"/>
  <c r="AW35" i="3"/>
  <c r="AN35" i="3"/>
  <c r="X35" i="3" s="1"/>
  <c r="BG34" i="3"/>
  <c r="BF34" i="3"/>
  <c r="BE34" i="3"/>
  <c r="BD34" i="3"/>
  <c r="BC34" i="3"/>
  <c r="BB34" i="3"/>
  <c r="BA34" i="3"/>
  <c r="AZ34" i="3"/>
  <c r="AY34" i="3"/>
  <c r="AX34" i="3"/>
  <c r="AW34" i="3"/>
  <c r="AN34" i="3"/>
  <c r="X34" i="3" s="1"/>
  <c r="BG33" i="3"/>
  <c r="BF33" i="3"/>
  <c r="BE33" i="3"/>
  <c r="BD33" i="3"/>
  <c r="BC33" i="3"/>
  <c r="BB33" i="3"/>
  <c r="BA33" i="3"/>
  <c r="AZ33" i="3"/>
  <c r="AY33" i="3"/>
  <c r="AX33" i="3"/>
  <c r="AW33" i="3"/>
  <c r="AN33" i="3"/>
  <c r="X33" i="3" s="1"/>
  <c r="BG32" i="3"/>
  <c r="BF32" i="3"/>
  <c r="BE32" i="3"/>
  <c r="BD32" i="3"/>
  <c r="BC32" i="3"/>
  <c r="BB32" i="3"/>
  <c r="BA32" i="3"/>
  <c r="AZ32" i="3"/>
  <c r="AY32" i="3"/>
  <c r="AX32" i="3"/>
  <c r="AW32" i="3"/>
  <c r="AN32" i="3"/>
  <c r="X32" i="3" s="1"/>
  <c r="BG31" i="3"/>
  <c r="BF31" i="3"/>
  <c r="BE31" i="3"/>
  <c r="BD31" i="3"/>
  <c r="BC31" i="3"/>
  <c r="BB31" i="3"/>
  <c r="BA31" i="3"/>
  <c r="AZ31" i="3"/>
  <c r="AY31" i="3"/>
  <c r="AX31" i="3"/>
  <c r="AW31" i="3"/>
  <c r="AN31" i="3"/>
  <c r="X31" i="3" s="1"/>
  <c r="BG30" i="3"/>
  <c r="BF30" i="3"/>
  <c r="BE30" i="3"/>
  <c r="BD30" i="3"/>
  <c r="BC30" i="3"/>
  <c r="BB30" i="3"/>
  <c r="BA30" i="3"/>
  <c r="AZ30" i="3"/>
  <c r="AY30" i="3"/>
  <c r="AX30" i="3"/>
  <c r="AW30" i="3"/>
  <c r="AN30" i="3"/>
  <c r="X30" i="3" s="1"/>
  <c r="BG29" i="3"/>
  <c r="BF29" i="3"/>
  <c r="BE29" i="3"/>
  <c r="BD29" i="3"/>
  <c r="BC29" i="3"/>
  <c r="BB29" i="3"/>
  <c r="BA29" i="3"/>
  <c r="AZ29" i="3"/>
  <c r="AY29" i="3"/>
  <c r="AX29" i="3"/>
  <c r="AW29" i="3"/>
  <c r="AN29" i="3"/>
  <c r="X29" i="3" s="1"/>
  <c r="BG28" i="3"/>
  <c r="BF28" i="3"/>
  <c r="BE28" i="3"/>
  <c r="BD28" i="3"/>
  <c r="BC28" i="3"/>
  <c r="BB28" i="3"/>
  <c r="BA28" i="3"/>
  <c r="AZ28" i="3"/>
  <c r="AY28" i="3"/>
  <c r="AX28" i="3"/>
  <c r="AW28" i="3"/>
  <c r="AN28" i="3"/>
  <c r="X28" i="3" s="1"/>
  <c r="BG27" i="3"/>
  <c r="BF27" i="3"/>
  <c r="BE27" i="3"/>
  <c r="BD27" i="3"/>
  <c r="BC27" i="3"/>
  <c r="BB27" i="3"/>
  <c r="BA27" i="3"/>
  <c r="AZ27" i="3"/>
  <c r="AY27" i="3"/>
  <c r="AX27" i="3"/>
  <c r="AW27" i="3"/>
  <c r="AN27" i="3"/>
  <c r="X27" i="3" s="1"/>
  <c r="BG25" i="3"/>
  <c r="BF25" i="3"/>
  <c r="BE25" i="3"/>
  <c r="BD25" i="3"/>
  <c r="BC25" i="3"/>
  <c r="BB25" i="3"/>
  <c r="BA25" i="3"/>
  <c r="AZ25" i="3"/>
  <c r="AY25" i="3"/>
  <c r="AX25" i="3"/>
  <c r="AW25" i="3"/>
  <c r="AN25" i="3"/>
  <c r="X25" i="3" s="1"/>
  <c r="BG24" i="3"/>
  <c r="BF24" i="3"/>
  <c r="BE24" i="3"/>
  <c r="BD24" i="3"/>
  <c r="BC24" i="3"/>
  <c r="BB24" i="3"/>
  <c r="BA24" i="3"/>
  <c r="AZ24" i="3"/>
  <c r="AY24" i="3"/>
  <c r="AX24" i="3"/>
  <c r="AW24" i="3"/>
  <c r="AN24" i="3"/>
  <c r="X24" i="3" s="1"/>
  <c r="BG23" i="3"/>
  <c r="BF23" i="3"/>
  <c r="BE23" i="3"/>
  <c r="BD23" i="3"/>
  <c r="BC23" i="3"/>
  <c r="BB23" i="3"/>
  <c r="BA23" i="3"/>
  <c r="AZ23" i="3"/>
  <c r="AY23" i="3"/>
  <c r="AX23" i="3"/>
  <c r="AW23" i="3"/>
  <c r="AN23" i="3"/>
  <c r="X23" i="3" s="1"/>
  <c r="BG22" i="3"/>
  <c r="BF22" i="3"/>
  <c r="BE22" i="3"/>
  <c r="BD22" i="3"/>
  <c r="BC22" i="3"/>
  <c r="BB22" i="3"/>
  <c r="BA22" i="3"/>
  <c r="AZ22" i="3"/>
  <c r="AY22" i="3"/>
  <c r="AX22" i="3"/>
  <c r="AW22" i="3"/>
  <c r="AN22" i="3"/>
  <c r="X22" i="3" s="1"/>
  <c r="BG20" i="3"/>
  <c r="BF20" i="3"/>
  <c r="BE20" i="3"/>
  <c r="BD20" i="3"/>
  <c r="BC20" i="3"/>
  <c r="BB20" i="3"/>
  <c r="BA20" i="3"/>
  <c r="AZ20" i="3"/>
  <c r="AY20" i="3"/>
  <c r="AX20" i="3"/>
  <c r="AW20" i="3"/>
  <c r="AN20" i="3"/>
  <c r="X20" i="3" s="1"/>
  <c r="BG19" i="3"/>
  <c r="BF19" i="3"/>
  <c r="BE19" i="3"/>
  <c r="BD19" i="3"/>
  <c r="BC19" i="3"/>
  <c r="BB19" i="3"/>
  <c r="BA19" i="3"/>
  <c r="AZ19" i="3"/>
  <c r="AY19" i="3"/>
  <c r="AX19" i="3"/>
  <c r="AW19" i="3"/>
  <c r="AN19" i="3"/>
  <c r="X19" i="3" s="1"/>
  <c r="BG18" i="3"/>
  <c r="BF18" i="3"/>
  <c r="BE18" i="3"/>
  <c r="BD18" i="3"/>
  <c r="BC18" i="3"/>
  <c r="BB18" i="3"/>
  <c r="BA18" i="3"/>
  <c r="AZ18" i="3"/>
  <c r="AY18" i="3"/>
  <c r="AX18" i="3"/>
  <c r="AW18" i="3"/>
  <c r="AN18" i="3"/>
  <c r="X18" i="3" s="1"/>
  <c r="BG17" i="3"/>
  <c r="BF17" i="3"/>
  <c r="BE17" i="3"/>
  <c r="BD17" i="3"/>
  <c r="BC17" i="3"/>
  <c r="BB17" i="3"/>
  <c r="BA17" i="3"/>
  <c r="AZ17" i="3"/>
  <c r="AY17" i="3"/>
  <c r="AX17" i="3"/>
  <c r="AW17" i="3"/>
  <c r="AN17" i="3"/>
  <c r="X17" i="3" s="1"/>
  <c r="BG16" i="3"/>
  <c r="BF16" i="3"/>
  <c r="BE16" i="3"/>
  <c r="BD16" i="3"/>
  <c r="BC16" i="3"/>
  <c r="BB16" i="3"/>
  <c r="BA16" i="3"/>
  <c r="AZ16" i="3"/>
  <c r="AY16" i="3"/>
  <c r="AX16" i="3"/>
  <c r="AW16" i="3"/>
  <c r="AN16" i="3"/>
  <c r="X16" i="3" s="1"/>
  <c r="BG13" i="3"/>
  <c r="BF13" i="3"/>
  <c r="BE13" i="3"/>
  <c r="BD13" i="3"/>
  <c r="BC13" i="3"/>
  <c r="BB13" i="3"/>
  <c r="BA13" i="3"/>
  <c r="AZ13" i="3"/>
  <c r="AY13" i="3"/>
  <c r="AX13" i="3"/>
  <c r="AW13" i="3"/>
  <c r="AN13" i="3"/>
  <c r="X13" i="3" s="1"/>
  <c r="BG12" i="3"/>
  <c r="BF12" i="3"/>
  <c r="BE12" i="3"/>
  <c r="BD12" i="3"/>
  <c r="BC12" i="3"/>
  <c r="BB12" i="3"/>
  <c r="BA12" i="3"/>
  <c r="AZ12" i="3"/>
  <c r="AY12" i="3"/>
  <c r="AX12" i="3"/>
  <c r="AW12" i="3"/>
  <c r="AN12" i="3"/>
  <c r="X12" i="3" s="1"/>
  <c r="BG11" i="3"/>
  <c r="BF11" i="3"/>
  <c r="BE11" i="3"/>
  <c r="BD11" i="3"/>
  <c r="BC11" i="3"/>
  <c r="BB11" i="3"/>
  <c r="BA11" i="3"/>
  <c r="AZ11" i="3"/>
  <c r="AY11" i="3"/>
  <c r="AX11" i="3"/>
  <c r="AW11" i="3"/>
  <c r="AN11" i="3"/>
  <c r="X11" i="3" s="1"/>
  <c r="AI11" i="3"/>
  <c r="AJ11" i="3" s="1"/>
  <c r="AD4" i="3"/>
  <c r="X3" i="3" l="1"/>
  <c r="X56" i="15"/>
  <c r="X14" i="15"/>
  <c r="Z41" i="17"/>
  <c r="V41" i="17"/>
  <c r="T41" i="17" s="1"/>
  <c r="R41" i="17" s="1"/>
  <c r="P41" i="17" s="1"/>
  <c r="N41" i="17" s="1"/>
  <c r="L41" i="17" s="1"/>
  <c r="J41" i="17" s="1"/>
  <c r="H41" i="17" s="1"/>
  <c r="F41" i="17" s="1"/>
  <c r="AR41" i="17"/>
  <c r="AR17" i="17"/>
  <c r="AR35" i="17"/>
  <c r="AR44" i="17"/>
  <c r="AR34" i="16"/>
  <c r="AR18" i="16"/>
  <c r="AR16" i="16"/>
  <c r="AR23" i="5"/>
  <c r="Y3" i="11"/>
  <c r="AR33" i="16"/>
  <c r="AR34" i="18"/>
  <c r="AN59" i="15"/>
  <c r="AR20" i="15"/>
  <c r="X20" i="15"/>
  <c r="Z20" i="15" s="1"/>
  <c r="AR58" i="9"/>
  <c r="AB58" i="9" s="1"/>
  <c r="X58" i="9"/>
  <c r="Z58" i="9" s="1"/>
  <c r="AJ56" i="18"/>
  <c r="X3" i="14"/>
  <c r="AN19" i="6"/>
  <c r="AM20" i="6"/>
  <c r="AN20" i="6" s="1"/>
  <c r="AN37" i="14"/>
  <c r="X37" i="14" s="1"/>
  <c r="Z37" i="14" s="1"/>
  <c r="AM38" i="14"/>
  <c r="AM39" i="14" s="1"/>
  <c r="AN16" i="14"/>
  <c r="X16" i="14" s="1"/>
  <c r="V16" i="14" s="1"/>
  <c r="T16" i="14" s="1"/>
  <c r="R16" i="14" s="1"/>
  <c r="P16" i="14" s="1"/>
  <c r="N16" i="14" s="1"/>
  <c r="L16" i="14" s="1"/>
  <c r="J16" i="14" s="1"/>
  <c r="H16" i="14" s="1"/>
  <c r="F16" i="14" s="1"/>
  <c r="AU16" i="14" s="1"/>
  <c r="AO16" i="14" s="1"/>
  <c r="X29" i="5"/>
  <c r="V29" i="5" s="1"/>
  <c r="T29" i="5" s="1"/>
  <c r="R29" i="5" s="1"/>
  <c r="P29" i="5" s="1"/>
  <c r="N29" i="5" s="1"/>
  <c r="L29" i="5" s="1"/>
  <c r="J29" i="5" s="1"/>
  <c r="H29" i="5" s="1"/>
  <c r="F29" i="5" s="1"/>
  <c r="AV29" i="5" s="1" a="1"/>
  <c r="AV29" i="5" s="1"/>
  <c r="AR29" i="5"/>
  <c r="Z30" i="6"/>
  <c r="V30" i="6"/>
  <c r="T30" i="6" s="1"/>
  <c r="R30" i="6" s="1"/>
  <c r="P30" i="6" s="1"/>
  <c r="N30" i="6" s="1"/>
  <c r="L30" i="6" s="1"/>
  <c r="J30" i="6" s="1"/>
  <c r="H30" i="6" s="1"/>
  <c r="F30" i="6" s="1"/>
  <c r="X13" i="16"/>
  <c r="AR13" i="16"/>
  <c r="X12" i="16"/>
  <c r="AR12" i="16"/>
  <c r="AM28" i="14"/>
  <c r="AN27" i="14"/>
  <c r="X27" i="14" s="1"/>
  <c r="AN60" i="15"/>
  <c r="AM61" i="15"/>
  <c r="AN43" i="15"/>
  <c r="X43" i="15" s="1"/>
  <c r="V43" i="15" s="1"/>
  <c r="T43" i="15" s="1"/>
  <c r="R43" i="15" s="1"/>
  <c r="P43" i="15" s="1"/>
  <c r="N43" i="15" s="1"/>
  <c r="L43" i="15" s="1"/>
  <c r="J43" i="15" s="1"/>
  <c r="H43" i="15" s="1"/>
  <c r="F43" i="15" s="1"/>
  <c r="AM44" i="15"/>
  <c r="AN29" i="15"/>
  <c r="AR29" i="15" s="1"/>
  <c r="AM30" i="15"/>
  <c r="AN24" i="15"/>
  <c r="X24" i="15" s="1"/>
  <c r="V24" i="15" s="1"/>
  <c r="T24" i="15" s="1"/>
  <c r="R24" i="15" s="1"/>
  <c r="P24" i="15" s="1"/>
  <c r="N24" i="15" s="1"/>
  <c r="L24" i="15" s="1"/>
  <c r="J24" i="15" s="1"/>
  <c r="H24" i="15" s="1"/>
  <c r="F24" i="15" s="1"/>
  <c r="AM25" i="15"/>
  <c r="V11" i="15"/>
  <c r="T11" i="15" s="1"/>
  <c r="R11" i="15" s="1"/>
  <c r="P11" i="15" s="1"/>
  <c r="N11" i="15" s="1"/>
  <c r="L11" i="15" s="1"/>
  <c r="J11" i="15" s="1"/>
  <c r="H11" i="15" s="1"/>
  <c r="F11" i="15" s="1"/>
  <c r="Z11" i="15"/>
  <c r="X48" i="14"/>
  <c r="V48" i="14" s="1"/>
  <c r="T48" i="14" s="1"/>
  <c r="R48" i="14" s="1"/>
  <c r="P48" i="14" s="1"/>
  <c r="N48" i="14" s="1"/>
  <c r="L48" i="14" s="1"/>
  <c r="J48" i="14" s="1"/>
  <c r="H48" i="14" s="1"/>
  <c r="F48" i="14" s="1"/>
  <c r="AR48" i="14"/>
  <c r="X35" i="14"/>
  <c r="V35" i="14" s="1"/>
  <c r="T35" i="14" s="1"/>
  <c r="R35" i="14" s="1"/>
  <c r="P35" i="14" s="1"/>
  <c r="N35" i="14" s="1"/>
  <c r="L35" i="14" s="1"/>
  <c r="J35" i="14" s="1"/>
  <c r="H35" i="14" s="1"/>
  <c r="F35" i="14" s="1"/>
  <c r="AR35" i="14"/>
  <c r="AU15" i="12"/>
  <c r="AO15" i="12" s="1"/>
  <c r="AR15" i="12"/>
  <c r="AB15" i="12" s="1"/>
  <c r="Z15" i="12"/>
  <c r="V15" i="12"/>
  <c r="T15" i="12" s="1"/>
  <c r="R15" i="12" s="1"/>
  <c r="P15" i="12" s="1"/>
  <c r="N15" i="12" s="1"/>
  <c r="L15" i="12" s="1"/>
  <c r="J15" i="12" s="1"/>
  <c r="H15" i="12" s="1"/>
  <c r="F15" i="12" s="1"/>
  <c r="AU14" i="12"/>
  <c r="AO14" i="12" s="1"/>
  <c r="AR14" i="12"/>
  <c r="AB14" i="12" s="1"/>
  <c r="Z14" i="12"/>
  <c r="V14" i="12"/>
  <c r="T14" i="12" s="1"/>
  <c r="R14" i="12" s="1"/>
  <c r="P14" i="12" s="1"/>
  <c r="N14" i="12" s="1"/>
  <c r="L14" i="12" s="1"/>
  <c r="J14" i="12" s="1"/>
  <c r="H14" i="12" s="1"/>
  <c r="F14" i="12" s="1"/>
  <c r="A14" i="12" a="1"/>
  <c r="A14" i="12" s="1"/>
  <c r="A15" i="12" a="1"/>
  <c r="A15" i="12" s="1"/>
  <c r="V31" i="12"/>
  <c r="T31" i="12" s="1"/>
  <c r="R31" i="12" s="1"/>
  <c r="P31" i="12" s="1"/>
  <c r="N31" i="12" s="1"/>
  <c r="L31" i="12" s="1"/>
  <c r="J31" i="12" s="1"/>
  <c r="H31" i="12" s="1"/>
  <c r="F31" i="12" s="1"/>
  <c r="Z31" i="12"/>
  <c r="V13" i="8"/>
  <c r="T13" i="8" s="1"/>
  <c r="R13" i="8" s="1"/>
  <c r="P13" i="8" s="1"/>
  <c r="N13" i="8" s="1"/>
  <c r="L13" i="8" s="1"/>
  <c r="J13" i="8" s="1"/>
  <c r="H13" i="8" s="1"/>
  <c r="F13" i="8" s="1"/>
  <c r="AV13" i="8" s="1" a="1"/>
  <c r="AV13" i="8" s="1"/>
  <c r="Z13" i="8"/>
  <c r="AR13" i="8"/>
  <c r="Z43" i="9"/>
  <c r="V43" i="9"/>
  <c r="T43" i="9" s="1"/>
  <c r="R43" i="9" s="1"/>
  <c r="P43" i="9" s="1"/>
  <c r="N43" i="9" s="1"/>
  <c r="L43" i="9" s="1"/>
  <c r="J43" i="9" s="1"/>
  <c r="H43" i="9" s="1"/>
  <c r="F43" i="9" s="1"/>
  <c r="AR59" i="9"/>
  <c r="AB59" i="9" s="1"/>
  <c r="X59" i="9"/>
  <c r="V59" i="9" s="1"/>
  <c r="T59" i="9" s="1"/>
  <c r="R59" i="9" s="1"/>
  <c r="P59" i="9" s="1"/>
  <c r="N59" i="9" s="1"/>
  <c r="L59" i="9" s="1"/>
  <c r="J59" i="9" s="1"/>
  <c r="H59" i="9" s="1"/>
  <c r="F59" i="9" s="1"/>
  <c r="V30" i="9"/>
  <c r="T30" i="9" s="1"/>
  <c r="R30" i="9" s="1"/>
  <c r="P30" i="9" s="1"/>
  <c r="N30" i="9" s="1"/>
  <c r="L30" i="9" s="1"/>
  <c r="J30" i="9" s="1"/>
  <c r="H30" i="9" s="1"/>
  <c r="F30" i="9" s="1"/>
  <c r="Z30" i="9"/>
  <c r="V27" i="9"/>
  <c r="T27" i="9" s="1"/>
  <c r="R27" i="9" s="1"/>
  <c r="P27" i="9" s="1"/>
  <c r="N27" i="9" s="1"/>
  <c r="L27" i="9" s="1"/>
  <c r="J27" i="9" s="1"/>
  <c r="H27" i="9" s="1"/>
  <c r="F27" i="9" s="1"/>
  <c r="Z27" i="9"/>
  <c r="AJ41" i="11"/>
  <c r="V28" i="10"/>
  <c r="T28" i="10" s="1"/>
  <c r="R28" i="10" s="1"/>
  <c r="P28" i="10" s="1"/>
  <c r="N28" i="10" s="1"/>
  <c r="L28" i="10" s="1"/>
  <c r="J28" i="10" s="1"/>
  <c r="H28" i="10" s="1"/>
  <c r="F28" i="10" s="1"/>
  <c r="Z28" i="10"/>
  <c r="V39" i="11"/>
  <c r="T39" i="11" s="1"/>
  <c r="R39" i="11" s="1"/>
  <c r="P39" i="11" s="1"/>
  <c r="N39" i="11" s="1"/>
  <c r="L39" i="11" s="1"/>
  <c r="J39" i="11" s="1"/>
  <c r="H39" i="11" s="1"/>
  <c r="F39" i="11" s="1"/>
  <c r="Z39" i="11"/>
  <c r="V37" i="11"/>
  <c r="T37" i="11" s="1"/>
  <c r="R37" i="11" s="1"/>
  <c r="P37" i="11" s="1"/>
  <c r="N37" i="11" s="1"/>
  <c r="L37" i="11" s="1"/>
  <c r="J37" i="11" s="1"/>
  <c r="H37" i="11" s="1"/>
  <c r="F37" i="11" s="1"/>
  <c r="Z37" i="11"/>
  <c r="V19" i="11"/>
  <c r="T19" i="11" s="1"/>
  <c r="R19" i="11" s="1"/>
  <c r="P19" i="11" s="1"/>
  <c r="N19" i="11" s="1"/>
  <c r="L19" i="11" s="1"/>
  <c r="J19" i="11" s="1"/>
  <c r="H19" i="11" s="1"/>
  <c r="F19" i="11" s="1"/>
  <c r="Z19" i="11"/>
  <c r="Z18" i="10"/>
  <c r="V18" i="10"/>
  <c r="T18" i="10" s="1"/>
  <c r="R18" i="10" s="1"/>
  <c r="P18" i="10" s="1"/>
  <c r="N18" i="10" s="1"/>
  <c r="L18" i="10" s="1"/>
  <c r="J18" i="10" s="1"/>
  <c r="H18" i="10" s="1"/>
  <c r="F18" i="10" s="1"/>
  <c r="Z12" i="10"/>
  <c r="V12" i="10"/>
  <c r="T12" i="10" s="1"/>
  <c r="R12" i="10" s="1"/>
  <c r="P12" i="10" s="1"/>
  <c r="N12" i="10" s="1"/>
  <c r="L12" i="10" s="1"/>
  <c r="J12" i="10" s="1"/>
  <c r="H12" i="10" s="1"/>
  <c r="F12" i="10" s="1"/>
  <c r="V42" i="9"/>
  <c r="T42" i="9" s="1"/>
  <c r="R42" i="9" s="1"/>
  <c r="P42" i="9" s="1"/>
  <c r="N42" i="9" s="1"/>
  <c r="L42" i="9" s="1"/>
  <c r="J42" i="9" s="1"/>
  <c r="H42" i="9" s="1"/>
  <c r="F42" i="9" s="1"/>
  <c r="Z42" i="9"/>
  <c r="V47" i="9"/>
  <c r="T47" i="9" s="1"/>
  <c r="R47" i="9" s="1"/>
  <c r="P47" i="9" s="1"/>
  <c r="N47" i="9" s="1"/>
  <c r="L47" i="9" s="1"/>
  <c r="J47" i="9" s="1"/>
  <c r="H47" i="9" s="1"/>
  <c r="F47" i="9" s="1"/>
  <c r="Z47" i="9"/>
  <c r="V46" i="9"/>
  <c r="T46" i="9" s="1"/>
  <c r="R46" i="9" s="1"/>
  <c r="P46" i="9" s="1"/>
  <c r="N46" i="9" s="1"/>
  <c r="L46" i="9" s="1"/>
  <c r="J46" i="9" s="1"/>
  <c r="H46" i="9" s="1"/>
  <c r="F46" i="9" s="1"/>
  <c r="Z46" i="9"/>
  <c r="V45" i="9"/>
  <c r="T45" i="9" s="1"/>
  <c r="R45" i="9" s="1"/>
  <c r="P45" i="9" s="1"/>
  <c r="N45" i="9" s="1"/>
  <c r="L45" i="9" s="1"/>
  <c r="J45" i="9" s="1"/>
  <c r="H45" i="9" s="1"/>
  <c r="F45" i="9" s="1"/>
  <c r="Z45" i="9"/>
  <c r="V18" i="9"/>
  <c r="T18" i="9" s="1"/>
  <c r="R18" i="9" s="1"/>
  <c r="P18" i="9" s="1"/>
  <c r="N18" i="9" s="1"/>
  <c r="L18" i="9" s="1"/>
  <c r="J18" i="9" s="1"/>
  <c r="H18" i="9" s="1"/>
  <c r="F18" i="9" s="1"/>
  <c r="Z18" i="9"/>
  <c r="AU42" i="9"/>
  <c r="AO42" i="9" s="1"/>
  <c r="AR42" i="9"/>
  <c r="AU47" i="9"/>
  <c r="AO47" i="9" s="1"/>
  <c r="AR47" i="9"/>
  <c r="AB47" i="9" s="1"/>
  <c r="AU46" i="9"/>
  <c r="AO46" i="9" s="1"/>
  <c r="AR46" i="9"/>
  <c r="AB46" i="9" s="1"/>
  <c r="AU45" i="9"/>
  <c r="AO45" i="9" s="1"/>
  <c r="AR45" i="9"/>
  <c r="AB45" i="9" s="1"/>
  <c r="AU44" i="9"/>
  <c r="AO44" i="9" s="1"/>
  <c r="X44" i="9"/>
  <c r="AR44" i="9"/>
  <c r="AB44" i="9" s="1"/>
  <c r="AB43" i="9"/>
  <c r="AU43" i="9"/>
  <c r="Z21" i="9"/>
  <c r="V21" i="9"/>
  <c r="T21" i="9" s="1"/>
  <c r="R21" i="9" s="1"/>
  <c r="P21" i="9" s="1"/>
  <c r="N21" i="9" s="1"/>
  <c r="L21" i="9" s="1"/>
  <c r="J21" i="9" s="1"/>
  <c r="H21" i="9" s="1"/>
  <c r="F21" i="9" s="1"/>
  <c r="AJ60" i="9"/>
  <c r="AU21" i="9"/>
  <c r="AO21" i="9" s="1"/>
  <c r="AR21" i="9"/>
  <c r="AB21" i="9" s="1"/>
  <c r="V29" i="9"/>
  <c r="T29" i="9" s="1"/>
  <c r="R29" i="9" s="1"/>
  <c r="P29" i="9" s="1"/>
  <c r="N29" i="9" s="1"/>
  <c r="L29" i="9" s="1"/>
  <c r="J29" i="9" s="1"/>
  <c r="H29" i="9" s="1"/>
  <c r="F29" i="9" s="1"/>
  <c r="Z29" i="9"/>
  <c r="V12" i="9"/>
  <c r="T12" i="9" s="1"/>
  <c r="R12" i="9" s="1"/>
  <c r="P12" i="9" s="1"/>
  <c r="N12" i="9" s="1"/>
  <c r="L12" i="9" s="1"/>
  <c r="J12" i="9" s="1"/>
  <c r="H12" i="9" s="1"/>
  <c r="F12" i="9" s="1"/>
  <c r="Z12" i="9"/>
  <c r="AR58" i="15"/>
  <c r="X58" i="15"/>
  <c r="Z58" i="15" s="1"/>
  <c r="Z18" i="7"/>
  <c r="V18" i="7"/>
  <c r="T18" i="7" s="1"/>
  <c r="R18" i="7" s="1"/>
  <c r="P18" i="7" s="1"/>
  <c r="N18" i="7" s="1"/>
  <c r="L18" i="7" s="1"/>
  <c r="J18" i="7" s="1"/>
  <c r="H18" i="7" s="1"/>
  <c r="F18" i="7" s="1"/>
  <c r="V20" i="7"/>
  <c r="T20" i="7" s="1"/>
  <c r="R20" i="7" s="1"/>
  <c r="P20" i="7" s="1"/>
  <c r="N20" i="7" s="1"/>
  <c r="L20" i="7" s="1"/>
  <c r="J20" i="7" s="1"/>
  <c r="H20" i="7" s="1"/>
  <c r="F20" i="7" s="1"/>
  <c r="Z20" i="7"/>
  <c r="V17" i="7"/>
  <c r="T17" i="7" s="1"/>
  <c r="R17" i="7" s="1"/>
  <c r="P17" i="7" s="1"/>
  <c r="N17" i="7" s="1"/>
  <c r="L17" i="7" s="1"/>
  <c r="J17" i="7" s="1"/>
  <c r="H17" i="7" s="1"/>
  <c r="F17" i="7" s="1"/>
  <c r="AU17" i="7" s="1"/>
  <c r="AO17" i="7" s="1"/>
  <c r="Z17" i="7"/>
  <c r="V26" i="14"/>
  <c r="T26" i="14" s="1"/>
  <c r="R26" i="14" s="1"/>
  <c r="P26" i="14" s="1"/>
  <c r="N26" i="14" s="1"/>
  <c r="L26" i="14" s="1"/>
  <c r="J26" i="14" s="1"/>
  <c r="H26" i="14" s="1"/>
  <c r="F26" i="14" s="1"/>
  <c r="Z26" i="14"/>
  <c r="Z25" i="14"/>
  <c r="V25" i="14"/>
  <c r="T25" i="14" s="1"/>
  <c r="R25" i="14" s="1"/>
  <c r="P25" i="14" s="1"/>
  <c r="N25" i="14" s="1"/>
  <c r="L25" i="14" s="1"/>
  <c r="J25" i="14" s="1"/>
  <c r="H25" i="14" s="1"/>
  <c r="F25" i="14" s="1"/>
  <c r="AU60" i="15"/>
  <c r="AR57" i="15"/>
  <c r="Z57" i="15"/>
  <c r="V57" i="15"/>
  <c r="T57" i="15" s="1"/>
  <c r="R57" i="15" s="1"/>
  <c r="P57" i="15" s="1"/>
  <c r="N57" i="15" s="1"/>
  <c r="L57" i="15" s="1"/>
  <c r="J57" i="15" s="1"/>
  <c r="H57" i="15" s="1"/>
  <c r="F57" i="15" s="1"/>
  <c r="V56" i="15"/>
  <c r="T56" i="15" s="1"/>
  <c r="R56" i="15" s="1"/>
  <c r="P56" i="15" s="1"/>
  <c r="N56" i="15" s="1"/>
  <c r="L56" i="15" s="1"/>
  <c r="J56" i="15" s="1"/>
  <c r="H56" i="15" s="1"/>
  <c r="F56" i="15" s="1"/>
  <c r="Z56" i="15"/>
  <c r="AR55" i="15"/>
  <c r="V55" i="15"/>
  <c r="T55" i="15" s="1"/>
  <c r="R55" i="15" s="1"/>
  <c r="P55" i="15" s="1"/>
  <c r="N55" i="15" s="1"/>
  <c r="L55" i="15" s="1"/>
  <c r="J55" i="15" s="1"/>
  <c r="H55" i="15" s="1"/>
  <c r="F55" i="15" s="1"/>
  <c r="Z55" i="15"/>
  <c r="X16" i="15"/>
  <c r="Z16" i="15" s="1"/>
  <c r="AR16" i="15"/>
  <c r="V20" i="15"/>
  <c r="T20" i="15" s="1"/>
  <c r="R20" i="15" s="1"/>
  <c r="P20" i="15" s="1"/>
  <c r="N20" i="15" s="1"/>
  <c r="L20" i="15" s="1"/>
  <c r="J20" i="15" s="1"/>
  <c r="H20" i="15" s="1"/>
  <c r="F20" i="15" s="1"/>
  <c r="V52" i="15"/>
  <c r="T52" i="15" s="1"/>
  <c r="R52" i="15" s="1"/>
  <c r="P52" i="15" s="1"/>
  <c r="N52" i="15" s="1"/>
  <c r="L52" i="15" s="1"/>
  <c r="J52" i="15" s="1"/>
  <c r="H52" i="15" s="1"/>
  <c r="F52" i="15" s="1"/>
  <c r="AU52" i="15" s="1"/>
  <c r="AO52" i="15" s="1"/>
  <c r="Z52" i="15"/>
  <c r="V14" i="15"/>
  <c r="T14" i="15" s="1"/>
  <c r="R14" i="15" s="1"/>
  <c r="P14" i="15" s="1"/>
  <c r="N14" i="15" s="1"/>
  <c r="L14" i="15" s="1"/>
  <c r="J14" i="15" s="1"/>
  <c r="H14" i="15" s="1"/>
  <c r="F14" i="15" s="1"/>
  <c r="Z14" i="15"/>
  <c r="V42" i="15"/>
  <c r="T42" i="15" s="1"/>
  <c r="R42" i="15" s="1"/>
  <c r="P42" i="15" s="1"/>
  <c r="N42" i="15" s="1"/>
  <c r="L42" i="15" s="1"/>
  <c r="J42" i="15" s="1"/>
  <c r="H42" i="15" s="1"/>
  <c r="F42" i="15" s="1"/>
  <c r="Z42" i="15"/>
  <c r="X18" i="15"/>
  <c r="AR18" i="15"/>
  <c r="Z20" i="5"/>
  <c r="V20" i="5"/>
  <c r="T20" i="5" s="1"/>
  <c r="R20" i="5" s="1"/>
  <c r="P20" i="5" s="1"/>
  <c r="N20" i="5" s="1"/>
  <c r="L20" i="5" s="1"/>
  <c r="J20" i="5" s="1"/>
  <c r="H20" i="5" s="1"/>
  <c r="F20" i="5" s="1"/>
  <c r="AV20" i="5" s="1" a="1"/>
  <c r="AV20" i="5" s="1"/>
  <c r="AR11" i="15"/>
  <c r="Z53" i="14"/>
  <c r="V53" i="14"/>
  <c r="T53" i="14" s="1"/>
  <c r="R53" i="14" s="1"/>
  <c r="P53" i="14" s="1"/>
  <c r="N53" i="14" s="1"/>
  <c r="L53" i="14" s="1"/>
  <c r="J53" i="14" s="1"/>
  <c r="H53" i="14" s="1"/>
  <c r="F53" i="14" s="1"/>
  <c r="Z14" i="14"/>
  <c r="V14" i="14"/>
  <c r="T14" i="14" s="1"/>
  <c r="R14" i="14" s="1"/>
  <c r="P14" i="14" s="1"/>
  <c r="N14" i="14" s="1"/>
  <c r="L14" i="14" s="1"/>
  <c r="J14" i="14" s="1"/>
  <c r="H14" i="14" s="1"/>
  <c r="F14" i="14" s="1"/>
  <c r="AV14" i="14" s="1" a="1"/>
  <c r="AV14" i="14" s="1"/>
  <c r="V12" i="14"/>
  <c r="T12" i="14" s="1"/>
  <c r="R12" i="14" s="1"/>
  <c r="P12" i="14" s="1"/>
  <c r="N12" i="14" s="1"/>
  <c r="L12" i="14" s="1"/>
  <c r="J12" i="14" s="1"/>
  <c r="H12" i="14" s="1"/>
  <c r="F12" i="14" s="1"/>
  <c r="Z12" i="14"/>
  <c r="V52" i="14"/>
  <c r="T52" i="14" s="1"/>
  <c r="R52" i="14" s="1"/>
  <c r="P52" i="14" s="1"/>
  <c r="N52" i="14" s="1"/>
  <c r="L52" i="14" s="1"/>
  <c r="J52" i="14" s="1"/>
  <c r="H52" i="14" s="1"/>
  <c r="F52" i="14" s="1"/>
  <c r="Z52" i="14"/>
  <c r="AR46" i="14"/>
  <c r="X46" i="14"/>
  <c r="V50" i="14"/>
  <c r="T50" i="14" s="1"/>
  <c r="R50" i="14" s="1"/>
  <c r="P50" i="14" s="1"/>
  <c r="N50" i="14" s="1"/>
  <c r="L50" i="14" s="1"/>
  <c r="J50" i="14" s="1"/>
  <c r="H50" i="14" s="1"/>
  <c r="F50" i="14" s="1"/>
  <c r="AU50" i="14" s="1"/>
  <c r="AO50" i="14" s="1"/>
  <c r="Z50" i="14"/>
  <c r="V33" i="16"/>
  <c r="T33" i="16" s="1"/>
  <c r="R33" i="16" s="1"/>
  <c r="P33" i="16" s="1"/>
  <c r="N33" i="16" s="1"/>
  <c r="L33" i="16" s="1"/>
  <c r="J33" i="16" s="1"/>
  <c r="H33" i="16" s="1"/>
  <c r="F33" i="16" s="1"/>
  <c r="Z33" i="16"/>
  <c r="V30" i="16"/>
  <c r="T30" i="16" s="1"/>
  <c r="R30" i="16" s="1"/>
  <c r="P30" i="16" s="1"/>
  <c r="N30" i="16" s="1"/>
  <c r="L30" i="16" s="1"/>
  <c r="J30" i="16" s="1"/>
  <c r="H30" i="16" s="1"/>
  <c r="F30" i="16" s="1"/>
  <c r="Z30" i="16"/>
  <c r="Z25" i="16"/>
  <c r="V25" i="16"/>
  <c r="T25" i="16" s="1"/>
  <c r="R25" i="16" s="1"/>
  <c r="P25" i="16" s="1"/>
  <c r="N25" i="16" s="1"/>
  <c r="L25" i="16" s="1"/>
  <c r="J25" i="16" s="1"/>
  <c r="H25" i="16" s="1"/>
  <c r="F25" i="16" s="1"/>
  <c r="V23" i="16"/>
  <c r="T23" i="16" s="1"/>
  <c r="R23" i="16" s="1"/>
  <c r="P23" i="16" s="1"/>
  <c r="N23" i="16" s="1"/>
  <c r="L23" i="16" s="1"/>
  <c r="J23" i="16" s="1"/>
  <c r="H23" i="16" s="1"/>
  <c r="F23" i="16" s="1"/>
  <c r="AU23" i="16" s="1"/>
  <c r="AO23" i="16" s="1"/>
  <c r="Z23" i="16"/>
  <c r="Z21" i="16"/>
  <c r="V21" i="16"/>
  <c r="T21" i="16" s="1"/>
  <c r="R21" i="16" s="1"/>
  <c r="P21" i="16" s="1"/>
  <c r="N21" i="16" s="1"/>
  <c r="L21" i="16" s="1"/>
  <c r="J21" i="16" s="1"/>
  <c r="H21" i="16" s="1"/>
  <c r="F21" i="16" s="1"/>
  <c r="Z50" i="17"/>
  <c r="V50" i="17"/>
  <c r="T50" i="17" s="1"/>
  <c r="R50" i="17" s="1"/>
  <c r="P50" i="17" s="1"/>
  <c r="N50" i="17" s="1"/>
  <c r="L50" i="17" s="1"/>
  <c r="J50" i="17" s="1"/>
  <c r="H50" i="17" s="1"/>
  <c r="F50" i="17" s="1"/>
  <c r="Z35" i="17"/>
  <c r="V35" i="17"/>
  <c r="T35" i="17" s="1"/>
  <c r="R35" i="17" s="1"/>
  <c r="P35" i="17" s="1"/>
  <c r="N35" i="17" s="1"/>
  <c r="L35" i="17" s="1"/>
  <c r="J35" i="17" s="1"/>
  <c r="H35" i="17" s="1"/>
  <c r="F35" i="17" s="1"/>
  <c r="V31" i="17"/>
  <c r="T31" i="17" s="1"/>
  <c r="R31" i="17" s="1"/>
  <c r="P31" i="17" s="1"/>
  <c r="N31" i="17" s="1"/>
  <c r="L31" i="17" s="1"/>
  <c r="J31" i="17" s="1"/>
  <c r="H31" i="17" s="1"/>
  <c r="F31" i="17" s="1"/>
  <c r="Z31" i="17"/>
  <c r="Z28" i="17"/>
  <c r="V28" i="17"/>
  <c r="T28" i="17" s="1"/>
  <c r="R28" i="17" s="1"/>
  <c r="P28" i="17" s="1"/>
  <c r="N28" i="17" s="1"/>
  <c r="L28" i="17" s="1"/>
  <c r="J28" i="17" s="1"/>
  <c r="H28" i="17" s="1"/>
  <c r="F28" i="17" s="1"/>
  <c r="V27" i="17"/>
  <c r="T27" i="17" s="1"/>
  <c r="R27" i="17" s="1"/>
  <c r="P27" i="17" s="1"/>
  <c r="N27" i="17" s="1"/>
  <c r="L27" i="17" s="1"/>
  <c r="J27" i="17" s="1"/>
  <c r="H27" i="17" s="1"/>
  <c r="F27" i="17" s="1"/>
  <c r="Z27" i="17"/>
  <c r="Z46" i="17"/>
  <c r="V46" i="17"/>
  <c r="T46" i="17" s="1"/>
  <c r="R46" i="17" s="1"/>
  <c r="P46" i="17" s="1"/>
  <c r="N46" i="17" s="1"/>
  <c r="L46" i="17" s="1"/>
  <c r="J46" i="17" s="1"/>
  <c r="H46" i="17" s="1"/>
  <c r="F46" i="17" s="1"/>
  <c r="V44" i="17"/>
  <c r="T44" i="17" s="1"/>
  <c r="R44" i="17" s="1"/>
  <c r="P44" i="17" s="1"/>
  <c r="N44" i="17" s="1"/>
  <c r="L44" i="17" s="1"/>
  <c r="J44" i="17" s="1"/>
  <c r="H44" i="17" s="1"/>
  <c r="F44" i="17" s="1"/>
  <c r="Z44" i="17"/>
  <c r="V42" i="17"/>
  <c r="T42" i="17" s="1"/>
  <c r="R42" i="17" s="1"/>
  <c r="P42" i="17" s="1"/>
  <c r="N42" i="17" s="1"/>
  <c r="L42" i="17" s="1"/>
  <c r="J42" i="17" s="1"/>
  <c r="H42" i="17" s="1"/>
  <c r="F42" i="17" s="1"/>
  <c r="Z42" i="17"/>
  <c r="V33" i="17"/>
  <c r="T33" i="17" s="1"/>
  <c r="R33" i="17" s="1"/>
  <c r="P33" i="17" s="1"/>
  <c r="N33" i="17" s="1"/>
  <c r="L33" i="17" s="1"/>
  <c r="J33" i="17" s="1"/>
  <c r="H33" i="17" s="1"/>
  <c r="F33" i="17" s="1"/>
  <c r="AU33" i="17" s="1"/>
  <c r="AO33" i="17" s="1"/>
  <c r="Z33" i="17"/>
  <c r="V32" i="17"/>
  <c r="T32" i="17" s="1"/>
  <c r="R32" i="17" s="1"/>
  <c r="P32" i="17" s="1"/>
  <c r="N32" i="17" s="1"/>
  <c r="L32" i="17" s="1"/>
  <c r="J32" i="17" s="1"/>
  <c r="H32" i="17" s="1"/>
  <c r="F32" i="17" s="1"/>
  <c r="Z32" i="17"/>
  <c r="V24" i="17"/>
  <c r="T24" i="17" s="1"/>
  <c r="R24" i="17" s="1"/>
  <c r="P24" i="17" s="1"/>
  <c r="N24" i="17" s="1"/>
  <c r="L24" i="17" s="1"/>
  <c r="J24" i="17" s="1"/>
  <c r="H24" i="17" s="1"/>
  <c r="F24" i="17" s="1"/>
  <c r="Z24" i="17"/>
  <c r="V18" i="17"/>
  <c r="T18" i="17" s="1"/>
  <c r="R18" i="17" s="1"/>
  <c r="P18" i="17" s="1"/>
  <c r="N18" i="17" s="1"/>
  <c r="L18" i="17" s="1"/>
  <c r="J18" i="17" s="1"/>
  <c r="H18" i="17" s="1"/>
  <c r="F18" i="17" s="1"/>
  <c r="AU18" i="17" s="1"/>
  <c r="AO18" i="17" s="1"/>
  <c r="Z18" i="17"/>
  <c r="V17" i="17"/>
  <c r="T17" i="17" s="1"/>
  <c r="R17" i="17" s="1"/>
  <c r="P17" i="17" s="1"/>
  <c r="N17" i="17" s="1"/>
  <c r="L17" i="17" s="1"/>
  <c r="J17" i="17" s="1"/>
  <c r="H17" i="17" s="1"/>
  <c r="F17" i="17" s="1"/>
  <c r="Z17" i="17"/>
  <c r="V13" i="17"/>
  <c r="T13" i="17" s="1"/>
  <c r="R13" i="17" s="1"/>
  <c r="P13" i="17" s="1"/>
  <c r="N13" i="17" s="1"/>
  <c r="L13" i="17" s="1"/>
  <c r="J13" i="17" s="1"/>
  <c r="H13" i="17" s="1"/>
  <c r="F13" i="17" s="1"/>
  <c r="AU13" i="17" s="1"/>
  <c r="AO13" i="17" s="1"/>
  <c r="Z13" i="17"/>
  <c r="V25" i="7"/>
  <c r="T25" i="7" s="1"/>
  <c r="R25" i="7" s="1"/>
  <c r="P25" i="7" s="1"/>
  <c r="N25" i="7" s="1"/>
  <c r="L25" i="7" s="1"/>
  <c r="J25" i="7" s="1"/>
  <c r="H25" i="7" s="1"/>
  <c r="F25" i="7" s="1"/>
  <c r="Z25" i="7"/>
  <c r="V22" i="7"/>
  <c r="T22" i="7" s="1"/>
  <c r="R22" i="7" s="1"/>
  <c r="P22" i="7" s="1"/>
  <c r="N22" i="7" s="1"/>
  <c r="L22" i="7" s="1"/>
  <c r="J22" i="7" s="1"/>
  <c r="H22" i="7" s="1"/>
  <c r="F22" i="7" s="1"/>
  <c r="AU22" i="7" s="1"/>
  <c r="AO22" i="7" s="1"/>
  <c r="Z22" i="7"/>
  <c r="V21" i="7"/>
  <c r="T21" i="7" s="1"/>
  <c r="R21" i="7" s="1"/>
  <c r="P21" i="7" s="1"/>
  <c r="N21" i="7" s="1"/>
  <c r="L21" i="7" s="1"/>
  <c r="J21" i="7" s="1"/>
  <c r="H21" i="7" s="1"/>
  <c r="F21" i="7" s="1"/>
  <c r="Z21" i="7"/>
  <c r="V19" i="7"/>
  <c r="T19" i="7" s="1"/>
  <c r="R19" i="7" s="1"/>
  <c r="P19" i="7" s="1"/>
  <c r="N19" i="7" s="1"/>
  <c r="L19" i="7" s="1"/>
  <c r="J19" i="7" s="1"/>
  <c r="H19" i="7" s="1"/>
  <c r="F19" i="7" s="1"/>
  <c r="AU19" i="7" s="1"/>
  <c r="AO19" i="7" s="1"/>
  <c r="Z19" i="7"/>
  <c r="V15" i="7"/>
  <c r="T15" i="7" s="1"/>
  <c r="R15" i="7" s="1"/>
  <c r="P15" i="7" s="1"/>
  <c r="N15" i="7" s="1"/>
  <c r="L15" i="7" s="1"/>
  <c r="J15" i="7" s="1"/>
  <c r="H15" i="7" s="1"/>
  <c r="F15" i="7" s="1"/>
  <c r="Z15" i="7"/>
  <c r="V24" i="13"/>
  <c r="T24" i="13" s="1"/>
  <c r="R24" i="13" s="1"/>
  <c r="P24" i="13" s="1"/>
  <c r="N24" i="13" s="1"/>
  <c r="L24" i="13" s="1"/>
  <c r="J24" i="13" s="1"/>
  <c r="H24" i="13" s="1"/>
  <c r="F24" i="13" s="1"/>
  <c r="Z24" i="13"/>
  <c r="X20" i="13"/>
  <c r="AR20" i="13"/>
  <c r="AR18" i="13"/>
  <c r="X18" i="13"/>
  <c r="Z11" i="13"/>
  <c r="V11" i="13"/>
  <c r="T11" i="13" s="1"/>
  <c r="R11" i="13" s="1"/>
  <c r="P11" i="13" s="1"/>
  <c r="N11" i="13" s="1"/>
  <c r="L11" i="13" s="1"/>
  <c r="J11" i="13" s="1"/>
  <c r="H11" i="13" s="1"/>
  <c r="F11" i="13" s="1"/>
  <c r="AU11" i="13" s="1"/>
  <c r="AO11" i="13" s="1"/>
  <c r="Z53" i="9"/>
  <c r="V53" i="9"/>
  <c r="T53" i="9" s="1"/>
  <c r="R53" i="9" s="1"/>
  <c r="P53" i="9" s="1"/>
  <c r="N53" i="9" s="1"/>
  <c r="L53" i="9" s="1"/>
  <c r="J53" i="9" s="1"/>
  <c r="H53" i="9" s="1"/>
  <c r="F53" i="9" s="1"/>
  <c r="Z49" i="9"/>
  <c r="V49" i="9"/>
  <c r="T49" i="9" s="1"/>
  <c r="R49" i="9" s="1"/>
  <c r="P49" i="9" s="1"/>
  <c r="N49" i="9" s="1"/>
  <c r="L49" i="9" s="1"/>
  <c r="J49" i="9" s="1"/>
  <c r="H49" i="9" s="1"/>
  <c r="F49" i="9" s="1"/>
  <c r="AV49" i="9" s="1" a="1"/>
  <c r="AV49" i="9" s="1"/>
  <c r="Z28" i="9"/>
  <c r="V28" i="9"/>
  <c r="T28" i="9" s="1"/>
  <c r="R28" i="9" s="1"/>
  <c r="P28" i="9" s="1"/>
  <c r="N28" i="9" s="1"/>
  <c r="L28" i="9" s="1"/>
  <c r="J28" i="9" s="1"/>
  <c r="H28" i="9" s="1"/>
  <c r="F28" i="9" s="1"/>
  <c r="V23" i="9"/>
  <c r="T23" i="9" s="1"/>
  <c r="R23" i="9" s="1"/>
  <c r="P23" i="9" s="1"/>
  <c r="N23" i="9" s="1"/>
  <c r="L23" i="9" s="1"/>
  <c r="J23" i="9" s="1"/>
  <c r="H23" i="9" s="1"/>
  <c r="F23" i="9" s="1"/>
  <c r="Z23" i="9"/>
  <c r="V17" i="9"/>
  <c r="T17" i="9" s="1"/>
  <c r="R17" i="9" s="1"/>
  <c r="P17" i="9" s="1"/>
  <c r="N17" i="9" s="1"/>
  <c r="L17" i="9" s="1"/>
  <c r="J17" i="9" s="1"/>
  <c r="H17" i="9" s="1"/>
  <c r="F17" i="9" s="1"/>
  <c r="AU17" i="9" s="1"/>
  <c r="AO17" i="9" s="1"/>
  <c r="Z17" i="9"/>
  <c r="V56" i="9"/>
  <c r="T56" i="9" s="1"/>
  <c r="R56" i="9" s="1"/>
  <c r="P56" i="9" s="1"/>
  <c r="N56" i="9" s="1"/>
  <c r="L56" i="9" s="1"/>
  <c r="J56" i="9" s="1"/>
  <c r="H56" i="9" s="1"/>
  <c r="F56" i="9" s="1"/>
  <c r="AU56" i="9" s="1"/>
  <c r="AO56" i="9" s="1"/>
  <c r="Z56" i="9"/>
  <c r="V54" i="9"/>
  <c r="T54" i="9" s="1"/>
  <c r="R54" i="9" s="1"/>
  <c r="P54" i="9" s="1"/>
  <c r="N54" i="9" s="1"/>
  <c r="L54" i="9" s="1"/>
  <c r="J54" i="9" s="1"/>
  <c r="H54" i="9" s="1"/>
  <c r="F54" i="9" s="1"/>
  <c r="Z54" i="9"/>
  <c r="V52" i="9"/>
  <c r="T52" i="9" s="1"/>
  <c r="R52" i="9" s="1"/>
  <c r="P52" i="9" s="1"/>
  <c r="N52" i="9" s="1"/>
  <c r="L52" i="9" s="1"/>
  <c r="J52" i="9" s="1"/>
  <c r="H52" i="9" s="1"/>
  <c r="F52" i="9" s="1"/>
  <c r="Z52" i="9"/>
  <c r="V50" i="9"/>
  <c r="T50" i="9" s="1"/>
  <c r="R50" i="9" s="1"/>
  <c r="P50" i="9" s="1"/>
  <c r="N50" i="9" s="1"/>
  <c r="L50" i="9" s="1"/>
  <c r="J50" i="9" s="1"/>
  <c r="H50" i="9" s="1"/>
  <c r="F50" i="9" s="1"/>
  <c r="Z50" i="9"/>
  <c r="Z38" i="9"/>
  <c r="V38" i="9"/>
  <c r="T38" i="9" s="1"/>
  <c r="R38" i="9" s="1"/>
  <c r="P38" i="9" s="1"/>
  <c r="N38" i="9" s="1"/>
  <c r="L38" i="9" s="1"/>
  <c r="J38" i="9" s="1"/>
  <c r="H38" i="9" s="1"/>
  <c r="F38" i="9" s="1"/>
  <c r="V37" i="9"/>
  <c r="T37" i="9" s="1"/>
  <c r="R37" i="9" s="1"/>
  <c r="P37" i="9" s="1"/>
  <c r="N37" i="9" s="1"/>
  <c r="L37" i="9" s="1"/>
  <c r="J37" i="9" s="1"/>
  <c r="H37" i="9" s="1"/>
  <c r="F37" i="9" s="1"/>
  <c r="Z37" i="9"/>
  <c r="Z41" i="9"/>
  <c r="V41" i="9"/>
  <c r="T41" i="9" s="1"/>
  <c r="R41" i="9" s="1"/>
  <c r="P41" i="9" s="1"/>
  <c r="N41" i="9" s="1"/>
  <c r="L41" i="9" s="1"/>
  <c r="J41" i="9" s="1"/>
  <c r="H41" i="9" s="1"/>
  <c r="F41" i="9" s="1"/>
  <c r="V40" i="9"/>
  <c r="T40" i="9" s="1"/>
  <c r="R40" i="9" s="1"/>
  <c r="P40" i="9" s="1"/>
  <c r="N40" i="9" s="1"/>
  <c r="L40" i="9" s="1"/>
  <c r="J40" i="9" s="1"/>
  <c r="H40" i="9" s="1"/>
  <c r="F40" i="9" s="1"/>
  <c r="Z40" i="9"/>
  <c r="Z39" i="9"/>
  <c r="V39" i="9"/>
  <c r="T39" i="9" s="1"/>
  <c r="R39" i="9" s="1"/>
  <c r="P39" i="9" s="1"/>
  <c r="N39" i="9" s="1"/>
  <c r="L39" i="9" s="1"/>
  <c r="J39" i="9" s="1"/>
  <c r="H39" i="9" s="1"/>
  <c r="F39" i="9" s="1"/>
  <c r="V32" i="9"/>
  <c r="T32" i="9" s="1"/>
  <c r="R32" i="9" s="1"/>
  <c r="P32" i="9" s="1"/>
  <c r="N32" i="9" s="1"/>
  <c r="L32" i="9" s="1"/>
  <c r="J32" i="9" s="1"/>
  <c r="H32" i="9" s="1"/>
  <c r="F32" i="9" s="1"/>
  <c r="AU32" i="9" s="1"/>
  <c r="AO32" i="9" s="1"/>
  <c r="Z32" i="9"/>
  <c r="V24" i="9"/>
  <c r="T24" i="9" s="1"/>
  <c r="R24" i="9" s="1"/>
  <c r="P24" i="9" s="1"/>
  <c r="N24" i="9" s="1"/>
  <c r="L24" i="9" s="1"/>
  <c r="J24" i="9" s="1"/>
  <c r="H24" i="9" s="1"/>
  <c r="F24" i="9" s="1"/>
  <c r="AU24" i="9" s="1"/>
  <c r="AO24" i="9" s="1"/>
  <c r="Z24" i="9"/>
  <c r="V16" i="9"/>
  <c r="T16" i="9" s="1"/>
  <c r="R16" i="9" s="1"/>
  <c r="P16" i="9" s="1"/>
  <c r="N16" i="9" s="1"/>
  <c r="L16" i="9" s="1"/>
  <c r="J16" i="9" s="1"/>
  <c r="H16" i="9" s="1"/>
  <c r="F16" i="9" s="1"/>
  <c r="Z16" i="9"/>
  <c r="V25" i="10"/>
  <c r="T25" i="10" s="1"/>
  <c r="R25" i="10" s="1"/>
  <c r="P25" i="10" s="1"/>
  <c r="N25" i="10" s="1"/>
  <c r="L25" i="10" s="1"/>
  <c r="J25" i="10" s="1"/>
  <c r="H25" i="10" s="1"/>
  <c r="F25" i="10" s="1"/>
  <c r="Z25" i="10"/>
  <c r="Z21" i="10"/>
  <c r="V21" i="10"/>
  <c r="T21" i="10" s="1"/>
  <c r="R21" i="10" s="1"/>
  <c r="P21" i="10" s="1"/>
  <c r="N21" i="10" s="1"/>
  <c r="L21" i="10" s="1"/>
  <c r="J21" i="10" s="1"/>
  <c r="H21" i="10" s="1"/>
  <c r="F21" i="10" s="1"/>
  <c r="AU21" i="10" s="1"/>
  <c r="AO21" i="10" s="1"/>
  <c r="Z19" i="10"/>
  <c r="V19" i="10"/>
  <c r="T19" i="10" s="1"/>
  <c r="R19" i="10" s="1"/>
  <c r="P19" i="10" s="1"/>
  <c r="N19" i="10" s="1"/>
  <c r="L19" i="10" s="1"/>
  <c r="J19" i="10" s="1"/>
  <c r="H19" i="10" s="1"/>
  <c r="F19" i="10" s="1"/>
  <c r="AU19" i="10" s="1"/>
  <c r="AO19" i="10" s="1"/>
  <c r="V40" i="10"/>
  <c r="T40" i="10" s="1"/>
  <c r="R40" i="10" s="1"/>
  <c r="P40" i="10" s="1"/>
  <c r="N40" i="10" s="1"/>
  <c r="L40" i="10" s="1"/>
  <c r="J40" i="10" s="1"/>
  <c r="H40" i="10" s="1"/>
  <c r="F40" i="10" s="1"/>
  <c r="AU40" i="10" s="1"/>
  <c r="AO40" i="10" s="1"/>
  <c r="Z40" i="10"/>
  <c r="V39" i="10"/>
  <c r="T39" i="10" s="1"/>
  <c r="R39" i="10" s="1"/>
  <c r="P39" i="10" s="1"/>
  <c r="N39" i="10" s="1"/>
  <c r="L39" i="10" s="1"/>
  <c r="J39" i="10" s="1"/>
  <c r="H39" i="10" s="1"/>
  <c r="F39" i="10" s="1"/>
  <c r="Z39" i="10"/>
  <c r="V38" i="10"/>
  <c r="T38" i="10" s="1"/>
  <c r="R38" i="10" s="1"/>
  <c r="P38" i="10" s="1"/>
  <c r="N38" i="10" s="1"/>
  <c r="L38" i="10" s="1"/>
  <c r="J38" i="10" s="1"/>
  <c r="H38" i="10" s="1"/>
  <c r="F38" i="10" s="1"/>
  <c r="AU38" i="10" s="1"/>
  <c r="AO38" i="10" s="1"/>
  <c r="Z38" i="10"/>
  <c r="V37" i="10"/>
  <c r="T37" i="10" s="1"/>
  <c r="R37" i="10" s="1"/>
  <c r="P37" i="10" s="1"/>
  <c r="N37" i="10" s="1"/>
  <c r="L37" i="10" s="1"/>
  <c r="J37" i="10" s="1"/>
  <c r="H37" i="10" s="1"/>
  <c r="F37" i="10" s="1"/>
  <c r="Z37" i="10"/>
  <c r="V36" i="10"/>
  <c r="T36" i="10" s="1"/>
  <c r="R36" i="10" s="1"/>
  <c r="P36" i="10" s="1"/>
  <c r="N36" i="10" s="1"/>
  <c r="L36" i="10" s="1"/>
  <c r="J36" i="10" s="1"/>
  <c r="H36" i="10" s="1"/>
  <c r="F36" i="10" s="1"/>
  <c r="Z36" i="10"/>
  <c r="Z35" i="10"/>
  <c r="V35" i="10"/>
  <c r="T35" i="10" s="1"/>
  <c r="R35" i="10" s="1"/>
  <c r="P35" i="10" s="1"/>
  <c r="N35" i="10" s="1"/>
  <c r="L35" i="10" s="1"/>
  <c r="J35" i="10" s="1"/>
  <c r="H35" i="10" s="1"/>
  <c r="F35" i="10" s="1"/>
  <c r="Z34" i="10"/>
  <c r="V34" i="10"/>
  <c r="T34" i="10" s="1"/>
  <c r="R34" i="10" s="1"/>
  <c r="P34" i="10" s="1"/>
  <c r="N34" i="10" s="1"/>
  <c r="L34" i="10" s="1"/>
  <c r="J34" i="10" s="1"/>
  <c r="H34" i="10" s="1"/>
  <c r="F34" i="10" s="1"/>
  <c r="AU34" i="10" s="1"/>
  <c r="AO34" i="10" s="1"/>
  <c r="V33" i="10"/>
  <c r="T33" i="10" s="1"/>
  <c r="R33" i="10" s="1"/>
  <c r="P33" i="10" s="1"/>
  <c r="N33" i="10" s="1"/>
  <c r="L33" i="10" s="1"/>
  <c r="J33" i="10" s="1"/>
  <c r="H33" i="10" s="1"/>
  <c r="F33" i="10" s="1"/>
  <c r="AU33" i="10" s="1"/>
  <c r="AO33" i="10" s="1"/>
  <c r="Z33" i="10"/>
  <c r="V32" i="10"/>
  <c r="T32" i="10" s="1"/>
  <c r="R32" i="10" s="1"/>
  <c r="P32" i="10" s="1"/>
  <c r="N32" i="10" s="1"/>
  <c r="L32" i="10" s="1"/>
  <c r="J32" i="10" s="1"/>
  <c r="H32" i="10" s="1"/>
  <c r="F32" i="10" s="1"/>
  <c r="AU32" i="10" s="1"/>
  <c r="AO32" i="10" s="1"/>
  <c r="Z32" i="10"/>
  <c r="V31" i="10"/>
  <c r="T31" i="10" s="1"/>
  <c r="R31" i="10" s="1"/>
  <c r="P31" i="10" s="1"/>
  <c r="N31" i="10" s="1"/>
  <c r="L31" i="10" s="1"/>
  <c r="J31" i="10" s="1"/>
  <c r="H31" i="10" s="1"/>
  <c r="F31" i="10" s="1"/>
  <c r="AU31" i="10" s="1"/>
  <c r="AO31" i="10" s="1"/>
  <c r="Z31" i="10"/>
  <c r="V29" i="10"/>
  <c r="T29" i="10" s="1"/>
  <c r="R29" i="10" s="1"/>
  <c r="P29" i="10" s="1"/>
  <c r="N29" i="10" s="1"/>
  <c r="L29" i="10" s="1"/>
  <c r="J29" i="10" s="1"/>
  <c r="H29" i="10" s="1"/>
  <c r="F29" i="10" s="1"/>
  <c r="AU29" i="10" s="1"/>
  <c r="AO29" i="10" s="1"/>
  <c r="Z29" i="10"/>
  <c r="V14" i="10"/>
  <c r="T14" i="10" s="1"/>
  <c r="R14" i="10" s="1"/>
  <c r="P14" i="10" s="1"/>
  <c r="N14" i="10" s="1"/>
  <c r="L14" i="10" s="1"/>
  <c r="J14" i="10" s="1"/>
  <c r="H14" i="10" s="1"/>
  <c r="F14" i="10" s="1"/>
  <c r="AV14" i="10" s="1" a="1"/>
  <c r="AV14" i="10" s="1"/>
  <c r="AU14" i="10" s="1"/>
  <c r="AO14" i="10" s="1"/>
  <c r="Z14" i="10"/>
  <c r="V40" i="11"/>
  <c r="T40" i="11" s="1"/>
  <c r="R40" i="11" s="1"/>
  <c r="P40" i="11" s="1"/>
  <c r="N40" i="11" s="1"/>
  <c r="L40" i="11" s="1"/>
  <c r="J40" i="11" s="1"/>
  <c r="H40" i="11" s="1"/>
  <c r="F40" i="11" s="1"/>
  <c r="AU40" i="11" s="1"/>
  <c r="AO40" i="11" s="1"/>
  <c r="Z40" i="11"/>
  <c r="Z38" i="11"/>
  <c r="V38" i="11"/>
  <c r="T38" i="11" s="1"/>
  <c r="R38" i="11" s="1"/>
  <c r="P38" i="11" s="1"/>
  <c r="N38" i="11" s="1"/>
  <c r="L38" i="11" s="1"/>
  <c r="J38" i="11" s="1"/>
  <c r="H38" i="11" s="1"/>
  <c r="F38" i="11" s="1"/>
  <c r="V35" i="11"/>
  <c r="T35" i="11" s="1"/>
  <c r="R35" i="11" s="1"/>
  <c r="P35" i="11" s="1"/>
  <c r="N35" i="11" s="1"/>
  <c r="L35" i="11" s="1"/>
  <c r="J35" i="11" s="1"/>
  <c r="H35" i="11" s="1"/>
  <c r="F35" i="11" s="1"/>
  <c r="Z35" i="11"/>
  <c r="V34" i="11"/>
  <c r="T34" i="11" s="1"/>
  <c r="R34" i="11" s="1"/>
  <c r="P34" i="11" s="1"/>
  <c r="N34" i="11" s="1"/>
  <c r="L34" i="11" s="1"/>
  <c r="J34" i="11" s="1"/>
  <c r="H34" i="11" s="1"/>
  <c r="F34" i="11" s="1"/>
  <c r="Z34" i="11"/>
  <c r="Z33" i="11"/>
  <c r="V33" i="11"/>
  <c r="T33" i="11" s="1"/>
  <c r="R33" i="11" s="1"/>
  <c r="P33" i="11" s="1"/>
  <c r="N33" i="11" s="1"/>
  <c r="L33" i="11" s="1"/>
  <c r="J33" i="11" s="1"/>
  <c r="H33" i="11" s="1"/>
  <c r="F33" i="11" s="1"/>
  <c r="V32" i="11"/>
  <c r="T32" i="11" s="1"/>
  <c r="R32" i="11" s="1"/>
  <c r="P32" i="11" s="1"/>
  <c r="N32" i="11" s="1"/>
  <c r="L32" i="11" s="1"/>
  <c r="J32" i="11" s="1"/>
  <c r="H32" i="11" s="1"/>
  <c r="F32" i="11" s="1"/>
  <c r="Z32" i="11"/>
  <c r="V31" i="11"/>
  <c r="T31" i="11" s="1"/>
  <c r="R31" i="11" s="1"/>
  <c r="P31" i="11" s="1"/>
  <c r="N31" i="11" s="1"/>
  <c r="L31" i="11" s="1"/>
  <c r="J31" i="11" s="1"/>
  <c r="H31" i="11" s="1"/>
  <c r="F31" i="11" s="1"/>
  <c r="Z31" i="11"/>
  <c r="V18" i="8"/>
  <c r="T18" i="8" s="1"/>
  <c r="R18" i="8" s="1"/>
  <c r="P18" i="8" s="1"/>
  <c r="N18" i="8" s="1"/>
  <c r="L18" i="8" s="1"/>
  <c r="J18" i="8" s="1"/>
  <c r="H18" i="8" s="1"/>
  <c r="F18" i="8" s="1"/>
  <c r="Z18" i="8"/>
  <c r="Z17" i="8"/>
  <c r="V17" i="8"/>
  <c r="T17" i="8" s="1"/>
  <c r="R17" i="8" s="1"/>
  <c r="P17" i="8" s="1"/>
  <c r="N17" i="8" s="1"/>
  <c r="L17" i="8" s="1"/>
  <c r="J17" i="8" s="1"/>
  <c r="H17" i="8" s="1"/>
  <c r="F17" i="8" s="1"/>
  <c r="V15" i="8"/>
  <c r="T15" i="8" s="1"/>
  <c r="R15" i="8" s="1"/>
  <c r="P15" i="8" s="1"/>
  <c r="N15" i="8" s="1"/>
  <c r="L15" i="8" s="1"/>
  <c r="J15" i="8" s="1"/>
  <c r="H15" i="8" s="1"/>
  <c r="F15" i="8" s="1"/>
  <c r="AV15" i="8" s="1" a="1"/>
  <c r="AV15" i="8" s="1"/>
  <c r="AU15" i="8" s="1"/>
  <c r="AO15" i="8" s="1"/>
  <c r="Z15" i="8"/>
  <c r="V29" i="12"/>
  <c r="T29" i="12" s="1"/>
  <c r="R29" i="12" s="1"/>
  <c r="P29" i="12" s="1"/>
  <c r="N29" i="12" s="1"/>
  <c r="L29" i="12" s="1"/>
  <c r="J29" i="12" s="1"/>
  <c r="H29" i="12" s="1"/>
  <c r="F29" i="12" s="1"/>
  <c r="Z29" i="12"/>
  <c r="Z26" i="12"/>
  <c r="V26" i="12"/>
  <c r="T26" i="12" s="1"/>
  <c r="R26" i="12" s="1"/>
  <c r="P26" i="12" s="1"/>
  <c r="N26" i="12" s="1"/>
  <c r="L26" i="12" s="1"/>
  <c r="J26" i="12" s="1"/>
  <c r="H26" i="12" s="1"/>
  <c r="F26" i="12" s="1"/>
  <c r="V22" i="12"/>
  <c r="T22" i="12" s="1"/>
  <c r="R22" i="12" s="1"/>
  <c r="P22" i="12" s="1"/>
  <c r="N22" i="12" s="1"/>
  <c r="L22" i="12" s="1"/>
  <c r="J22" i="12" s="1"/>
  <c r="H22" i="12" s="1"/>
  <c r="F22" i="12" s="1"/>
  <c r="Z22" i="12"/>
  <c r="V39" i="12"/>
  <c r="T39" i="12" s="1"/>
  <c r="R39" i="12" s="1"/>
  <c r="P39" i="12" s="1"/>
  <c r="N39" i="12" s="1"/>
  <c r="L39" i="12" s="1"/>
  <c r="J39" i="12" s="1"/>
  <c r="H39" i="12" s="1"/>
  <c r="F39" i="12" s="1"/>
  <c r="AU39" i="12" s="1"/>
  <c r="AO39" i="12" s="1"/>
  <c r="Z39" i="12"/>
  <c r="V38" i="12"/>
  <c r="T38" i="12" s="1"/>
  <c r="R38" i="12" s="1"/>
  <c r="P38" i="12" s="1"/>
  <c r="N38" i="12" s="1"/>
  <c r="L38" i="12" s="1"/>
  <c r="J38" i="12" s="1"/>
  <c r="H38" i="12" s="1"/>
  <c r="F38" i="12" s="1"/>
  <c r="Z38" i="12"/>
  <c r="Z32" i="12"/>
  <c r="V32" i="12"/>
  <c r="T32" i="12" s="1"/>
  <c r="R32" i="12" s="1"/>
  <c r="P32" i="12" s="1"/>
  <c r="N32" i="12" s="1"/>
  <c r="L32" i="12" s="1"/>
  <c r="J32" i="12" s="1"/>
  <c r="H32" i="12" s="1"/>
  <c r="F32" i="12" s="1"/>
  <c r="AR19" i="12"/>
  <c r="X19" i="12"/>
  <c r="Z38" i="6"/>
  <c r="V38" i="6"/>
  <c r="T38" i="6" s="1"/>
  <c r="R38" i="6" s="1"/>
  <c r="P38" i="6" s="1"/>
  <c r="N38" i="6" s="1"/>
  <c r="L38" i="6" s="1"/>
  <c r="J38" i="6" s="1"/>
  <c r="H38" i="6" s="1"/>
  <c r="F38" i="6" s="1"/>
  <c r="V37" i="6"/>
  <c r="T37" i="6" s="1"/>
  <c r="R37" i="6" s="1"/>
  <c r="P37" i="6" s="1"/>
  <c r="N37" i="6" s="1"/>
  <c r="L37" i="6" s="1"/>
  <c r="J37" i="6" s="1"/>
  <c r="H37" i="6" s="1"/>
  <c r="F37" i="6" s="1"/>
  <c r="Z37" i="6"/>
  <c r="Z36" i="6"/>
  <c r="V36" i="6"/>
  <c r="T36" i="6" s="1"/>
  <c r="R36" i="6" s="1"/>
  <c r="P36" i="6" s="1"/>
  <c r="N36" i="6" s="1"/>
  <c r="L36" i="6" s="1"/>
  <c r="J36" i="6" s="1"/>
  <c r="H36" i="6" s="1"/>
  <c r="F36" i="6" s="1"/>
  <c r="V24" i="6"/>
  <c r="T24" i="6" s="1"/>
  <c r="R24" i="6" s="1"/>
  <c r="P24" i="6" s="1"/>
  <c r="N24" i="6" s="1"/>
  <c r="L24" i="6" s="1"/>
  <c r="J24" i="6" s="1"/>
  <c r="H24" i="6" s="1"/>
  <c r="F24" i="6" s="1"/>
  <c r="AV24" i="6" s="1" a="1"/>
  <c r="AV24" i="6" s="1"/>
  <c r="AU24" i="6" s="1"/>
  <c r="AO24" i="6" s="1"/>
  <c r="Z24" i="6"/>
  <c r="Z34" i="6"/>
  <c r="V34" i="6"/>
  <c r="T34" i="6" s="1"/>
  <c r="R34" i="6" s="1"/>
  <c r="P34" i="6" s="1"/>
  <c r="N34" i="6" s="1"/>
  <c r="L34" i="6" s="1"/>
  <c r="J34" i="6" s="1"/>
  <c r="H34" i="6" s="1"/>
  <c r="F34" i="6" s="1"/>
  <c r="V27" i="6"/>
  <c r="T27" i="6" s="1"/>
  <c r="R27" i="6" s="1"/>
  <c r="P27" i="6" s="1"/>
  <c r="N27" i="6" s="1"/>
  <c r="L27" i="6" s="1"/>
  <c r="J27" i="6" s="1"/>
  <c r="H27" i="6" s="1"/>
  <c r="F27" i="6" s="1"/>
  <c r="AV27" i="6" s="1" a="1"/>
  <c r="AV27" i="6" s="1"/>
  <c r="Z27" i="6"/>
  <c r="V17" i="6"/>
  <c r="T17" i="6" s="1"/>
  <c r="R17" i="6" s="1"/>
  <c r="P17" i="6" s="1"/>
  <c r="N17" i="6" s="1"/>
  <c r="L17" i="6" s="1"/>
  <c r="J17" i="6" s="1"/>
  <c r="H17" i="6" s="1"/>
  <c r="F17" i="6" s="1"/>
  <c r="Z17" i="6"/>
  <c r="Z16" i="6"/>
  <c r="V16" i="6"/>
  <c r="T16" i="6" s="1"/>
  <c r="R16" i="6" s="1"/>
  <c r="P16" i="6" s="1"/>
  <c r="N16" i="6" s="1"/>
  <c r="L16" i="6" s="1"/>
  <c r="J16" i="6" s="1"/>
  <c r="H16" i="6" s="1"/>
  <c r="F16" i="6" s="1"/>
  <c r="AV16" i="6" s="1" a="1"/>
  <c r="AV16" i="6" s="1"/>
  <c r="AB16" i="6" s="1"/>
  <c r="V14" i="6"/>
  <c r="T14" i="6" s="1"/>
  <c r="R14" i="6" s="1"/>
  <c r="P14" i="6" s="1"/>
  <c r="N14" i="6" s="1"/>
  <c r="L14" i="6" s="1"/>
  <c r="J14" i="6" s="1"/>
  <c r="H14" i="6" s="1"/>
  <c r="F14" i="6" s="1"/>
  <c r="Z14" i="6"/>
  <c r="X54" i="18"/>
  <c r="V54" i="18" s="1"/>
  <c r="T54" i="18" s="1"/>
  <c r="R54" i="18" s="1"/>
  <c r="P54" i="18" s="1"/>
  <c r="N54" i="18" s="1"/>
  <c r="L54" i="18" s="1"/>
  <c r="J54" i="18" s="1"/>
  <c r="H54" i="18" s="1"/>
  <c r="F54" i="18" s="1"/>
  <c r="AV54" i="18" s="1" a="1"/>
  <c r="AV54" i="18" s="1"/>
  <c r="AR54" i="18"/>
  <c r="X47" i="18"/>
  <c r="AR47" i="18"/>
  <c r="V34" i="18"/>
  <c r="T34" i="18" s="1"/>
  <c r="R34" i="18" s="1"/>
  <c r="P34" i="18" s="1"/>
  <c r="N34" i="18" s="1"/>
  <c r="L34" i="18" s="1"/>
  <c r="J34" i="18" s="1"/>
  <c r="H34" i="18" s="1"/>
  <c r="F34" i="18" s="1"/>
  <c r="AV34" i="18" s="1" a="1"/>
  <c r="AV34" i="18" s="1"/>
  <c r="Z34" i="18"/>
  <c r="X32" i="18"/>
  <c r="AR32" i="18"/>
  <c r="AR16" i="18"/>
  <c r="X16" i="18"/>
  <c r="AR55" i="18"/>
  <c r="X55" i="18"/>
  <c r="V55" i="18" s="1"/>
  <c r="T55" i="18" s="1"/>
  <c r="R55" i="18" s="1"/>
  <c r="P55" i="18" s="1"/>
  <c r="N55" i="18" s="1"/>
  <c r="L55" i="18" s="1"/>
  <c r="J55" i="18" s="1"/>
  <c r="H55" i="18" s="1"/>
  <c r="F55" i="18" s="1"/>
  <c r="AV55" i="18" s="1" a="1"/>
  <c r="AV55" i="18" s="1"/>
  <c r="X51" i="18"/>
  <c r="AR51" i="18"/>
  <c r="X50" i="18"/>
  <c r="Z50" i="18" s="1"/>
  <c r="AR50" i="18"/>
  <c r="X49" i="18"/>
  <c r="Z49" i="18" s="1"/>
  <c r="AR49" i="18"/>
  <c r="V32" i="18"/>
  <c r="T32" i="18" s="1"/>
  <c r="R32" i="18" s="1"/>
  <c r="P32" i="18" s="1"/>
  <c r="N32" i="18" s="1"/>
  <c r="L32" i="18" s="1"/>
  <c r="J32" i="18" s="1"/>
  <c r="H32" i="18" s="1"/>
  <c r="F32" i="18" s="1"/>
  <c r="AV32" i="18" s="1" a="1"/>
  <c r="AV32" i="18" s="1"/>
  <c r="Z32" i="18"/>
  <c r="Z29" i="18"/>
  <c r="V29" i="18"/>
  <c r="T29" i="18" s="1"/>
  <c r="R29" i="18" s="1"/>
  <c r="P29" i="18" s="1"/>
  <c r="N29" i="18" s="1"/>
  <c r="L29" i="18" s="1"/>
  <c r="J29" i="18" s="1"/>
  <c r="H29" i="18" s="1"/>
  <c r="F29" i="18" s="1"/>
  <c r="AV29" i="18" s="1" a="1"/>
  <c r="AV29" i="18" s="1"/>
  <c r="AR19" i="18"/>
  <c r="X19" i="18"/>
  <c r="V12" i="18"/>
  <c r="T12" i="18" s="1"/>
  <c r="R12" i="18" s="1"/>
  <c r="P12" i="18" s="1"/>
  <c r="N12" i="18" s="1"/>
  <c r="L12" i="18" s="1"/>
  <c r="J12" i="18" s="1"/>
  <c r="H12" i="18" s="1"/>
  <c r="F12" i="18" s="1"/>
  <c r="AV12" i="18" s="1" a="1"/>
  <c r="AV12" i="18" s="1"/>
  <c r="Z12" i="18"/>
  <c r="X52" i="18"/>
  <c r="AR52" i="18"/>
  <c r="Z46" i="18"/>
  <c r="V46" i="18"/>
  <c r="T46" i="18" s="1"/>
  <c r="R46" i="18" s="1"/>
  <c r="P46" i="18" s="1"/>
  <c r="N46" i="18" s="1"/>
  <c r="L46" i="18" s="1"/>
  <c r="J46" i="18" s="1"/>
  <c r="H46" i="18" s="1"/>
  <c r="F46" i="18" s="1"/>
  <c r="AV46" i="18" s="1" a="1"/>
  <c r="AV46" i="18" s="1"/>
  <c r="AU46" i="18" s="1"/>
  <c r="AO46" i="18" s="1"/>
  <c r="Z45" i="18"/>
  <c r="V45" i="18"/>
  <c r="T45" i="18" s="1"/>
  <c r="R45" i="18" s="1"/>
  <c r="P45" i="18" s="1"/>
  <c r="N45" i="18" s="1"/>
  <c r="L45" i="18" s="1"/>
  <c r="J45" i="18" s="1"/>
  <c r="H45" i="18" s="1"/>
  <c r="F45" i="18" s="1"/>
  <c r="AV45" i="18" s="1" a="1"/>
  <c r="AV45" i="18" s="1"/>
  <c r="AU45" i="18" s="1"/>
  <c r="AO45" i="18" s="1"/>
  <c r="V33" i="18"/>
  <c r="T33" i="18" s="1"/>
  <c r="R33" i="18" s="1"/>
  <c r="P33" i="18" s="1"/>
  <c r="N33" i="18" s="1"/>
  <c r="L33" i="18" s="1"/>
  <c r="J33" i="18" s="1"/>
  <c r="H33" i="18" s="1"/>
  <c r="F33" i="18" s="1"/>
  <c r="AV33" i="18" s="1" a="1"/>
  <c r="AV33" i="18" s="1"/>
  <c r="Z33" i="18"/>
  <c r="Z31" i="18"/>
  <c r="V31" i="18"/>
  <c r="T31" i="18" s="1"/>
  <c r="R31" i="18" s="1"/>
  <c r="P31" i="18" s="1"/>
  <c r="N31" i="18" s="1"/>
  <c r="L31" i="18" s="1"/>
  <c r="J31" i="18" s="1"/>
  <c r="H31" i="18" s="1"/>
  <c r="F31" i="18" s="1"/>
  <c r="AV31" i="18" s="1" a="1"/>
  <c r="AV31" i="18" s="1"/>
  <c r="Z30" i="18"/>
  <c r="V30" i="18"/>
  <c r="T30" i="18" s="1"/>
  <c r="R30" i="18" s="1"/>
  <c r="P30" i="18" s="1"/>
  <c r="N30" i="18" s="1"/>
  <c r="L30" i="18" s="1"/>
  <c r="J30" i="18" s="1"/>
  <c r="H30" i="18" s="1"/>
  <c r="F30" i="18" s="1"/>
  <c r="AV30" i="18" s="1" a="1"/>
  <c r="AV30" i="18" s="1"/>
  <c r="Z28" i="18"/>
  <c r="V28" i="18"/>
  <c r="T28" i="18" s="1"/>
  <c r="R28" i="18" s="1"/>
  <c r="P28" i="18" s="1"/>
  <c r="N28" i="18" s="1"/>
  <c r="L28" i="18" s="1"/>
  <c r="J28" i="18" s="1"/>
  <c r="H28" i="18" s="1"/>
  <c r="F28" i="18" s="1"/>
  <c r="AV28" i="18" s="1" a="1"/>
  <c r="AV28" i="18" s="1"/>
  <c r="V27" i="18"/>
  <c r="T27" i="18" s="1"/>
  <c r="R27" i="18" s="1"/>
  <c r="P27" i="18" s="1"/>
  <c r="N27" i="18" s="1"/>
  <c r="L27" i="18" s="1"/>
  <c r="J27" i="18" s="1"/>
  <c r="H27" i="18" s="1"/>
  <c r="F27" i="18" s="1"/>
  <c r="AV27" i="18" s="1" a="1"/>
  <c r="AV27" i="18" s="1"/>
  <c r="Z27" i="18"/>
  <c r="V22" i="18"/>
  <c r="T22" i="18" s="1"/>
  <c r="R22" i="18" s="1"/>
  <c r="P22" i="18" s="1"/>
  <c r="N22" i="18" s="1"/>
  <c r="L22" i="18" s="1"/>
  <c r="J22" i="18" s="1"/>
  <c r="H22" i="18" s="1"/>
  <c r="F22" i="18" s="1"/>
  <c r="AV22" i="18" s="1" a="1"/>
  <c r="AV22" i="18" s="1"/>
  <c r="Z22" i="18"/>
  <c r="V20" i="18"/>
  <c r="T20" i="18" s="1"/>
  <c r="R20" i="18" s="1"/>
  <c r="P20" i="18" s="1"/>
  <c r="N20" i="18" s="1"/>
  <c r="L20" i="18" s="1"/>
  <c r="J20" i="18" s="1"/>
  <c r="H20" i="18" s="1"/>
  <c r="F20" i="18" s="1"/>
  <c r="AV20" i="18" s="1" a="1"/>
  <c r="AV20" i="18" s="1"/>
  <c r="Z20" i="18"/>
  <c r="Z18" i="18"/>
  <c r="V18" i="18"/>
  <c r="T18" i="18" s="1"/>
  <c r="R18" i="18" s="1"/>
  <c r="P18" i="18" s="1"/>
  <c r="N18" i="18" s="1"/>
  <c r="L18" i="18" s="1"/>
  <c r="J18" i="18" s="1"/>
  <c r="H18" i="18" s="1"/>
  <c r="F18" i="18" s="1"/>
  <c r="AV18" i="18" s="1" a="1"/>
  <c r="AV18" i="18" s="1"/>
  <c r="AU18" i="18" s="1"/>
  <c r="AO18" i="18" s="1"/>
  <c r="V17" i="18"/>
  <c r="T17" i="18" s="1"/>
  <c r="R17" i="18" s="1"/>
  <c r="P17" i="18" s="1"/>
  <c r="N17" i="18" s="1"/>
  <c r="L17" i="18" s="1"/>
  <c r="J17" i="18" s="1"/>
  <c r="H17" i="18" s="1"/>
  <c r="F17" i="18" s="1"/>
  <c r="AV17" i="18" s="1" a="1"/>
  <c r="AV17" i="18" s="1"/>
  <c r="AU17" i="18" s="1"/>
  <c r="AO17" i="18" s="1"/>
  <c r="Z17" i="18"/>
  <c r="Z55" i="18"/>
  <c r="X53" i="18"/>
  <c r="AR53" i="18"/>
  <c r="V52" i="18"/>
  <c r="T52" i="18" s="1"/>
  <c r="R52" i="18" s="1"/>
  <c r="P52" i="18" s="1"/>
  <c r="N52" i="18" s="1"/>
  <c r="L52" i="18" s="1"/>
  <c r="J52" i="18" s="1"/>
  <c r="H52" i="18" s="1"/>
  <c r="F52" i="18" s="1"/>
  <c r="AV52" i="18" s="1" a="1"/>
  <c r="AV52" i="18" s="1"/>
  <c r="Z52" i="18"/>
  <c r="V51" i="18"/>
  <c r="T51" i="18" s="1"/>
  <c r="R51" i="18" s="1"/>
  <c r="P51" i="18" s="1"/>
  <c r="N51" i="18" s="1"/>
  <c r="L51" i="18" s="1"/>
  <c r="J51" i="18" s="1"/>
  <c r="H51" i="18" s="1"/>
  <c r="F51" i="18" s="1"/>
  <c r="AV51" i="18" s="1" a="1"/>
  <c r="AV51" i="18" s="1"/>
  <c r="Z51" i="18"/>
  <c r="AR48" i="18"/>
  <c r="V48" i="18"/>
  <c r="T48" i="18" s="1"/>
  <c r="R48" i="18" s="1"/>
  <c r="P48" i="18" s="1"/>
  <c r="N48" i="18" s="1"/>
  <c r="L48" i="18" s="1"/>
  <c r="J48" i="18" s="1"/>
  <c r="H48" i="18" s="1"/>
  <c r="F48" i="18" s="1"/>
  <c r="AV48" i="18" s="1" a="1"/>
  <c r="AV48" i="18" s="1"/>
  <c r="Z48" i="18"/>
  <c r="V47" i="18"/>
  <c r="T47" i="18" s="1"/>
  <c r="R47" i="18" s="1"/>
  <c r="P47" i="18" s="1"/>
  <c r="N47" i="18" s="1"/>
  <c r="L47" i="18" s="1"/>
  <c r="J47" i="18" s="1"/>
  <c r="H47" i="18" s="1"/>
  <c r="F47" i="18" s="1"/>
  <c r="AV47" i="18" s="1" a="1"/>
  <c r="AV47" i="18" s="1"/>
  <c r="Z47" i="18"/>
  <c r="AR46" i="18"/>
  <c r="AR45" i="18"/>
  <c r="AR44" i="18"/>
  <c r="V44" i="18"/>
  <c r="T44" i="18" s="1"/>
  <c r="R44" i="18" s="1"/>
  <c r="P44" i="18" s="1"/>
  <c r="N44" i="18" s="1"/>
  <c r="L44" i="18" s="1"/>
  <c r="J44" i="18" s="1"/>
  <c r="H44" i="18" s="1"/>
  <c r="F44" i="18" s="1"/>
  <c r="AV44" i="18" s="1" a="1"/>
  <c r="AV44" i="18" s="1"/>
  <c r="Z44" i="18"/>
  <c r="V42" i="18"/>
  <c r="T42" i="18" s="1"/>
  <c r="R42" i="18" s="1"/>
  <c r="P42" i="18" s="1"/>
  <c r="N42" i="18" s="1"/>
  <c r="L42" i="18" s="1"/>
  <c r="J42" i="18" s="1"/>
  <c r="H42" i="18" s="1"/>
  <c r="F42" i="18" s="1"/>
  <c r="AV42" i="18" s="1" a="1"/>
  <c r="AV42" i="18" s="1"/>
  <c r="Z42" i="18"/>
  <c r="AR41" i="18"/>
  <c r="X41" i="18"/>
  <c r="AR39" i="18"/>
  <c r="Z39" i="18"/>
  <c r="V39" i="18"/>
  <c r="T39" i="18" s="1"/>
  <c r="R39" i="18" s="1"/>
  <c r="P39" i="18" s="1"/>
  <c r="N39" i="18" s="1"/>
  <c r="L39" i="18" s="1"/>
  <c r="J39" i="18" s="1"/>
  <c r="H39" i="18" s="1"/>
  <c r="F39" i="18" s="1"/>
  <c r="AV39" i="18" s="1" a="1"/>
  <c r="AV39" i="18" s="1"/>
  <c r="AR38" i="18"/>
  <c r="Z38" i="18"/>
  <c r="V38" i="18"/>
  <c r="T38" i="18" s="1"/>
  <c r="R38" i="18" s="1"/>
  <c r="P38" i="18" s="1"/>
  <c r="N38" i="18" s="1"/>
  <c r="L38" i="18" s="1"/>
  <c r="J38" i="18" s="1"/>
  <c r="H38" i="18" s="1"/>
  <c r="F38" i="18" s="1"/>
  <c r="AV38" i="18" s="1" a="1"/>
  <c r="AV38" i="18" s="1"/>
  <c r="AR37" i="18"/>
  <c r="V37" i="18"/>
  <c r="T37" i="18" s="1"/>
  <c r="R37" i="18" s="1"/>
  <c r="P37" i="18" s="1"/>
  <c r="N37" i="18" s="1"/>
  <c r="L37" i="18" s="1"/>
  <c r="J37" i="18" s="1"/>
  <c r="H37" i="18" s="1"/>
  <c r="F37" i="18" s="1"/>
  <c r="AV37" i="18" s="1" a="1"/>
  <c r="AV37" i="18" s="1"/>
  <c r="Z37" i="18"/>
  <c r="AR36" i="18"/>
  <c r="V36" i="18"/>
  <c r="T36" i="18" s="1"/>
  <c r="R36" i="18" s="1"/>
  <c r="P36" i="18" s="1"/>
  <c r="N36" i="18" s="1"/>
  <c r="L36" i="18" s="1"/>
  <c r="J36" i="18" s="1"/>
  <c r="H36" i="18" s="1"/>
  <c r="F36" i="18" s="1"/>
  <c r="AV36" i="18" s="1" a="1"/>
  <c r="AV36" i="18" s="1"/>
  <c r="Z36" i="18"/>
  <c r="AR35" i="18"/>
  <c r="Z35" i="18"/>
  <c r="V35" i="18"/>
  <c r="T35" i="18" s="1"/>
  <c r="R35" i="18" s="1"/>
  <c r="P35" i="18" s="1"/>
  <c r="N35" i="18" s="1"/>
  <c r="L35" i="18" s="1"/>
  <c r="J35" i="18" s="1"/>
  <c r="H35" i="18" s="1"/>
  <c r="F35" i="18" s="1"/>
  <c r="AV35" i="18" s="1" a="1"/>
  <c r="AV35" i="18" s="1"/>
  <c r="AR33" i="18"/>
  <c r="AR31" i="18"/>
  <c r="AR30" i="18"/>
  <c r="AR29" i="18"/>
  <c r="AR28" i="18"/>
  <c r="AR27" i="18"/>
  <c r="AR25" i="18"/>
  <c r="Z25" i="18"/>
  <c r="V25" i="18"/>
  <c r="T25" i="18" s="1"/>
  <c r="R25" i="18" s="1"/>
  <c r="P25" i="18" s="1"/>
  <c r="N25" i="18" s="1"/>
  <c r="L25" i="18" s="1"/>
  <c r="J25" i="18" s="1"/>
  <c r="H25" i="18" s="1"/>
  <c r="F25" i="18" s="1"/>
  <c r="AV25" i="18" s="1" a="1"/>
  <c r="AV25" i="18" s="1"/>
  <c r="AR24" i="18"/>
  <c r="Z24" i="18"/>
  <c r="V24" i="18"/>
  <c r="T24" i="18" s="1"/>
  <c r="R24" i="18" s="1"/>
  <c r="P24" i="18" s="1"/>
  <c r="N24" i="18" s="1"/>
  <c r="L24" i="18" s="1"/>
  <c r="J24" i="18" s="1"/>
  <c r="H24" i="18" s="1"/>
  <c r="F24" i="18" s="1"/>
  <c r="AV24" i="18" s="1" a="1"/>
  <c r="AV24" i="18" s="1"/>
  <c r="AR23" i="18"/>
  <c r="V23" i="18"/>
  <c r="T23" i="18" s="1"/>
  <c r="R23" i="18" s="1"/>
  <c r="P23" i="18" s="1"/>
  <c r="N23" i="18" s="1"/>
  <c r="L23" i="18" s="1"/>
  <c r="J23" i="18" s="1"/>
  <c r="H23" i="18" s="1"/>
  <c r="F23" i="18" s="1"/>
  <c r="AV23" i="18" s="1" a="1"/>
  <c r="AV23" i="18" s="1"/>
  <c r="Z23" i="18"/>
  <c r="AR22" i="18"/>
  <c r="AB22" i="18" s="1"/>
  <c r="AU22" i="18"/>
  <c r="AO22" i="18" s="1"/>
  <c r="AR20" i="18"/>
  <c r="AB20" i="18"/>
  <c r="AU20" i="18"/>
  <c r="AO20" i="18" s="1"/>
  <c r="AR18" i="18"/>
  <c r="AB18" i="18"/>
  <c r="AR17" i="18"/>
  <c r="AR13" i="18"/>
  <c r="Z13" i="18"/>
  <c r="V13" i="18"/>
  <c r="T13" i="18" s="1"/>
  <c r="R13" i="18" s="1"/>
  <c r="P13" i="18" s="1"/>
  <c r="N13" i="18" s="1"/>
  <c r="L13" i="18" s="1"/>
  <c r="J13" i="18" s="1"/>
  <c r="H13" i="18" s="1"/>
  <c r="F13" i="18" s="1"/>
  <c r="AV13" i="18" s="1" a="1"/>
  <c r="AV13" i="18" s="1"/>
  <c r="AR12" i="18"/>
  <c r="AB12" i="18"/>
  <c r="AU12" i="18"/>
  <c r="AO12" i="18" s="1"/>
  <c r="AR11" i="18"/>
  <c r="Z11" i="18"/>
  <c r="V11" i="18"/>
  <c r="T11" i="18" s="1"/>
  <c r="R11" i="18" s="1"/>
  <c r="P11" i="18" s="1"/>
  <c r="N11" i="18" s="1"/>
  <c r="L11" i="18" s="1"/>
  <c r="J11" i="18" s="1"/>
  <c r="H11" i="18" s="1"/>
  <c r="F11" i="18" s="1"/>
  <c r="AV11" i="18" s="1" a="1"/>
  <c r="AV11" i="18" s="1"/>
  <c r="Y2" i="18"/>
  <c r="X5" i="18"/>
  <c r="Y5" i="18" s="1"/>
  <c r="X4" i="18"/>
  <c r="Y4" i="18" s="1"/>
  <c r="V35" i="6"/>
  <c r="T35" i="6" s="1"/>
  <c r="R35" i="6" s="1"/>
  <c r="P35" i="6" s="1"/>
  <c r="N35" i="6" s="1"/>
  <c r="L35" i="6" s="1"/>
  <c r="J35" i="6" s="1"/>
  <c r="H35" i="6" s="1"/>
  <c r="F35" i="6" s="1"/>
  <c r="Z35" i="6"/>
  <c r="AR34" i="6"/>
  <c r="X33" i="6"/>
  <c r="Z32" i="6"/>
  <c r="V32" i="6"/>
  <c r="T32" i="6" s="1"/>
  <c r="R32" i="6" s="1"/>
  <c r="P32" i="6" s="1"/>
  <c r="N32" i="6" s="1"/>
  <c r="L32" i="6" s="1"/>
  <c r="J32" i="6" s="1"/>
  <c r="H32" i="6" s="1"/>
  <c r="F32" i="6" s="1"/>
  <c r="AV32" i="6" s="1" a="1"/>
  <c r="AV32" i="6" s="1"/>
  <c r="AR29" i="6"/>
  <c r="Z29" i="6"/>
  <c r="V29" i="6"/>
  <c r="T29" i="6" s="1"/>
  <c r="R29" i="6" s="1"/>
  <c r="P29" i="6" s="1"/>
  <c r="N29" i="6" s="1"/>
  <c r="L29" i="6" s="1"/>
  <c r="J29" i="6" s="1"/>
  <c r="H29" i="6" s="1"/>
  <c r="F29" i="6" s="1"/>
  <c r="Z25" i="6"/>
  <c r="V25" i="6"/>
  <c r="T25" i="6" s="1"/>
  <c r="R25" i="6" s="1"/>
  <c r="P25" i="6" s="1"/>
  <c r="N25" i="6" s="1"/>
  <c r="L25" i="6" s="1"/>
  <c r="J25" i="6" s="1"/>
  <c r="H25" i="6" s="1"/>
  <c r="F25" i="6" s="1"/>
  <c r="AV25" i="6" s="1" a="1"/>
  <c r="AV25" i="6" s="1"/>
  <c r="Z23" i="6"/>
  <c r="V23" i="6"/>
  <c r="T23" i="6" s="1"/>
  <c r="R23" i="6" s="1"/>
  <c r="P23" i="6" s="1"/>
  <c r="N23" i="6" s="1"/>
  <c r="L23" i="6" s="1"/>
  <c r="J23" i="6" s="1"/>
  <c r="H23" i="6" s="1"/>
  <c r="F23" i="6" s="1"/>
  <c r="AV23" i="6" s="1" a="1"/>
  <c r="AV23" i="6" s="1"/>
  <c r="V22" i="6"/>
  <c r="T22" i="6" s="1"/>
  <c r="R22" i="6" s="1"/>
  <c r="P22" i="6" s="1"/>
  <c r="N22" i="6" s="1"/>
  <c r="L22" i="6" s="1"/>
  <c r="J22" i="6" s="1"/>
  <c r="H22" i="6" s="1"/>
  <c r="F22" i="6" s="1"/>
  <c r="AV22" i="6" s="1" a="1"/>
  <c r="AV22" i="6" s="1"/>
  <c r="Z22" i="6"/>
  <c r="V18" i="6"/>
  <c r="T18" i="6" s="1"/>
  <c r="R18" i="6" s="1"/>
  <c r="P18" i="6" s="1"/>
  <c r="N18" i="6" s="1"/>
  <c r="L18" i="6" s="1"/>
  <c r="J18" i="6" s="1"/>
  <c r="H18" i="6" s="1"/>
  <c r="F18" i="6" s="1"/>
  <c r="AV18" i="6" s="1" a="1"/>
  <c r="AV18" i="6" s="1"/>
  <c r="Z18" i="6"/>
  <c r="AU16" i="6"/>
  <c r="AO16" i="6" s="1"/>
  <c r="AU14" i="6"/>
  <c r="AO14" i="6" s="1"/>
  <c r="V12" i="6"/>
  <c r="T12" i="6" s="1"/>
  <c r="R12" i="6" s="1"/>
  <c r="P12" i="6" s="1"/>
  <c r="N12" i="6" s="1"/>
  <c r="L12" i="6" s="1"/>
  <c r="J12" i="6" s="1"/>
  <c r="H12" i="6" s="1"/>
  <c r="F12" i="6" s="1"/>
  <c r="AV12" i="6" s="1" a="1"/>
  <c r="AV12" i="6" s="1"/>
  <c r="Z12" i="6"/>
  <c r="V11" i="6"/>
  <c r="T11" i="6" s="1"/>
  <c r="R11" i="6" s="1"/>
  <c r="P11" i="6" s="1"/>
  <c r="N11" i="6" s="1"/>
  <c r="L11" i="6" s="1"/>
  <c r="J11" i="6" s="1"/>
  <c r="H11" i="6" s="1"/>
  <c r="F11" i="6" s="1"/>
  <c r="Z11" i="6"/>
  <c r="Z37" i="12"/>
  <c r="V37" i="12"/>
  <c r="T37" i="12" s="1"/>
  <c r="R37" i="12" s="1"/>
  <c r="P37" i="12" s="1"/>
  <c r="N37" i="12" s="1"/>
  <c r="L37" i="12" s="1"/>
  <c r="J37" i="12" s="1"/>
  <c r="H37" i="12" s="1"/>
  <c r="F37" i="12" s="1"/>
  <c r="Z36" i="12"/>
  <c r="V36" i="12"/>
  <c r="T36" i="12" s="1"/>
  <c r="R36" i="12" s="1"/>
  <c r="P36" i="12" s="1"/>
  <c r="N36" i="12" s="1"/>
  <c r="L36" i="12" s="1"/>
  <c r="J36" i="12" s="1"/>
  <c r="H36" i="12" s="1"/>
  <c r="F36" i="12" s="1"/>
  <c r="V35" i="12"/>
  <c r="T35" i="12" s="1"/>
  <c r="R35" i="12" s="1"/>
  <c r="P35" i="12" s="1"/>
  <c r="N35" i="12" s="1"/>
  <c r="L35" i="12" s="1"/>
  <c r="J35" i="12" s="1"/>
  <c r="H35" i="12" s="1"/>
  <c r="F35" i="12" s="1"/>
  <c r="Z35" i="12"/>
  <c r="Z34" i="12"/>
  <c r="V34" i="12"/>
  <c r="T34" i="12" s="1"/>
  <c r="R34" i="12" s="1"/>
  <c r="P34" i="12" s="1"/>
  <c r="N34" i="12" s="1"/>
  <c r="L34" i="12" s="1"/>
  <c r="J34" i="12" s="1"/>
  <c r="H34" i="12" s="1"/>
  <c r="F34" i="12" s="1"/>
  <c r="V33" i="12"/>
  <c r="T33" i="12" s="1"/>
  <c r="R33" i="12" s="1"/>
  <c r="P33" i="12" s="1"/>
  <c r="N33" i="12" s="1"/>
  <c r="L33" i="12" s="1"/>
  <c r="J33" i="12" s="1"/>
  <c r="H33" i="12" s="1"/>
  <c r="F33" i="12" s="1"/>
  <c r="Z33" i="12"/>
  <c r="AR31" i="12"/>
  <c r="AR29" i="12"/>
  <c r="AR28" i="12"/>
  <c r="Z28" i="12"/>
  <c r="V28" i="12"/>
  <c r="T28" i="12" s="1"/>
  <c r="R28" i="12" s="1"/>
  <c r="P28" i="12" s="1"/>
  <c r="N28" i="12" s="1"/>
  <c r="L28" i="12" s="1"/>
  <c r="J28" i="12" s="1"/>
  <c r="H28" i="12" s="1"/>
  <c r="F28" i="12" s="1"/>
  <c r="AR26" i="12"/>
  <c r="AR25" i="12"/>
  <c r="V25" i="12"/>
  <c r="T25" i="12" s="1"/>
  <c r="R25" i="12" s="1"/>
  <c r="P25" i="12" s="1"/>
  <c r="N25" i="12" s="1"/>
  <c r="L25" i="12" s="1"/>
  <c r="J25" i="12" s="1"/>
  <c r="H25" i="12" s="1"/>
  <c r="F25" i="12" s="1"/>
  <c r="Z25" i="12"/>
  <c r="V23" i="12"/>
  <c r="T23" i="12" s="1"/>
  <c r="R23" i="12" s="1"/>
  <c r="P23" i="12" s="1"/>
  <c r="N23" i="12" s="1"/>
  <c r="L23" i="12" s="1"/>
  <c r="J23" i="12" s="1"/>
  <c r="H23" i="12" s="1"/>
  <c r="F23" i="12" s="1"/>
  <c r="Z23" i="12"/>
  <c r="AU22" i="12"/>
  <c r="AO22" i="12" s="1"/>
  <c r="X20" i="12"/>
  <c r="V18" i="12"/>
  <c r="T18" i="12" s="1"/>
  <c r="R18" i="12" s="1"/>
  <c r="P18" i="12" s="1"/>
  <c r="N18" i="12" s="1"/>
  <c r="L18" i="12" s="1"/>
  <c r="J18" i="12" s="1"/>
  <c r="H18" i="12" s="1"/>
  <c r="F18" i="12" s="1"/>
  <c r="Z18" i="12"/>
  <c r="Z17" i="12"/>
  <c r="V17" i="12"/>
  <c r="T17" i="12" s="1"/>
  <c r="R17" i="12" s="1"/>
  <c r="P17" i="12" s="1"/>
  <c r="N17" i="12" s="1"/>
  <c r="L17" i="12" s="1"/>
  <c r="J17" i="12" s="1"/>
  <c r="H17" i="12" s="1"/>
  <c r="F17" i="12" s="1"/>
  <c r="X13" i="12"/>
  <c r="V12" i="12"/>
  <c r="T12" i="12" s="1"/>
  <c r="R12" i="12" s="1"/>
  <c r="P12" i="12" s="1"/>
  <c r="N12" i="12" s="1"/>
  <c r="L12" i="12" s="1"/>
  <c r="J12" i="12" s="1"/>
  <c r="H12" i="12" s="1"/>
  <c r="F12" i="12" s="1"/>
  <c r="Z12" i="12"/>
  <c r="V11" i="12"/>
  <c r="T11" i="12" s="1"/>
  <c r="R11" i="12" s="1"/>
  <c r="P11" i="12" s="1"/>
  <c r="N11" i="12" s="1"/>
  <c r="L11" i="12" s="1"/>
  <c r="J11" i="12" s="1"/>
  <c r="H11" i="12" s="1"/>
  <c r="F11" i="12" s="1"/>
  <c r="Z11" i="12"/>
  <c r="AR18" i="8"/>
  <c r="V16" i="8"/>
  <c r="T16" i="8" s="1"/>
  <c r="R16" i="8" s="1"/>
  <c r="P16" i="8" s="1"/>
  <c r="N16" i="8" s="1"/>
  <c r="L16" i="8" s="1"/>
  <c r="J16" i="8" s="1"/>
  <c r="H16" i="8" s="1"/>
  <c r="F16" i="8" s="1"/>
  <c r="Z16" i="8"/>
  <c r="V12" i="8"/>
  <c r="T12" i="8" s="1"/>
  <c r="R12" i="8" s="1"/>
  <c r="P12" i="8" s="1"/>
  <c r="N12" i="8" s="1"/>
  <c r="L12" i="8" s="1"/>
  <c r="J12" i="8" s="1"/>
  <c r="H12" i="8" s="1"/>
  <c r="F12" i="8" s="1"/>
  <c r="AV12" i="8" s="1" a="1"/>
  <c r="AV12" i="8" s="1"/>
  <c r="Z12" i="8"/>
  <c r="V11" i="8"/>
  <c r="T11" i="8" s="1"/>
  <c r="R11" i="8" s="1"/>
  <c r="P11" i="8" s="1"/>
  <c r="N11" i="8" s="1"/>
  <c r="L11" i="8" s="1"/>
  <c r="J11" i="8" s="1"/>
  <c r="H11" i="8" s="1"/>
  <c r="F11" i="8" s="1"/>
  <c r="AV11" i="8" s="1" a="1"/>
  <c r="AV11" i="8" s="1"/>
  <c r="Z11" i="8"/>
  <c r="AR40" i="11"/>
  <c r="AR39" i="11"/>
  <c r="Z36" i="11"/>
  <c r="V36" i="11"/>
  <c r="T36" i="11" s="1"/>
  <c r="R36" i="11" s="1"/>
  <c r="P36" i="11" s="1"/>
  <c r="N36" i="11" s="1"/>
  <c r="L36" i="11" s="1"/>
  <c r="J36" i="11" s="1"/>
  <c r="H36" i="11" s="1"/>
  <c r="F36" i="11" s="1"/>
  <c r="AR35" i="11"/>
  <c r="X29" i="11"/>
  <c r="AR29" i="11"/>
  <c r="AR28" i="11"/>
  <c r="Z28" i="11"/>
  <c r="V28" i="11"/>
  <c r="T28" i="11" s="1"/>
  <c r="R28" i="11" s="1"/>
  <c r="P28" i="11" s="1"/>
  <c r="N28" i="11" s="1"/>
  <c r="L28" i="11" s="1"/>
  <c r="J28" i="11" s="1"/>
  <c r="H28" i="11" s="1"/>
  <c r="F28" i="11" s="1"/>
  <c r="V26" i="11"/>
  <c r="T26" i="11" s="1"/>
  <c r="R26" i="11" s="1"/>
  <c r="P26" i="11" s="1"/>
  <c r="N26" i="11" s="1"/>
  <c r="L26" i="11" s="1"/>
  <c r="J26" i="11" s="1"/>
  <c r="H26" i="11" s="1"/>
  <c r="F26" i="11" s="1"/>
  <c r="Z26" i="11"/>
  <c r="V25" i="11"/>
  <c r="T25" i="11" s="1"/>
  <c r="R25" i="11" s="1"/>
  <c r="P25" i="11" s="1"/>
  <c r="N25" i="11" s="1"/>
  <c r="L25" i="11" s="1"/>
  <c r="J25" i="11" s="1"/>
  <c r="H25" i="11" s="1"/>
  <c r="F25" i="11" s="1"/>
  <c r="Z25" i="11"/>
  <c r="AR23" i="11"/>
  <c r="V23" i="11"/>
  <c r="T23" i="11" s="1"/>
  <c r="R23" i="11" s="1"/>
  <c r="P23" i="11" s="1"/>
  <c r="N23" i="11" s="1"/>
  <c r="L23" i="11" s="1"/>
  <c r="J23" i="11" s="1"/>
  <c r="H23" i="11" s="1"/>
  <c r="F23" i="11" s="1"/>
  <c r="Z23" i="11"/>
  <c r="Z22" i="11"/>
  <c r="V22" i="11"/>
  <c r="T22" i="11" s="1"/>
  <c r="R22" i="11" s="1"/>
  <c r="P22" i="11" s="1"/>
  <c r="N22" i="11" s="1"/>
  <c r="L22" i="11" s="1"/>
  <c r="J22" i="11" s="1"/>
  <c r="H22" i="11" s="1"/>
  <c r="F22" i="11" s="1"/>
  <c r="V21" i="11"/>
  <c r="T21" i="11" s="1"/>
  <c r="R21" i="11" s="1"/>
  <c r="P21" i="11" s="1"/>
  <c r="N21" i="11" s="1"/>
  <c r="L21" i="11" s="1"/>
  <c r="J21" i="11" s="1"/>
  <c r="H21" i="11" s="1"/>
  <c r="F21" i="11" s="1"/>
  <c r="Z21" i="11"/>
  <c r="V18" i="11"/>
  <c r="T18" i="11" s="1"/>
  <c r="R18" i="11" s="1"/>
  <c r="P18" i="11" s="1"/>
  <c r="N18" i="11" s="1"/>
  <c r="L18" i="11" s="1"/>
  <c r="J18" i="11" s="1"/>
  <c r="H18" i="11" s="1"/>
  <c r="F18" i="11" s="1"/>
  <c r="Z18" i="11"/>
  <c r="Z17" i="11"/>
  <c r="V17" i="11"/>
  <c r="T17" i="11" s="1"/>
  <c r="R17" i="11" s="1"/>
  <c r="P17" i="11" s="1"/>
  <c r="N17" i="11" s="1"/>
  <c r="L17" i="11" s="1"/>
  <c r="J17" i="11" s="1"/>
  <c r="H17" i="11" s="1"/>
  <c r="F17" i="11" s="1"/>
  <c r="V16" i="11"/>
  <c r="T16" i="11" s="1"/>
  <c r="R16" i="11" s="1"/>
  <c r="P16" i="11" s="1"/>
  <c r="N16" i="11" s="1"/>
  <c r="L16" i="11" s="1"/>
  <c r="J16" i="11" s="1"/>
  <c r="H16" i="11" s="1"/>
  <c r="F16" i="11" s="1"/>
  <c r="Z16" i="11"/>
  <c r="V14" i="11"/>
  <c r="T14" i="11" s="1"/>
  <c r="R14" i="11" s="1"/>
  <c r="P14" i="11" s="1"/>
  <c r="N14" i="11" s="1"/>
  <c r="L14" i="11" s="1"/>
  <c r="J14" i="11" s="1"/>
  <c r="H14" i="11" s="1"/>
  <c r="F14" i="11" s="1"/>
  <c r="AV14" i="11" s="1" a="1"/>
  <c r="AV14" i="11" s="1"/>
  <c r="Z14" i="11"/>
  <c r="Z12" i="11"/>
  <c r="V12" i="11"/>
  <c r="T12" i="11" s="1"/>
  <c r="R12" i="11" s="1"/>
  <c r="P12" i="11" s="1"/>
  <c r="N12" i="11" s="1"/>
  <c r="L12" i="11" s="1"/>
  <c r="J12" i="11" s="1"/>
  <c r="H12" i="11" s="1"/>
  <c r="F12" i="11" s="1"/>
  <c r="V11" i="11"/>
  <c r="T11" i="11" s="1"/>
  <c r="R11" i="11" s="1"/>
  <c r="P11" i="11" s="1"/>
  <c r="N11" i="11" s="1"/>
  <c r="L11" i="11" s="1"/>
  <c r="J11" i="11" s="1"/>
  <c r="H11" i="11" s="1"/>
  <c r="F11" i="11" s="1"/>
  <c r="Z11" i="11"/>
  <c r="AR36" i="10"/>
  <c r="AU28" i="10"/>
  <c r="AO28" i="10" s="1"/>
  <c r="V26" i="10"/>
  <c r="T26" i="10" s="1"/>
  <c r="R26" i="10" s="1"/>
  <c r="P26" i="10" s="1"/>
  <c r="N26" i="10" s="1"/>
  <c r="L26" i="10" s="1"/>
  <c r="J26" i="10" s="1"/>
  <c r="H26" i="10" s="1"/>
  <c r="F26" i="10" s="1"/>
  <c r="AU26" i="10" s="1"/>
  <c r="AO26" i="10" s="1"/>
  <c r="Z26" i="10"/>
  <c r="AU25" i="10"/>
  <c r="AO25" i="10" s="1"/>
  <c r="Z23" i="10"/>
  <c r="V23" i="10"/>
  <c r="T23" i="10" s="1"/>
  <c r="R23" i="10" s="1"/>
  <c r="P23" i="10" s="1"/>
  <c r="N23" i="10" s="1"/>
  <c r="L23" i="10" s="1"/>
  <c r="J23" i="10" s="1"/>
  <c r="H23" i="10" s="1"/>
  <c r="F23" i="10" s="1"/>
  <c r="AU23" i="10" s="1"/>
  <c r="AO23" i="10" s="1"/>
  <c r="V22" i="10"/>
  <c r="T22" i="10" s="1"/>
  <c r="R22" i="10" s="1"/>
  <c r="P22" i="10" s="1"/>
  <c r="N22" i="10" s="1"/>
  <c r="L22" i="10" s="1"/>
  <c r="J22" i="10" s="1"/>
  <c r="H22" i="10" s="1"/>
  <c r="F22" i="10" s="1"/>
  <c r="AU22" i="10" s="1"/>
  <c r="AO22" i="10" s="1"/>
  <c r="Z22" i="10"/>
  <c r="AU18" i="10"/>
  <c r="AO18" i="10" s="1"/>
  <c r="AR17" i="10"/>
  <c r="V17" i="10"/>
  <c r="T17" i="10" s="1"/>
  <c r="R17" i="10" s="1"/>
  <c r="P17" i="10" s="1"/>
  <c r="N17" i="10" s="1"/>
  <c r="L17" i="10" s="1"/>
  <c r="J17" i="10" s="1"/>
  <c r="H17" i="10" s="1"/>
  <c r="F17" i="10" s="1"/>
  <c r="Z17" i="10"/>
  <c r="AR16" i="10"/>
  <c r="Z16" i="10"/>
  <c r="V16" i="10"/>
  <c r="T16" i="10" s="1"/>
  <c r="R16" i="10" s="1"/>
  <c r="P16" i="10" s="1"/>
  <c r="N16" i="10" s="1"/>
  <c r="L16" i="10" s="1"/>
  <c r="J16" i="10" s="1"/>
  <c r="H16" i="10" s="1"/>
  <c r="F16" i="10" s="1"/>
  <c r="AU12" i="10"/>
  <c r="AO12" i="10" s="1"/>
  <c r="V11" i="10"/>
  <c r="T11" i="10" s="1"/>
  <c r="R11" i="10" s="1"/>
  <c r="P11" i="10" s="1"/>
  <c r="N11" i="10" s="1"/>
  <c r="L11" i="10" s="1"/>
  <c r="J11" i="10" s="1"/>
  <c r="H11" i="10" s="1"/>
  <c r="F11" i="10" s="1"/>
  <c r="Z11" i="10"/>
  <c r="AR57" i="9"/>
  <c r="Z57" i="9"/>
  <c r="V57" i="9"/>
  <c r="T57" i="9" s="1"/>
  <c r="R57" i="9" s="1"/>
  <c r="P57" i="9" s="1"/>
  <c r="N57" i="9" s="1"/>
  <c r="L57" i="9" s="1"/>
  <c r="J57" i="9" s="1"/>
  <c r="H57" i="9" s="1"/>
  <c r="F57" i="9" s="1"/>
  <c r="AR56" i="9"/>
  <c r="AR55" i="9"/>
  <c r="Z55" i="9"/>
  <c r="V55" i="9"/>
  <c r="T55" i="9" s="1"/>
  <c r="R55" i="9" s="1"/>
  <c r="P55" i="9" s="1"/>
  <c r="N55" i="9" s="1"/>
  <c r="L55" i="9" s="1"/>
  <c r="J55" i="9" s="1"/>
  <c r="H55" i="9" s="1"/>
  <c r="F55" i="9" s="1"/>
  <c r="AB55" i="9" s="1"/>
  <c r="AR54" i="9"/>
  <c r="AR53" i="9"/>
  <c r="AR52" i="9"/>
  <c r="V51" i="9"/>
  <c r="T51" i="9" s="1"/>
  <c r="R51" i="9" s="1"/>
  <c r="P51" i="9" s="1"/>
  <c r="N51" i="9" s="1"/>
  <c r="L51" i="9" s="1"/>
  <c r="J51" i="9" s="1"/>
  <c r="H51" i="9" s="1"/>
  <c r="F51" i="9" s="1"/>
  <c r="Z51" i="9"/>
  <c r="AR39" i="9"/>
  <c r="V35" i="9"/>
  <c r="T35" i="9" s="1"/>
  <c r="R35" i="9" s="1"/>
  <c r="P35" i="9" s="1"/>
  <c r="N35" i="9" s="1"/>
  <c r="L35" i="9" s="1"/>
  <c r="J35" i="9" s="1"/>
  <c r="H35" i="9" s="1"/>
  <c r="F35" i="9" s="1"/>
  <c r="Z35" i="9"/>
  <c r="AR34" i="9"/>
  <c r="V34" i="9"/>
  <c r="T34" i="9" s="1"/>
  <c r="R34" i="9" s="1"/>
  <c r="P34" i="9" s="1"/>
  <c r="N34" i="9" s="1"/>
  <c r="L34" i="9" s="1"/>
  <c r="J34" i="9" s="1"/>
  <c r="H34" i="9" s="1"/>
  <c r="F34" i="9" s="1"/>
  <c r="Z34" i="9"/>
  <c r="X33" i="9"/>
  <c r="AR33" i="9"/>
  <c r="V31" i="9"/>
  <c r="T31" i="9" s="1"/>
  <c r="R31" i="9" s="1"/>
  <c r="P31" i="9" s="1"/>
  <c r="N31" i="9" s="1"/>
  <c r="L31" i="9" s="1"/>
  <c r="J31" i="9" s="1"/>
  <c r="H31" i="9" s="1"/>
  <c r="F31" i="9" s="1"/>
  <c r="Z31" i="9"/>
  <c r="AU27" i="9"/>
  <c r="AO27" i="9" s="1"/>
  <c r="Z25" i="9"/>
  <c r="V25" i="9"/>
  <c r="T25" i="9" s="1"/>
  <c r="R25" i="9" s="1"/>
  <c r="P25" i="9" s="1"/>
  <c r="N25" i="9" s="1"/>
  <c r="L25" i="9" s="1"/>
  <c r="J25" i="9" s="1"/>
  <c r="H25" i="9" s="1"/>
  <c r="F25" i="9" s="1"/>
  <c r="AR23" i="9"/>
  <c r="Z20" i="9"/>
  <c r="V20" i="9"/>
  <c r="T20" i="9" s="1"/>
  <c r="R20" i="9" s="1"/>
  <c r="P20" i="9" s="1"/>
  <c r="N20" i="9" s="1"/>
  <c r="L20" i="9" s="1"/>
  <c r="J20" i="9" s="1"/>
  <c r="H20" i="9" s="1"/>
  <c r="F20" i="9" s="1"/>
  <c r="V19" i="9"/>
  <c r="T19" i="9" s="1"/>
  <c r="R19" i="9" s="1"/>
  <c r="P19" i="9" s="1"/>
  <c r="N19" i="9" s="1"/>
  <c r="L19" i="9" s="1"/>
  <c r="J19" i="9" s="1"/>
  <c r="H19" i="9" s="1"/>
  <c r="F19" i="9" s="1"/>
  <c r="Z19" i="9"/>
  <c r="AU18" i="9"/>
  <c r="AO18" i="9" s="1"/>
  <c r="Z14" i="9"/>
  <c r="V14" i="9"/>
  <c r="T14" i="9" s="1"/>
  <c r="R14" i="9" s="1"/>
  <c r="P14" i="9" s="1"/>
  <c r="N14" i="9" s="1"/>
  <c r="L14" i="9" s="1"/>
  <c r="J14" i="9" s="1"/>
  <c r="H14" i="9" s="1"/>
  <c r="F14" i="9" s="1"/>
  <c r="AV14" i="9" s="1" a="1"/>
  <c r="AV14" i="9" s="1"/>
  <c r="Z11" i="9"/>
  <c r="V11" i="9"/>
  <c r="T11" i="9" s="1"/>
  <c r="R11" i="9" s="1"/>
  <c r="P11" i="9" s="1"/>
  <c r="N11" i="9" s="1"/>
  <c r="L11" i="9" s="1"/>
  <c r="J11" i="9" s="1"/>
  <c r="H11" i="9" s="1"/>
  <c r="F11" i="9" s="1"/>
  <c r="X23" i="13"/>
  <c r="Z22" i="13"/>
  <c r="V22" i="13"/>
  <c r="T22" i="13" s="1"/>
  <c r="R22" i="13" s="1"/>
  <c r="P22" i="13" s="1"/>
  <c r="N22" i="13" s="1"/>
  <c r="L22" i="13" s="1"/>
  <c r="J22" i="13" s="1"/>
  <c r="H22" i="13" s="1"/>
  <c r="F22" i="13" s="1"/>
  <c r="V17" i="13"/>
  <c r="T17" i="13" s="1"/>
  <c r="R17" i="13" s="1"/>
  <c r="P17" i="13" s="1"/>
  <c r="N17" i="13" s="1"/>
  <c r="L17" i="13" s="1"/>
  <c r="J17" i="13" s="1"/>
  <c r="H17" i="13" s="1"/>
  <c r="F17" i="13" s="1"/>
  <c r="Z17" i="13"/>
  <c r="V16" i="13"/>
  <c r="T16" i="13" s="1"/>
  <c r="R16" i="13" s="1"/>
  <c r="P16" i="13" s="1"/>
  <c r="N16" i="13" s="1"/>
  <c r="L16" i="13" s="1"/>
  <c r="J16" i="13" s="1"/>
  <c r="H16" i="13" s="1"/>
  <c r="F16" i="13" s="1"/>
  <c r="Z16" i="13"/>
  <c r="Z14" i="13"/>
  <c r="V14" i="13"/>
  <c r="T14" i="13" s="1"/>
  <c r="R14" i="13" s="1"/>
  <c r="P14" i="13" s="1"/>
  <c r="N14" i="13" s="1"/>
  <c r="L14" i="13" s="1"/>
  <c r="J14" i="13" s="1"/>
  <c r="H14" i="13" s="1"/>
  <c r="F14" i="13" s="1"/>
  <c r="Z13" i="13"/>
  <c r="V13" i="13"/>
  <c r="T13" i="13" s="1"/>
  <c r="R13" i="13" s="1"/>
  <c r="P13" i="13" s="1"/>
  <c r="N13" i="13" s="1"/>
  <c r="L13" i="13" s="1"/>
  <c r="J13" i="13" s="1"/>
  <c r="H13" i="13" s="1"/>
  <c r="F13" i="13" s="1"/>
  <c r="V26" i="7"/>
  <c r="T26" i="7" s="1"/>
  <c r="R26" i="7" s="1"/>
  <c r="P26" i="7" s="1"/>
  <c r="N26" i="7" s="1"/>
  <c r="L26" i="7" s="1"/>
  <c r="J26" i="7" s="1"/>
  <c r="H26" i="7" s="1"/>
  <c r="F26" i="7" s="1"/>
  <c r="Z26" i="7"/>
  <c r="V24" i="7"/>
  <c r="T24" i="7" s="1"/>
  <c r="R24" i="7" s="1"/>
  <c r="P24" i="7" s="1"/>
  <c r="N24" i="7" s="1"/>
  <c r="L24" i="7" s="1"/>
  <c r="J24" i="7" s="1"/>
  <c r="H24" i="7" s="1"/>
  <c r="F24" i="7" s="1"/>
  <c r="Z24" i="7"/>
  <c r="AR19" i="7"/>
  <c r="X13" i="7"/>
  <c r="Z12" i="7"/>
  <c r="V12" i="7"/>
  <c r="T12" i="7" s="1"/>
  <c r="R12" i="7" s="1"/>
  <c r="P12" i="7" s="1"/>
  <c r="N12" i="7" s="1"/>
  <c r="L12" i="7" s="1"/>
  <c r="J12" i="7" s="1"/>
  <c r="H12" i="7" s="1"/>
  <c r="F12" i="7" s="1"/>
  <c r="AV12" i="7" s="1" a="1"/>
  <c r="AV12" i="7" s="1"/>
  <c r="Z11" i="7"/>
  <c r="V11" i="7"/>
  <c r="T11" i="7" s="1"/>
  <c r="R11" i="7" s="1"/>
  <c r="P11" i="7" s="1"/>
  <c r="N11" i="7" s="1"/>
  <c r="L11" i="7" s="1"/>
  <c r="J11" i="7" s="1"/>
  <c r="H11" i="7" s="1"/>
  <c r="F11" i="7" s="1"/>
  <c r="AV11" i="7" s="1" a="1"/>
  <c r="AV11" i="7" s="1"/>
  <c r="Z55" i="17"/>
  <c r="V55" i="17"/>
  <c r="T55" i="17" s="1"/>
  <c r="R55" i="17" s="1"/>
  <c r="P55" i="17" s="1"/>
  <c r="N55" i="17" s="1"/>
  <c r="L55" i="17" s="1"/>
  <c r="J55" i="17" s="1"/>
  <c r="H55" i="17" s="1"/>
  <c r="F55" i="17" s="1"/>
  <c r="AB55" i="17" s="1"/>
  <c r="X54" i="17"/>
  <c r="X53" i="17"/>
  <c r="Z52" i="17"/>
  <c r="V52" i="17"/>
  <c r="T52" i="17" s="1"/>
  <c r="R52" i="17" s="1"/>
  <c r="P52" i="17" s="1"/>
  <c r="N52" i="17" s="1"/>
  <c r="L52" i="17" s="1"/>
  <c r="J52" i="17" s="1"/>
  <c r="H52" i="17" s="1"/>
  <c r="F52" i="17" s="1"/>
  <c r="AB52" i="17" s="1"/>
  <c r="X51" i="17"/>
  <c r="X49" i="17"/>
  <c r="V48" i="17"/>
  <c r="T48" i="17" s="1"/>
  <c r="R48" i="17" s="1"/>
  <c r="P48" i="17" s="1"/>
  <c r="N48" i="17" s="1"/>
  <c r="L48" i="17" s="1"/>
  <c r="J48" i="17" s="1"/>
  <c r="H48" i="17" s="1"/>
  <c r="F48" i="17" s="1"/>
  <c r="Z48" i="17"/>
  <c r="V47" i="17"/>
  <c r="T47" i="17" s="1"/>
  <c r="R47" i="17" s="1"/>
  <c r="P47" i="17" s="1"/>
  <c r="N47" i="17" s="1"/>
  <c r="L47" i="17" s="1"/>
  <c r="J47" i="17" s="1"/>
  <c r="H47" i="17" s="1"/>
  <c r="F47" i="17" s="1"/>
  <c r="Z47" i="17"/>
  <c r="V45" i="17"/>
  <c r="T45" i="17" s="1"/>
  <c r="R45" i="17" s="1"/>
  <c r="P45" i="17" s="1"/>
  <c r="N45" i="17" s="1"/>
  <c r="L45" i="17" s="1"/>
  <c r="J45" i="17" s="1"/>
  <c r="H45" i="17" s="1"/>
  <c r="F45" i="17" s="1"/>
  <c r="Z45" i="17"/>
  <c r="AU41" i="17"/>
  <c r="AB41" i="17"/>
  <c r="Z39" i="17"/>
  <c r="V39" i="17"/>
  <c r="T39" i="17" s="1"/>
  <c r="R39" i="17" s="1"/>
  <c r="P39" i="17" s="1"/>
  <c r="N39" i="17" s="1"/>
  <c r="L39" i="17" s="1"/>
  <c r="J39" i="17" s="1"/>
  <c r="H39" i="17" s="1"/>
  <c r="F39" i="17" s="1"/>
  <c r="AB39" i="17" s="1"/>
  <c r="V38" i="17"/>
  <c r="T38" i="17" s="1"/>
  <c r="R38" i="17" s="1"/>
  <c r="P38" i="17" s="1"/>
  <c r="N38" i="17" s="1"/>
  <c r="L38" i="17" s="1"/>
  <c r="J38" i="17" s="1"/>
  <c r="H38" i="17" s="1"/>
  <c r="F38" i="17" s="1"/>
  <c r="AB38" i="17" s="1"/>
  <c r="Z38" i="17"/>
  <c r="Z37" i="17"/>
  <c r="V37" i="17"/>
  <c r="T37" i="17" s="1"/>
  <c r="R37" i="17" s="1"/>
  <c r="P37" i="17" s="1"/>
  <c r="N37" i="17" s="1"/>
  <c r="L37" i="17" s="1"/>
  <c r="J37" i="17" s="1"/>
  <c r="H37" i="17" s="1"/>
  <c r="F37" i="17" s="1"/>
  <c r="V36" i="17"/>
  <c r="T36" i="17" s="1"/>
  <c r="R36" i="17" s="1"/>
  <c r="P36" i="17" s="1"/>
  <c r="N36" i="17" s="1"/>
  <c r="L36" i="17" s="1"/>
  <c r="J36" i="17" s="1"/>
  <c r="H36" i="17" s="1"/>
  <c r="F36" i="17" s="1"/>
  <c r="Z36" i="17"/>
  <c r="Z34" i="17"/>
  <c r="V34" i="17"/>
  <c r="T34" i="17" s="1"/>
  <c r="R34" i="17" s="1"/>
  <c r="P34" i="17" s="1"/>
  <c r="N34" i="17" s="1"/>
  <c r="L34" i="17" s="1"/>
  <c r="J34" i="17" s="1"/>
  <c r="H34" i="17" s="1"/>
  <c r="F34" i="17" s="1"/>
  <c r="Z30" i="17"/>
  <c r="V30" i="17"/>
  <c r="T30" i="17" s="1"/>
  <c r="R30" i="17" s="1"/>
  <c r="P30" i="17" s="1"/>
  <c r="N30" i="17" s="1"/>
  <c r="L30" i="17" s="1"/>
  <c r="J30" i="17" s="1"/>
  <c r="H30" i="17" s="1"/>
  <c r="F30" i="17" s="1"/>
  <c r="AU30" i="17" s="1"/>
  <c r="AO30" i="17" s="1"/>
  <c r="V29" i="17"/>
  <c r="T29" i="17" s="1"/>
  <c r="R29" i="17" s="1"/>
  <c r="P29" i="17" s="1"/>
  <c r="N29" i="17" s="1"/>
  <c r="L29" i="17" s="1"/>
  <c r="J29" i="17" s="1"/>
  <c r="H29" i="17" s="1"/>
  <c r="F29" i="17" s="1"/>
  <c r="AU29" i="17" s="1"/>
  <c r="AO29" i="17" s="1"/>
  <c r="Z29" i="17"/>
  <c r="X25" i="17"/>
  <c r="Z23" i="17"/>
  <c r="V23" i="17"/>
  <c r="T23" i="17" s="1"/>
  <c r="R23" i="17" s="1"/>
  <c r="P23" i="17" s="1"/>
  <c r="N23" i="17" s="1"/>
  <c r="L23" i="17" s="1"/>
  <c r="J23" i="17" s="1"/>
  <c r="H23" i="17" s="1"/>
  <c r="F23" i="17" s="1"/>
  <c r="Z22" i="17"/>
  <c r="V22" i="17"/>
  <c r="T22" i="17" s="1"/>
  <c r="R22" i="17" s="1"/>
  <c r="P22" i="17" s="1"/>
  <c r="N22" i="17" s="1"/>
  <c r="L22" i="17" s="1"/>
  <c r="J22" i="17" s="1"/>
  <c r="H22" i="17" s="1"/>
  <c r="F22" i="17" s="1"/>
  <c r="V20" i="17"/>
  <c r="T20" i="17" s="1"/>
  <c r="R20" i="17" s="1"/>
  <c r="P20" i="17" s="1"/>
  <c r="N20" i="17" s="1"/>
  <c r="L20" i="17" s="1"/>
  <c r="J20" i="17" s="1"/>
  <c r="H20" i="17" s="1"/>
  <c r="F20" i="17" s="1"/>
  <c r="Z20" i="17"/>
  <c r="V19" i="17"/>
  <c r="T19" i="17" s="1"/>
  <c r="R19" i="17" s="1"/>
  <c r="P19" i="17" s="1"/>
  <c r="N19" i="17" s="1"/>
  <c r="L19" i="17" s="1"/>
  <c r="J19" i="17" s="1"/>
  <c r="H19" i="17" s="1"/>
  <c r="F19" i="17" s="1"/>
  <c r="Z19" i="17"/>
  <c r="V16" i="17"/>
  <c r="T16" i="17" s="1"/>
  <c r="R16" i="17" s="1"/>
  <c r="P16" i="17" s="1"/>
  <c r="N16" i="17" s="1"/>
  <c r="L16" i="17" s="1"/>
  <c r="J16" i="17" s="1"/>
  <c r="H16" i="17" s="1"/>
  <c r="F16" i="17" s="1"/>
  <c r="Z16" i="17"/>
  <c r="V12" i="17"/>
  <c r="T12" i="17" s="1"/>
  <c r="R12" i="17" s="1"/>
  <c r="P12" i="17" s="1"/>
  <c r="N12" i="17" s="1"/>
  <c r="L12" i="17" s="1"/>
  <c r="J12" i="17" s="1"/>
  <c r="H12" i="17" s="1"/>
  <c r="F12" i="17" s="1"/>
  <c r="Z12" i="17"/>
  <c r="V11" i="17"/>
  <c r="T11" i="17" s="1"/>
  <c r="R11" i="17" s="1"/>
  <c r="P11" i="17" s="1"/>
  <c r="N11" i="17" s="1"/>
  <c r="L11" i="17" s="1"/>
  <c r="J11" i="17" s="1"/>
  <c r="H11" i="17" s="1"/>
  <c r="F11" i="17" s="1"/>
  <c r="Z11" i="17"/>
  <c r="X15" i="16"/>
  <c r="X14" i="16"/>
  <c r="Z11" i="16"/>
  <c r="V11" i="16"/>
  <c r="T11" i="16" s="1"/>
  <c r="R11" i="16" s="1"/>
  <c r="P11" i="16" s="1"/>
  <c r="N11" i="16" s="1"/>
  <c r="L11" i="16" s="1"/>
  <c r="J11" i="16" s="1"/>
  <c r="H11" i="16" s="1"/>
  <c r="F11" i="16" s="1"/>
  <c r="AU11" i="16" s="1"/>
  <c r="AO11" i="16" s="1"/>
  <c r="Z16" i="16"/>
  <c r="V16" i="16"/>
  <c r="T16" i="16" s="1"/>
  <c r="R16" i="16" s="1"/>
  <c r="P16" i="16" s="1"/>
  <c r="N16" i="16" s="1"/>
  <c r="L16" i="16" s="1"/>
  <c r="J16" i="16" s="1"/>
  <c r="H16" i="16" s="1"/>
  <c r="F16" i="16" s="1"/>
  <c r="X36" i="16"/>
  <c r="V35" i="16"/>
  <c r="T35" i="16" s="1"/>
  <c r="R35" i="16" s="1"/>
  <c r="P35" i="16" s="1"/>
  <c r="N35" i="16" s="1"/>
  <c r="L35" i="16" s="1"/>
  <c r="J35" i="16" s="1"/>
  <c r="H35" i="16" s="1"/>
  <c r="F35" i="16" s="1"/>
  <c r="Z35" i="16"/>
  <c r="V34" i="16"/>
  <c r="T34" i="16" s="1"/>
  <c r="R34" i="16" s="1"/>
  <c r="P34" i="16" s="1"/>
  <c r="N34" i="16" s="1"/>
  <c r="L34" i="16" s="1"/>
  <c r="J34" i="16" s="1"/>
  <c r="H34" i="16" s="1"/>
  <c r="F34" i="16" s="1"/>
  <c r="Z34" i="16"/>
  <c r="V32" i="16"/>
  <c r="T32" i="16" s="1"/>
  <c r="R32" i="16" s="1"/>
  <c r="P32" i="16" s="1"/>
  <c r="N32" i="16" s="1"/>
  <c r="L32" i="16" s="1"/>
  <c r="J32" i="16" s="1"/>
  <c r="H32" i="16" s="1"/>
  <c r="F32" i="16" s="1"/>
  <c r="Z32" i="16"/>
  <c r="Z28" i="16"/>
  <c r="V28" i="16"/>
  <c r="T28" i="16" s="1"/>
  <c r="R28" i="16" s="1"/>
  <c r="P28" i="16" s="1"/>
  <c r="N28" i="16" s="1"/>
  <c r="L28" i="16" s="1"/>
  <c r="J28" i="16" s="1"/>
  <c r="H28" i="16" s="1"/>
  <c r="F28" i="16" s="1"/>
  <c r="AU28" i="16" s="1"/>
  <c r="AO28" i="16" s="1"/>
  <c r="V27" i="16"/>
  <c r="T27" i="16" s="1"/>
  <c r="R27" i="16" s="1"/>
  <c r="P27" i="16" s="1"/>
  <c r="N27" i="16" s="1"/>
  <c r="L27" i="16" s="1"/>
  <c r="J27" i="16" s="1"/>
  <c r="H27" i="16" s="1"/>
  <c r="F27" i="16" s="1"/>
  <c r="Z27" i="16"/>
  <c r="Z22" i="16"/>
  <c r="V22" i="16"/>
  <c r="T22" i="16" s="1"/>
  <c r="R22" i="16" s="1"/>
  <c r="P22" i="16" s="1"/>
  <c r="N22" i="16" s="1"/>
  <c r="L22" i="16" s="1"/>
  <c r="J22" i="16" s="1"/>
  <c r="H22" i="16" s="1"/>
  <c r="F22" i="16" s="1"/>
  <c r="V19" i="16"/>
  <c r="T19" i="16" s="1"/>
  <c r="R19" i="16" s="1"/>
  <c r="P19" i="16" s="1"/>
  <c r="N19" i="16" s="1"/>
  <c r="L19" i="16" s="1"/>
  <c r="J19" i="16" s="1"/>
  <c r="H19" i="16" s="1"/>
  <c r="F19" i="16" s="1"/>
  <c r="Z19" i="16"/>
  <c r="Z18" i="16"/>
  <c r="V18" i="16"/>
  <c r="T18" i="16" s="1"/>
  <c r="R18" i="16" s="1"/>
  <c r="P18" i="16" s="1"/>
  <c r="N18" i="16" s="1"/>
  <c r="L18" i="16" s="1"/>
  <c r="J18" i="16" s="1"/>
  <c r="H18" i="16" s="1"/>
  <c r="F18" i="16" s="1"/>
  <c r="V47" i="14"/>
  <c r="T47" i="14" s="1"/>
  <c r="R47" i="14" s="1"/>
  <c r="P47" i="14" s="1"/>
  <c r="N47" i="14" s="1"/>
  <c r="L47" i="14" s="1"/>
  <c r="J47" i="14" s="1"/>
  <c r="H47" i="14" s="1"/>
  <c r="F47" i="14" s="1"/>
  <c r="Z47" i="14"/>
  <c r="Z51" i="14"/>
  <c r="V51" i="14"/>
  <c r="T51" i="14" s="1"/>
  <c r="R51" i="14" s="1"/>
  <c r="P51" i="14" s="1"/>
  <c r="N51" i="14" s="1"/>
  <c r="L51" i="14" s="1"/>
  <c r="J51" i="14" s="1"/>
  <c r="H51" i="14" s="1"/>
  <c r="F51" i="14" s="1"/>
  <c r="X49" i="14"/>
  <c r="Z36" i="14"/>
  <c r="V36" i="14"/>
  <c r="T36" i="14" s="1"/>
  <c r="R36" i="14" s="1"/>
  <c r="P36" i="14" s="1"/>
  <c r="N36" i="14" s="1"/>
  <c r="L36" i="14" s="1"/>
  <c r="J36" i="14" s="1"/>
  <c r="H36" i="14" s="1"/>
  <c r="F36" i="14" s="1"/>
  <c r="AR25" i="14"/>
  <c r="Z21" i="14"/>
  <c r="V21" i="14"/>
  <c r="T21" i="14" s="1"/>
  <c r="R21" i="14" s="1"/>
  <c r="P21" i="14" s="1"/>
  <c r="N21" i="14" s="1"/>
  <c r="L21" i="14" s="1"/>
  <c r="J21" i="14" s="1"/>
  <c r="H21" i="14" s="1"/>
  <c r="F21" i="14" s="1"/>
  <c r="AR14" i="14"/>
  <c r="AR12" i="14"/>
  <c r="V11" i="14"/>
  <c r="T11" i="14" s="1"/>
  <c r="R11" i="14" s="1"/>
  <c r="P11" i="14" s="1"/>
  <c r="N11" i="14" s="1"/>
  <c r="L11" i="14" s="1"/>
  <c r="J11" i="14" s="1"/>
  <c r="H11" i="14" s="1"/>
  <c r="F11" i="14" s="1"/>
  <c r="Z11" i="14"/>
  <c r="V28" i="15"/>
  <c r="T28" i="15" s="1"/>
  <c r="R28" i="15" s="1"/>
  <c r="P28" i="15" s="1"/>
  <c r="N28" i="15" s="1"/>
  <c r="L28" i="15" s="1"/>
  <c r="J28" i="15" s="1"/>
  <c r="H28" i="15" s="1"/>
  <c r="F28" i="15" s="1"/>
  <c r="Z28" i="15"/>
  <c r="V54" i="15"/>
  <c r="T54" i="15" s="1"/>
  <c r="R54" i="15" s="1"/>
  <c r="P54" i="15" s="1"/>
  <c r="N54" i="15" s="1"/>
  <c r="L54" i="15" s="1"/>
  <c r="J54" i="15" s="1"/>
  <c r="H54" i="15" s="1"/>
  <c r="F54" i="15" s="1"/>
  <c r="Z54" i="15"/>
  <c r="AR42" i="15"/>
  <c r="AR22" i="15"/>
  <c r="X22" i="15"/>
  <c r="V19" i="15"/>
  <c r="T19" i="15" s="1"/>
  <c r="R19" i="15" s="1"/>
  <c r="P19" i="15" s="1"/>
  <c r="N19" i="15" s="1"/>
  <c r="L19" i="15" s="1"/>
  <c r="J19" i="15" s="1"/>
  <c r="H19" i="15" s="1"/>
  <c r="F19" i="15" s="1"/>
  <c r="AU19" i="15" s="1"/>
  <c r="AO19" i="15" s="1"/>
  <c r="Z19" i="15"/>
  <c r="V13" i="15"/>
  <c r="T13" i="15" s="1"/>
  <c r="R13" i="15" s="1"/>
  <c r="P13" i="15" s="1"/>
  <c r="N13" i="15" s="1"/>
  <c r="L13" i="15" s="1"/>
  <c r="J13" i="15" s="1"/>
  <c r="H13" i="15" s="1"/>
  <c r="F13" i="15" s="1"/>
  <c r="Z13" i="15"/>
  <c r="V12" i="15"/>
  <c r="T12" i="15" s="1"/>
  <c r="R12" i="15" s="1"/>
  <c r="P12" i="15" s="1"/>
  <c r="N12" i="15" s="1"/>
  <c r="L12" i="15" s="1"/>
  <c r="J12" i="15" s="1"/>
  <c r="H12" i="15" s="1"/>
  <c r="F12" i="15" s="1"/>
  <c r="Z12" i="15"/>
  <c r="AR20" i="5"/>
  <c r="Z33" i="5"/>
  <c r="V33" i="5"/>
  <c r="T33" i="5" s="1"/>
  <c r="R33" i="5" s="1"/>
  <c r="P33" i="5" s="1"/>
  <c r="N33" i="5" s="1"/>
  <c r="L33" i="5" s="1"/>
  <c r="J33" i="5" s="1"/>
  <c r="H33" i="5" s="1"/>
  <c r="F33" i="5" s="1"/>
  <c r="AV33" i="5" s="1" a="1"/>
  <c r="AV33" i="5" s="1"/>
  <c r="X26" i="5"/>
  <c r="V26" i="5" s="1"/>
  <c r="T26" i="5" s="1"/>
  <c r="R26" i="5" s="1"/>
  <c r="P26" i="5" s="1"/>
  <c r="N26" i="5" s="1"/>
  <c r="L26" i="5" s="1"/>
  <c r="J26" i="5" s="1"/>
  <c r="H26" i="5" s="1"/>
  <c r="F26" i="5" s="1"/>
  <c r="AR26" i="5"/>
  <c r="X24" i="5"/>
  <c r="AR24" i="5"/>
  <c r="X19" i="5"/>
  <c r="AR19" i="5"/>
  <c r="V15" i="5"/>
  <c r="T15" i="5" s="1"/>
  <c r="R15" i="5" s="1"/>
  <c r="P15" i="5" s="1"/>
  <c r="N15" i="5" s="1"/>
  <c r="L15" i="5" s="1"/>
  <c r="J15" i="5" s="1"/>
  <c r="H15" i="5" s="1"/>
  <c r="F15" i="5" s="1"/>
  <c r="Z15" i="5"/>
  <c r="V32" i="5"/>
  <c r="T32" i="5" s="1"/>
  <c r="R32" i="5" s="1"/>
  <c r="P32" i="5" s="1"/>
  <c r="N32" i="5" s="1"/>
  <c r="L32" i="5" s="1"/>
  <c r="J32" i="5" s="1"/>
  <c r="H32" i="5" s="1"/>
  <c r="F32" i="5" s="1"/>
  <c r="AV32" i="5" s="1" a="1"/>
  <c r="AV32" i="5" s="1"/>
  <c r="Z32" i="5"/>
  <c r="V31" i="5"/>
  <c r="T31" i="5" s="1"/>
  <c r="R31" i="5" s="1"/>
  <c r="P31" i="5" s="1"/>
  <c r="N31" i="5" s="1"/>
  <c r="L31" i="5" s="1"/>
  <c r="J31" i="5" s="1"/>
  <c r="H31" i="5" s="1"/>
  <c r="F31" i="5" s="1"/>
  <c r="AV31" i="5" s="1" a="1"/>
  <c r="AV31" i="5" s="1"/>
  <c r="Z31" i="5"/>
  <c r="Z28" i="5"/>
  <c r="V28" i="5"/>
  <c r="T28" i="5" s="1"/>
  <c r="R28" i="5" s="1"/>
  <c r="P28" i="5" s="1"/>
  <c r="N28" i="5" s="1"/>
  <c r="L28" i="5" s="1"/>
  <c r="J28" i="5" s="1"/>
  <c r="H28" i="5" s="1"/>
  <c r="F28" i="5" s="1"/>
  <c r="V22" i="5"/>
  <c r="T22" i="5" s="1"/>
  <c r="R22" i="5" s="1"/>
  <c r="P22" i="5" s="1"/>
  <c r="N22" i="5" s="1"/>
  <c r="L22" i="5" s="1"/>
  <c r="J22" i="5" s="1"/>
  <c r="H22" i="5" s="1"/>
  <c r="F22" i="5" s="1"/>
  <c r="Z22" i="5"/>
  <c r="V18" i="5"/>
  <c r="T18" i="5" s="1"/>
  <c r="R18" i="5" s="1"/>
  <c r="P18" i="5" s="1"/>
  <c r="N18" i="5" s="1"/>
  <c r="L18" i="5" s="1"/>
  <c r="J18" i="5" s="1"/>
  <c r="H18" i="5" s="1"/>
  <c r="F18" i="5" s="1"/>
  <c r="AV18" i="5" s="1" a="1"/>
  <c r="AV18" i="5" s="1"/>
  <c r="Z18" i="5"/>
  <c r="Z16" i="5"/>
  <c r="V16" i="5"/>
  <c r="T16" i="5" s="1"/>
  <c r="R16" i="5" s="1"/>
  <c r="P16" i="5" s="1"/>
  <c r="N16" i="5" s="1"/>
  <c r="L16" i="5" s="1"/>
  <c r="J16" i="5" s="1"/>
  <c r="H16" i="5" s="1"/>
  <c r="F16" i="5" s="1"/>
  <c r="AV16" i="5" s="1" a="1"/>
  <c r="AV16" i="5" s="1"/>
  <c r="Z13" i="5"/>
  <c r="V13" i="5"/>
  <c r="T13" i="5" s="1"/>
  <c r="R13" i="5" s="1"/>
  <c r="P13" i="5" s="1"/>
  <c r="N13" i="5" s="1"/>
  <c r="L13" i="5" s="1"/>
  <c r="J13" i="5" s="1"/>
  <c r="H13" i="5" s="1"/>
  <c r="F13" i="5" s="1"/>
  <c r="AV13" i="5" s="1" a="1"/>
  <c r="AV13" i="5" s="1"/>
  <c r="Z12" i="5"/>
  <c r="V12" i="5"/>
  <c r="T12" i="5" s="1"/>
  <c r="R12" i="5" s="1"/>
  <c r="P12" i="5" s="1"/>
  <c r="N12" i="5" s="1"/>
  <c r="L12" i="5" s="1"/>
  <c r="J12" i="5" s="1"/>
  <c r="H12" i="5" s="1"/>
  <c r="F12" i="5" s="1"/>
  <c r="AV12" i="5" s="1" a="1"/>
  <c r="AV12" i="5" s="1"/>
  <c r="V11" i="5"/>
  <c r="T11" i="5" s="1"/>
  <c r="R11" i="5" s="1"/>
  <c r="P11" i="5" s="1"/>
  <c r="N11" i="5" s="1"/>
  <c r="L11" i="5" s="1"/>
  <c r="J11" i="5" s="1"/>
  <c r="H11" i="5" s="1"/>
  <c r="F11" i="5" s="1"/>
  <c r="Z11" i="5"/>
  <c r="AR50" i="17"/>
  <c r="AR49" i="17"/>
  <c r="AR47" i="17"/>
  <c r="AR46" i="17"/>
  <c r="AR45" i="17"/>
  <c r="AR42" i="17"/>
  <c r="AR39" i="17"/>
  <c r="AR38" i="17"/>
  <c r="AR37" i="17"/>
  <c r="AR34" i="17"/>
  <c r="AR33" i="17"/>
  <c r="AR32" i="17"/>
  <c r="AR31" i="17"/>
  <c r="AB31" i="17" s="1"/>
  <c r="AU31" i="17"/>
  <c r="AO31" i="17" s="1"/>
  <c r="AR30" i="17"/>
  <c r="AR29" i="17"/>
  <c r="AR28" i="17"/>
  <c r="AB28" i="17" s="1"/>
  <c r="AU28" i="17"/>
  <c r="AO28" i="17" s="1"/>
  <c r="AR27" i="17"/>
  <c r="AR25" i="17"/>
  <c r="AR24" i="17"/>
  <c r="AB24" i="17" s="1"/>
  <c r="AU24" i="17"/>
  <c r="AO24" i="17" s="1"/>
  <c r="AR23" i="17"/>
  <c r="AU23" i="17"/>
  <c r="AO23" i="17" s="1"/>
  <c r="AR19" i="17"/>
  <c r="AU19" i="17"/>
  <c r="AO19" i="17" s="1"/>
  <c r="AR18" i="17"/>
  <c r="AR16" i="17"/>
  <c r="AR13" i="17"/>
  <c r="AI56" i="17"/>
  <c r="X2" i="17" s="1"/>
  <c r="Y3" i="17" s="1"/>
  <c r="AJ56" i="17"/>
  <c r="AR11" i="16"/>
  <c r="AR36" i="16"/>
  <c r="AR30" i="16"/>
  <c r="AR28" i="16"/>
  <c r="AR27" i="16"/>
  <c r="AR25" i="16"/>
  <c r="AR23" i="16"/>
  <c r="AR21" i="16"/>
  <c r="AR19" i="16"/>
  <c r="AI37" i="16"/>
  <c r="X2" i="16" s="1"/>
  <c r="Y3" i="16" s="1"/>
  <c r="AJ37" i="16"/>
  <c r="AR54" i="15"/>
  <c r="AR53" i="15"/>
  <c r="Z53" i="15"/>
  <c r="V53" i="15"/>
  <c r="T53" i="15" s="1"/>
  <c r="R53" i="15" s="1"/>
  <c r="P53" i="15" s="1"/>
  <c r="N53" i="15" s="1"/>
  <c r="L53" i="15" s="1"/>
  <c r="J53" i="15" s="1"/>
  <c r="H53" i="15" s="1"/>
  <c r="F53" i="15" s="1"/>
  <c r="AR52" i="15"/>
  <c r="Z43" i="15"/>
  <c r="AR28" i="15"/>
  <c r="AR19" i="15"/>
  <c r="AR17" i="15"/>
  <c r="V17" i="15"/>
  <c r="T17" i="15" s="1"/>
  <c r="R17" i="15" s="1"/>
  <c r="P17" i="15" s="1"/>
  <c r="N17" i="15" s="1"/>
  <c r="L17" i="15" s="1"/>
  <c r="J17" i="15" s="1"/>
  <c r="H17" i="15" s="1"/>
  <c r="F17" i="15" s="1"/>
  <c r="AU17" i="15" s="1"/>
  <c r="Z17" i="15"/>
  <c r="AR13" i="15"/>
  <c r="AR12" i="15"/>
  <c r="AI69" i="15"/>
  <c r="X2" i="15" s="1"/>
  <c r="Y3" i="15" s="1"/>
  <c r="AJ69" i="15"/>
  <c r="AR53" i="14"/>
  <c r="AR52" i="14"/>
  <c r="AR47" i="14"/>
  <c r="AR51" i="14"/>
  <c r="AR50" i="14"/>
  <c r="AR49" i="14"/>
  <c r="AR36" i="14"/>
  <c r="AR26" i="14"/>
  <c r="AR21" i="14"/>
  <c r="AR11" i="14"/>
  <c r="AI54" i="14"/>
  <c r="X2" i="14" s="1"/>
  <c r="AJ54" i="14"/>
  <c r="AR24" i="13"/>
  <c r="AR23" i="13"/>
  <c r="AR22" i="13"/>
  <c r="AR17" i="13"/>
  <c r="AR16" i="13"/>
  <c r="AR14" i="13"/>
  <c r="AR13" i="13"/>
  <c r="AR11" i="13"/>
  <c r="AJ25" i="13"/>
  <c r="AI25" i="13"/>
  <c r="X2" i="13" s="1"/>
  <c r="Y3" i="13" s="1"/>
  <c r="AR39" i="12"/>
  <c r="AR38" i="12"/>
  <c r="AR37" i="12"/>
  <c r="AR36" i="12"/>
  <c r="AR35" i="12"/>
  <c r="AR34" i="12"/>
  <c r="AR33" i="12"/>
  <c r="AR32" i="12"/>
  <c r="AR23" i="12"/>
  <c r="AR22" i="12"/>
  <c r="AB22" i="12" s="1"/>
  <c r="AR20" i="12"/>
  <c r="AR18" i="12"/>
  <c r="AR17" i="12"/>
  <c r="AR13" i="12"/>
  <c r="AR12" i="12"/>
  <c r="AR11" i="12"/>
  <c r="AI40" i="12"/>
  <c r="X2" i="12" s="1"/>
  <c r="Y3" i="12" s="1"/>
  <c r="AJ40" i="12"/>
  <c r="AB39" i="11"/>
  <c r="AR38" i="11"/>
  <c r="AR37" i="11"/>
  <c r="AR36" i="11"/>
  <c r="AR34" i="11"/>
  <c r="AR33" i="11"/>
  <c r="AR32" i="11"/>
  <c r="AR31" i="11"/>
  <c r="AR26" i="11"/>
  <c r="AR25" i="11"/>
  <c r="AR22" i="11"/>
  <c r="AR21" i="11"/>
  <c r="AR19" i="11"/>
  <c r="AB19" i="11" s="1"/>
  <c r="AU19" i="11"/>
  <c r="AO19" i="11" s="1"/>
  <c r="AR18" i="11"/>
  <c r="AR17" i="11"/>
  <c r="AR16" i="11"/>
  <c r="AR14" i="11"/>
  <c r="AR12" i="11"/>
  <c r="AR11" i="11"/>
  <c r="X5" i="11"/>
  <c r="Y5" i="11" s="1"/>
  <c r="X4" i="11"/>
  <c r="Y4" i="11" s="1"/>
  <c r="Y2" i="11"/>
  <c r="AR40" i="10"/>
  <c r="AR39" i="10"/>
  <c r="AR38" i="10"/>
  <c r="AR37" i="10"/>
  <c r="AR35" i="10"/>
  <c r="AR34" i="10"/>
  <c r="AR33" i="10"/>
  <c r="AR32" i="10"/>
  <c r="AR31" i="10"/>
  <c r="AR29" i="10"/>
  <c r="AR28" i="10"/>
  <c r="AR26" i="10"/>
  <c r="AR25" i="10"/>
  <c r="AR23" i="10"/>
  <c r="AR22" i="10"/>
  <c r="AR21" i="10"/>
  <c r="AR19" i="10"/>
  <c r="AR18" i="10"/>
  <c r="AR14" i="10"/>
  <c r="AR12" i="10"/>
  <c r="AR11" i="10"/>
  <c r="AI41" i="10"/>
  <c r="X2" i="10" s="1"/>
  <c r="Y3" i="10" s="1"/>
  <c r="AJ41" i="10"/>
  <c r="AU58" i="9"/>
  <c r="AO58" i="9" s="1"/>
  <c r="AR51" i="9"/>
  <c r="AR50" i="9"/>
  <c r="AR49" i="9"/>
  <c r="AR38" i="9"/>
  <c r="AR37" i="9"/>
  <c r="AR41" i="9"/>
  <c r="AR40" i="9"/>
  <c r="AR35" i="9"/>
  <c r="AR32" i="9"/>
  <c r="AR31" i="9"/>
  <c r="AR30" i="9"/>
  <c r="AB30" i="9" s="1"/>
  <c r="AR29" i="9"/>
  <c r="AB29" i="9" s="1"/>
  <c r="AU29" i="9"/>
  <c r="AO29" i="9" s="1"/>
  <c r="AR28" i="9"/>
  <c r="AR27" i="9"/>
  <c r="AB27" i="9" s="1"/>
  <c r="AR25" i="9"/>
  <c r="AR24" i="9"/>
  <c r="AR20" i="9"/>
  <c r="AR19" i="9"/>
  <c r="AR18" i="9"/>
  <c r="AB18" i="9" s="1"/>
  <c r="AR17" i="9"/>
  <c r="AR16" i="9"/>
  <c r="AR14" i="9"/>
  <c r="AR12" i="9"/>
  <c r="AR11" i="9"/>
  <c r="X5" i="9"/>
  <c r="Y5" i="9" s="1"/>
  <c r="Y2" i="9"/>
  <c r="X4" i="9"/>
  <c r="Y4" i="9" s="1"/>
  <c r="AR17" i="8"/>
  <c r="AR16" i="8"/>
  <c r="AR15" i="8"/>
  <c r="AR12" i="8"/>
  <c r="AR11" i="8"/>
  <c r="AI19" i="8"/>
  <c r="X2" i="8" s="1"/>
  <c r="Y3" i="8" s="1"/>
  <c r="AJ19" i="8"/>
  <c r="AR26" i="7"/>
  <c r="AR25" i="7"/>
  <c r="AR24" i="7"/>
  <c r="AR22" i="7"/>
  <c r="AR21" i="7"/>
  <c r="AR20" i="7"/>
  <c r="AR18" i="7"/>
  <c r="AR17" i="7"/>
  <c r="AR15" i="7"/>
  <c r="AR13" i="7"/>
  <c r="AR12" i="7"/>
  <c r="AR11" i="7"/>
  <c r="AJ27" i="7"/>
  <c r="AI27" i="7"/>
  <c r="X2" i="7" s="1"/>
  <c r="Y3" i="7" s="1"/>
  <c r="AR38" i="6"/>
  <c r="AR37" i="6"/>
  <c r="AR36" i="6"/>
  <c r="AR35" i="6"/>
  <c r="AR33" i="6"/>
  <c r="AR32" i="6"/>
  <c r="AR30" i="6"/>
  <c r="AR27" i="6"/>
  <c r="AR25" i="6"/>
  <c r="AR24" i="6"/>
  <c r="AR23" i="6"/>
  <c r="AR22" i="6"/>
  <c r="AR18" i="6"/>
  <c r="AR17" i="6"/>
  <c r="AR16" i="6"/>
  <c r="AR14" i="6"/>
  <c r="AR12" i="6"/>
  <c r="AR11" i="6"/>
  <c r="AJ39" i="6"/>
  <c r="AI39" i="6"/>
  <c r="X2" i="6" s="1"/>
  <c r="Y3" i="6" s="1"/>
  <c r="AR34" i="5"/>
  <c r="V34" i="5"/>
  <c r="T34" i="5" s="1"/>
  <c r="R34" i="5" s="1"/>
  <c r="P34" i="5" s="1"/>
  <c r="N34" i="5" s="1"/>
  <c r="L34" i="5" s="1"/>
  <c r="J34" i="5" s="1"/>
  <c r="H34" i="5" s="1"/>
  <c r="F34" i="5" s="1"/>
  <c r="AV34" i="5" s="1" a="1"/>
  <c r="AV34" i="5" s="1"/>
  <c r="Z34" i="5"/>
  <c r="AR33" i="5"/>
  <c r="AR32" i="5"/>
  <c r="AR31" i="5"/>
  <c r="AR30" i="5"/>
  <c r="V30" i="5"/>
  <c r="T30" i="5" s="1"/>
  <c r="R30" i="5" s="1"/>
  <c r="P30" i="5" s="1"/>
  <c r="N30" i="5" s="1"/>
  <c r="L30" i="5" s="1"/>
  <c r="J30" i="5" s="1"/>
  <c r="H30" i="5" s="1"/>
  <c r="F30" i="5" s="1"/>
  <c r="AV30" i="5" s="1" a="1"/>
  <c r="AV30" i="5" s="1"/>
  <c r="Z30" i="5"/>
  <c r="AR28" i="5"/>
  <c r="Z23" i="5"/>
  <c r="V23" i="5"/>
  <c r="T23" i="5" s="1"/>
  <c r="R23" i="5" s="1"/>
  <c r="P23" i="5" s="1"/>
  <c r="N23" i="5" s="1"/>
  <c r="L23" i="5" s="1"/>
  <c r="J23" i="5" s="1"/>
  <c r="H23" i="5" s="1"/>
  <c r="F23" i="5" s="1"/>
  <c r="AR22" i="5"/>
  <c r="AR18" i="5"/>
  <c r="AR16" i="5"/>
  <c r="AR15" i="5"/>
  <c r="AR13" i="5"/>
  <c r="AR12" i="5"/>
  <c r="AR11" i="5"/>
  <c r="AI35" i="5"/>
  <c r="X2" i="5" s="1"/>
  <c r="Y3" i="5" s="1"/>
  <c r="AJ35" i="5"/>
  <c r="AU53" i="3"/>
  <c r="AU52" i="3"/>
  <c r="AU51" i="3"/>
  <c r="AU50" i="3"/>
  <c r="AR39" i="3"/>
  <c r="X37" i="3"/>
  <c r="V39" i="3"/>
  <c r="T39" i="3" s="1"/>
  <c r="R39" i="3" s="1"/>
  <c r="P39" i="3" s="1"/>
  <c r="N39" i="3" s="1"/>
  <c r="L39" i="3" s="1"/>
  <c r="J39" i="3" s="1"/>
  <c r="H39" i="3" s="1"/>
  <c r="F39" i="3" s="1"/>
  <c r="Z39" i="3"/>
  <c r="Z47" i="3"/>
  <c r="V47" i="3"/>
  <c r="T47" i="3" s="1"/>
  <c r="R47" i="3" s="1"/>
  <c r="P47" i="3" s="1"/>
  <c r="N47" i="3" s="1"/>
  <c r="L47" i="3" s="1"/>
  <c r="J47" i="3" s="1"/>
  <c r="H47" i="3" s="1"/>
  <c r="F47" i="3" s="1"/>
  <c r="Z38" i="3"/>
  <c r="V38" i="3"/>
  <c r="T38" i="3" s="1"/>
  <c r="R38" i="3" s="1"/>
  <c r="P38" i="3" s="1"/>
  <c r="N38" i="3" s="1"/>
  <c r="L38" i="3" s="1"/>
  <c r="J38" i="3" s="1"/>
  <c r="H38" i="3" s="1"/>
  <c r="F38" i="3" s="1"/>
  <c r="AV38" i="3" s="1" a="1"/>
  <c r="AV38" i="3" s="1"/>
  <c r="Z24" i="3"/>
  <c r="V24" i="3"/>
  <c r="T24" i="3" s="1"/>
  <c r="R24" i="3" s="1"/>
  <c r="P24" i="3" s="1"/>
  <c r="N24" i="3" s="1"/>
  <c r="L24" i="3" s="1"/>
  <c r="J24" i="3" s="1"/>
  <c r="H24" i="3" s="1"/>
  <c r="F24" i="3" s="1"/>
  <c r="Z23" i="3"/>
  <c r="V23" i="3"/>
  <c r="T23" i="3" s="1"/>
  <c r="R23" i="3" s="1"/>
  <c r="P23" i="3" s="1"/>
  <c r="N23" i="3" s="1"/>
  <c r="L23" i="3" s="1"/>
  <c r="J23" i="3" s="1"/>
  <c r="H23" i="3" s="1"/>
  <c r="F23" i="3" s="1"/>
  <c r="Z17" i="3"/>
  <c r="V17" i="3"/>
  <c r="T17" i="3" s="1"/>
  <c r="R17" i="3" s="1"/>
  <c r="P17" i="3" s="1"/>
  <c r="N17" i="3" s="1"/>
  <c r="L17" i="3" s="1"/>
  <c r="J17" i="3" s="1"/>
  <c r="H17" i="3" s="1"/>
  <c r="F17" i="3" s="1"/>
  <c r="Z16" i="3"/>
  <c r="V16" i="3"/>
  <c r="T16" i="3" s="1"/>
  <c r="R16" i="3" s="1"/>
  <c r="P16" i="3" s="1"/>
  <c r="N16" i="3" s="1"/>
  <c r="L16" i="3" s="1"/>
  <c r="J16" i="3" s="1"/>
  <c r="H16" i="3" s="1"/>
  <c r="F16" i="3" s="1"/>
  <c r="Z13" i="3"/>
  <c r="V13" i="3"/>
  <c r="T13" i="3" s="1"/>
  <c r="R13" i="3" s="1"/>
  <c r="P13" i="3" s="1"/>
  <c r="N13" i="3" s="1"/>
  <c r="L13" i="3" s="1"/>
  <c r="J13" i="3" s="1"/>
  <c r="H13" i="3" s="1"/>
  <c r="F13" i="3" s="1"/>
  <c r="Z12" i="3"/>
  <c r="V12" i="3"/>
  <c r="T12" i="3" s="1"/>
  <c r="R12" i="3" s="1"/>
  <c r="P12" i="3" s="1"/>
  <c r="N12" i="3" s="1"/>
  <c r="L12" i="3" s="1"/>
  <c r="J12" i="3" s="1"/>
  <c r="H12" i="3" s="1"/>
  <c r="F12" i="3" s="1"/>
  <c r="Z55" i="3"/>
  <c r="V55" i="3"/>
  <c r="T55" i="3" s="1"/>
  <c r="R55" i="3" s="1"/>
  <c r="P55" i="3" s="1"/>
  <c r="N55" i="3" s="1"/>
  <c r="L55" i="3" s="1"/>
  <c r="J55" i="3" s="1"/>
  <c r="H55" i="3" s="1"/>
  <c r="F55" i="3" s="1"/>
  <c r="AV55" i="3" s="1" a="1"/>
  <c r="AV55" i="3" s="1"/>
  <c r="Z54" i="3"/>
  <c r="V54" i="3"/>
  <c r="T54" i="3" s="1"/>
  <c r="R54" i="3" s="1"/>
  <c r="P54" i="3" s="1"/>
  <c r="N54" i="3" s="1"/>
  <c r="L54" i="3" s="1"/>
  <c r="J54" i="3" s="1"/>
  <c r="H54" i="3" s="1"/>
  <c r="F54" i="3" s="1"/>
  <c r="AV54" i="3" s="1" a="1"/>
  <c r="AV54" i="3" s="1"/>
  <c r="Z48" i="3"/>
  <c r="V48" i="3"/>
  <c r="T48" i="3" s="1"/>
  <c r="R48" i="3" s="1"/>
  <c r="P48" i="3" s="1"/>
  <c r="N48" i="3" s="1"/>
  <c r="L48" i="3" s="1"/>
  <c r="J48" i="3" s="1"/>
  <c r="H48" i="3" s="1"/>
  <c r="F48" i="3" s="1"/>
  <c r="Z45" i="3"/>
  <c r="V45" i="3"/>
  <c r="T45" i="3" s="1"/>
  <c r="R45" i="3" s="1"/>
  <c r="P45" i="3" s="1"/>
  <c r="N45" i="3" s="1"/>
  <c r="L45" i="3" s="1"/>
  <c r="J45" i="3" s="1"/>
  <c r="H45" i="3" s="1"/>
  <c r="F45" i="3" s="1"/>
  <c r="Z44" i="3"/>
  <c r="V44" i="3"/>
  <c r="T44" i="3" s="1"/>
  <c r="R44" i="3" s="1"/>
  <c r="P44" i="3" s="1"/>
  <c r="N44" i="3" s="1"/>
  <c r="L44" i="3" s="1"/>
  <c r="J44" i="3" s="1"/>
  <c r="H44" i="3" s="1"/>
  <c r="F44" i="3" s="1"/>
  <c r="Z42" i="3"/>
  <c r="V42" i="3"/>
  <c r="T42" i="3" s="1"/>
  <c r="R42" i="3" s="1"/>
  <c r="P42" i="3" s="1"/>
  <c r="N42" i="3" s="1"/>
  <c r="L42" i="3" s="1"/>
  <c r="J42" i="3" s="1"/>
  <c r="H42" i="3" s="1"/>
  <c r="F42" i="3" s="1"/>
  <c r="Z41" i="3"/>
  <c r="V41" i="3"/>
  <c r="T41" i="3" s="1"/>
  <c r="R41" i="3" s="1"/>
  <c r="P41" i="3" s="1"/>
  <c r="N41" i="3" s="1"/>
  <c r="L41" i="3" s="1"/>
  <c r="J41" i="3" s="1"/>
  <c r="H41" i="3" s="1"/>
  <c r="F41" i="3" s="1"/>
  <c r="Z36" i="3"/>
  <c r="V36" i="3"/>
  <c r="T36" i="3" s="1"/>
  <c r="R36" i="3" s="1"/>
  <c r="P36" i="3" s="1"/>
  <c r="N36" i="3" s="1"/>
  <c r="L36" i="3" s="1"/>
  <c r="J36" i="3" s="1"/>
  <c r="H36" i="3" s="1"/>
  <c r="F36" i="3" s="1"/>
  <c r="AV36" i="3" s="1" a="1"/>
  <c r="AV36" i="3" s="1"/>
  <c r="Z35" i="3"/>
  <c r="V35" i="3"/>
  <c r="T35" i="3" s="1"/>
  <c r="R35" i="3" s="1"/>
  <c r="P35" i="3" s="1"/>
  <c r="N35" i="3" s="1"/>
  <c r="L35" i="3" s="1"/>
  <c r="J35" i="3" s="1"/>
  <c r="H35" i="3" s="1"/>
  <c r="F35" i="3" s="1"/>
  <c r="AV35" i="3" s="1" a="1"/>
  <c r="AV35" i="3" s="1"/>
  <c r="Z34" i="3"/>
  <c r="V34" i="3"/>
  <c r="T34" i="3" s="1"/>
  <c r="R34" i="3" s="1"/>
  <c r="P34" i="3" s="1"/>
  <c r="N34" i="3" s="1"/>
  <c r="L34" i="3" s="1"/>
  <c r="J34" i="3" s="1"/>
  <c r="H34" i="3" s="1"/>
  <c r="F34" i="3" s="1"/>
  <c r="AV34" i="3" s="1" a="1"/>
  <c r="AV34" i="3" s="1"/>
  <c r="Z33" i="3"/>
  <c r="V33" i="3"/>
  <c r="T33" i="3" s="1"/>
  <c r="R33" i="3" s="1"/>
  <c r="P33" i="3" s="1"/>
  <c r="N33" i="3" s="1"/>
  <c r="L33" i="3" s="1"/>
  <c r="J33" i="3" s="1"/>
  <c r="H33" i="3" s="1"/>
  <c r="F33" i="3" s="1"/>
  <c r="AV33" i="3" s="1" a="1"/>
  <c r="AV33" i="3" s="1"/>
  <c r="Z32" i="3"/>
  <c r="V32" i="3"/>
  <c r="T32" i="3" s="1"/>
  <c r="R32" i="3" s="1"/>
  <c r="P32" i="3" s="1"/>
  <c r="N32" i="3" s="1"/>
  <c r="L32" i="3" s="1"/>
  <c r="J32" i="3" s="1"/>
  <c r="H32" i="3" s="1"/>
  <c r="F32" i="3" s="1"/>
  <c r="AV32" i="3" s="1" a="1"/>
  <c r="AV32" i="3" s="1"/>
  <c r="Z31" i="3"/>
  <c r="V31" i="3"/>
  <c r="T31" i="3" s="1"/>
  <c r="R31" i="3" s="1"/>
  <c r="P31" i="3" s="1"/>
  <c r="N31" i="3" s="1"/>
  <c r="L31" i="3" s="1"/>
  <c r="J31" i="3" s="1"/>
  <c r="H31" i="3" s="1"/>
  <c r="F31" i="3" s="1"/>
  <c r="AV31" i="3" s="1" a="1"/>
  <c r="AV31" i="3" s="1"/>
  <c r="Z30" i="3"/>
  <c r="V30" i="3"/>
  <c r="T30" i="3" s="1"/>
  <c r="R30" i="3" s="1"/>
  <c r="P30" i="3" s="1"/>
  <c r="N30" i="3" s="1"/>
  <c r="L30" i="3" s="1"/>
  <c r="J30" i="3" s="1"/>
  <c r="H30" i="3" s="1"/>
  <c r="F30" i="3" s="1"/>
  <c r="AV30" i="3" s="1" a="1"/>
  <c r="AV30" i="3" s="1"/>
  <c r="Z29" i="3"/>
  <c r="V29" i="3"/>
  <c r="T29" i="3" s="1"/>
  <c r="R29" i="3" s="1"/>
  <c r="P29" i="3" s="1"/>
  <c r="N29" i="3" s="1"/>
  <c r="L29" i="3" s="1"/>
  <c r="J29" i="3" s="1"/>
  <c r="H29" i="3" s="1"/>
  <c r="F29" i="3" s="1"/>
  <c r="AV29" i="3" s="1" a="1"/>
  <c r="AV29" i="3" s="1"/>
  <c r="Z28" i="3"/>
  <c r="V28" i="3"/>
  <c r="T28" i="3" s="1"/>
  <c r="R28" i="3" s="1"/>
  <c r="P28" i="3" s="1"/>
  <c r="N28" i="3" s="1"/>
  <c r="L28" i="3" s="1"/>
  <c r="J28" i="3" s="1"/>
  <c r="H28" i="3" s="1"/>
  <c r="F28" i="3" s="1"/>
  <c r="AV28" i="3" s="1" a="1"/>
  <c r="AV28" i="3" s="1"/>
  <c r="Z27" i="3"/>
  <c r="V27" i="3"/>
  <c r="T27" i="3" s="1"/>
  <c r="R27" i="3" s="1"/>
  <c r="P27" i="3" s="1"/>
  <c r="N27" i="3" s="1"/>
  <c r="L27" i="3" s="1"/>
  <c r="J27" i="3" s="1"/>
  <c r="H27" i="3" s="1"/>
  <c r="F27" i="3" s="1"/>
  <c r="Z25" i="3"/>
  <c r="V25" i="3"/>
  <c r="T25" i="3" s="1"/>
  <c r="R25" i="3" s="1"/>
  <c r="P25" i="3" s="1"/>
  <c r="N25" i="3" s="1"/>
  <c r="L25" i="3" s="1"/>
  <c r="J25" i="3" s="1"/>
  <c r="H25" i="3" s="1"/>
  <c r="F25" i="3" s="1"/>
  <c r="AV25" i="3" s="1" a="1"/>
  <c r="AV25" i="3" s="1"/>
  <c r="Z22" i="3"/>
  <c r="V22" i="3"/>
  <c r="T22" i="3" s="1"/>
  <c r="R22" i="3" s="1"/>
  <c r="P22" i="3" s="1"/>
  <c r="N22" i="3" s="1"/>
  <c r="L22" i="3" s="1"/>
  <c r="J22" i="3" s="1"/>
  <c r="H22" i="3" s="1"/>
  <c r="F22" i="3" s="1"/>
  <c r="Z20" i="3"/>
  <c r="V20" i="3"/>
  <c r="T20" i="3" s="1"/>
  <c r="R20" i="3" s="1"/>
  <c r="P20" i="3" s="1"/>
  <c r="N20" i="3" s="1"/>
  <c r="L20" i="3" s="1"/>
  <c r="J20" i="3" s="1"/>
  <c r="H20" i="3" s="1"/>
  <c r="F20" i="3" s="1"/>
  <c r="AV20" i="3" s="1" a="1"/>
  <c r="AV20" i="3" s="1"/>
  <c r="Z19" i="3"/>
  <c r="V19" i="3"/>
  <c r="T19" i="3" s="1"/>
  <c r="R19" i="3" s="1"/>
  <c r="P19" i="3" s="1"/>
  <c r="N19" i="3" s="1"/>
  <c r="L19" i="3" s="1"/>
  <c r="J19" i="3" s="1"/>
  <c r="H19" i="3" s="1"/>
  <c r="F19" i="3" s="1"/>
  <c r="AV19" i="3" s="1" a="1"/>
  <c r="AV19" i="3" s="1"/>
  <c r="Z18" i="3"/>
  <c r="V18" i="3"/>
  <c r="T18" i="3" s="1"/>
  <c r="R18" i="3" s="1"/>
  <c r="P18" i="3" s="1"/>
  <c r="N18" i="3" s="1"/>
  <c r="L18" i="3" s="1"/>
  <c r="J18" i="3" s="1"/>
  <c r="H18" i="3" s="1"/>
  <c r="F18" i="3" s="1"/>
  <c r="Z53" i="3"/>
  <c r="Z52" i="3"/>
  <c r="Z51" i="3"/>
  <c r="Z50" i="3"/>
  <c r="Z49" i="3"/>
  <c r="AV49" i="3" s="1" a="1"/>
  <c r="AV49" i="3" s="1"/>
  <c r="AB49" i="3" s="1"/>
  <c r="Z46" i="3"/>
  <c r="AV46" i="3" s="1" a="1"/>
  <c r="AV46" i="3" s="1"/>
  <c r="AB46" i="3" s="1"/>
  <c r="Z11" i="3"/>
  <c r="V11" i="3"/>
  <c r="T11" i="3" s="1"/>
  <c r="R11" i="3" s="1"/>
  <c r="P11" i="3" s="1"/>
  <c r="N11" i="3" s="1"/>
  <c r="L11" i="3" s="1"/>
  <c r="J11" i="3" s="1"/>
  <c r="H11" i="3" s="1"/>
  <c r="F11" i="3" s="1"/>
  <c r="AV11" i="3" s="1" a="1"/>
  <c r="AV11" i="3" s="1"/>
  <c r="AR52" i="3"/>
  <c r="AB52" i="3" s="1"/>
  <c r="AR50" i="3"/>
  <c r="AB50" i="3" s="1"/>
  <c r="AJ56" i="3"/>
  <c r="AI56" i="3"/>
  <c r="X2" i="3" s="1"/>
  <c r="AR55" i="3"/>
  <c r="AR54" i="3"/>
  <c r="AR53" i="3"/>
  <c r="AB53" i="3" s="1"/>
  <c r="AR51" i="3"/>
  <c r="AB51" i="3" s="1"/>
  <c r="AR49" i="3"/>
  <c r="AO49" i="3"/>
  <c r="AR48" i="3"/>
  <c r="AO48" i="3"/>
  <c r="AR47" i="3"/>
  <c r="AO47" i="3"/>
  <c r="AO46" i="3"/>
  <c r="AR46" i="3"/>
  <c r="AR45" i="3"/>
  <c r="AO45" i="3"/>
  <c r="AO44" i="3"/>
  <c r="AR44" i="3"/>
  <c r="AO42" i="3"/>
  <c r="AR42" i="3"/>
  <c r="AO41" i="3"/>
  <c r="AR41" i="3"/>
  <c r="AR38" i="3"/>
  <c r="AR37" i="3"/>
  <c r="AR36" i="3"/>
  <c r="AR35" i="3"/>
  <c r="AR34" i="3"/>
  <c r="AR33" i="3"/>
  <c r="AR32" i="3"/>
  <c r="AR31" i="3"/>
  <c r="AR30" i="3"/>
  <c r="AR29" i="3"/>
  <c r="AR28" i="3"/>
  <c r="AO27" i="3"/>
  <c r="AR27" i="3"/>
  <c r="AR25" i="3"/>
  <c r="AR24" i="3"/>
  <c r="AR23" i="3"/>
  <c r="AR22" i="3"/>
  <c r="AO22" i="3"/>
  <c r="AR20" i="3"/>
  <c r="AR19" i="3"/>
  <c r="AR18" i="3"/>
  <c r="AO18" i="3"/>
  <c r="AO17" i="3"/>
  <c r="AR17" i="3"/>
  <c r="AR16" i="3"/>
  <c r="AO16" i="3"/>
  <c r="AR13" i="3"/>
  <c r="AO13" i="3"/>
  <c r="AR12" i="3"/>
  <c r="AO12" i="3"/>
  <c r="AR11" i="3"/>
  <c r="AO11" i="3"/>
  <c r="D4" i="4" a="1"/>
  <c r="Z35" i="14" l="1"/>
  <c r="Z16" i="14"/>
  <c r="V37" i="14"/>
  <c r="T37" i="14" s="1"/>
  <c r="R37" i="14" s="1"/>
  <c r="P37" i="14" s="1"/>
  <c r="N37" i="14" s="1"/>
  <c r="L37" i="14" s="1"/>
  <c r="J37" i="14" s="1"/>
  <c r="H37" i="14" s="1"/>
  <c r="F37" i="14" s="1"/>
  <c r="AV18" i="3" a="1"/>
  <c r="AV18" i="3" s="1"/>
  <c r="AB18" i="3" s="1"/>
  <c r="AB40" i="9"/>
  <c r="V58" i="9"/>
  <c r="T58" i="9" s="1"/>
  <c r="R58" i="9" s="1"/>
  <c r="P58" i="9" s="1"/>
  <c r="N58" i="9" s="1"/>
  <c r="L58" i="9" s="1"/>
  <c r="J58" i="9" s="1"/>
  <c r="H58" i="9" s="1"/>
  <c r="F58" i="9" s="1"/>
  <c r="AV28" i="5" a="1"/>
  <c r="AV28" i="5" s="1"/>
  <c r="Z26" i="5"/>
  <c r="AV26" i="5" s="1" a="1"/>
  <c r="AV26" i="5" s="1"/>
  <c r="AB26" i="5" s="1"/>
  <c r="Z29" i="5"/>
  <c r="AV23" i="5" a="1"/>
  <c r="AV23" i="5" s="1"/>
  <c r="AV16" i="3" a="1"/>
  <c r="AV16" i="3" s="1"/>
  <c r="AV42" i="3" a="1"/>
  <c r="AV42" i="3" s="1"/>
  <c r="AB42" i="3" s="1"/>
  <c r="AV27" i="3" a="1"/>
  <c r="AV27" i="3" s="1"/>
  <c r="AB27" i="3" s="1"/>
  <c r="AV12" i="3" a="1"/>
  <c r="AV12" i="3" s="1"/>
  <c r="AB12" i="3" s="1"/>
  <c r="AV47" i="3" a="1"/>
  <c r="AV47" i="3" s="1"/>
  <c r="AB47" i="3" s="1"/>
  <c r="BH2" i="15" a="1"/>
  <c r="BH2" i="15" s="1"/>
  <c r="AR43" i="15"/>
  <c r="AB43" i="15" s="1"/>
  <c r="AV22" i="3" a="1"/>
  <c r="AV22" i="3" s="1"/>
  <c r="AB22" i="3" s="1"/>
  <c r="AV48" i="3" a="1"/>
  <c r="AV48" i="3" s="1"/>
  <c r="AB48" i="3" s="1"/>
  <c r="AV24" i="3" a="1"/>
  <c r="AV24" i="3" s="1"/>
  <c r="AB24" i="3" s="1"/>
  <c r="AV41" i="3" a="1"/>
  <c r="AV41" i="3" s="1"/>
  <c r="AB41" i="3" s="1"/>
  <c r="AV13" i="3" a="1"/>
  <c r="AV13" i="3" s="1"/>
  <c r="AB13" i="3" s="1"/>
  <c r="AV44" i="3" a="1"/>
  <c r="AV44" i="3" s="1"/>
  <c r="AB44" i="3" s="1"/>
  <c r="AV17" i="3" a="1"/>
  <c r="AV17" i="3" s="1"/>
  <c r="AB17" i="3" s="1"/>
  <c r="AV45" i="3" a="1"/>
  <c r="AV45" i="3" s="1"/>
  <c r="AB45" i="3" s="1"/>
  <c r="AV23" i="3" a="1"/>
  <c r="AV23" i="3" s="1"/>
  <c r="AB23" i="3" s="1"/>
  <c r="AR24" i="15"/>
  <c r="AB24" i="15" s="1"/>
  <c r="Z24" i="15"/>
  <c r="V49" i="18"/>
  <c r="T49" i="18" s="1"/>
  <c r="R49" i="18" s="1"/>
  <c r="P49" i="18" s="1"/>
  <c r="N49" i="18" s="1"/>
  <c r="L49" i="18" s="1"/>
  <c r="J49" i="18" s="1"/>
  <c r="H49" i="18" s="1"/>
  <c r="F49" i="18" s="1"/>
  <c r="AV49" i="18" s="1" a="1"/>
  <c r="AV49" i="18" s="1"/>
  <c r="AV14" i="6" a="1"/>
  <c r="AV14" i="6" s="1"/>
  <c r="AB14" i="6" s="1"/>
  <c r="V50" i="18"/>
  <c r="T50" i="18" s="1"/>
  <c r="R50" i="18" s="1"/>
  <c r="P50" i="18" s="1"/>
  <c r="N50" i="18" s="1"/>
  <c r="L50" i="18" s="1"/>
  <c r="J50" i="18" s="1"/>
  <c r="H50" i="18" s="1"/>
  <c r="F50" i="18" s="1"/>
  <c r="AV50" i="18" s="1" a="1"/>
  <c r="AV50" i="18" s="1"/>
  <c r="AV11" i="6" a="1"/>
  <c r="AV11" i="6" s="1"/>
  <c r="AV15" i="5" a="1"/>
  <c r="AV15" i="5" s="1"/>
  <c r="AB15" i="5" s="1"/>
  <c r="V58" i="15"/>
  <c r="T58" i="15" s="1"/>
  <c r="R58" i="15" s="1"/>
  <c r="P58" i="15" s="1"/>
  <c r="N58" i="15" s="1"/>
  <c r="L58" i="15" s="1"/>
  <c r="J58" i="15" s="1"/>
  <c r="H58" i="15" s="1"/>
  <c r="F58" i="15" s="1"/>
  <c r="Z59" i="9"/>
  <c r="AB38" i="12"/>
  <c r="AN38" i="14"/>
  <c r="X38" i="14" s="1"/>
  <c r="AB37" i="14"/>
  <c r="X59" i="15"/>
  <c r="AR59" i="15"/>
  <c r="AB59" i="15" s="1"/>
  <c r="Z48" i="14"/>
  <c r="AV11" i="5" a="1"/>
  <c r="AV11" i="5" s="1"/>
  <c r="AB11" i="5" s="1"/>
  <c r="AB17" i="13"/>
  <c r="V16" i="15"/>
  <c r="T16" i="15" s="1"/>
  <c r="R16" i="15" s="1"/>
  <c r="P16" i="15" s="1"/>
  <c r="N16" i="15" s="1"/>
  <c r="L16" i="15" s="1"/>
  <c r="J16" i="15" s="1"/>
  <c r="H16" i="15" s="1"/>
  <c r="F16" i="15" s="1"/>
  <c r="X29" i="15"/>
  <c r="V29" i="15" s="1"/>
  <c r="T29" i="15" s="1"/>
  <c r="R29" i="15" s="1"/>
  <c r="P29" i="15" s="1"/>
  <c r="N29" i="15" s="1"/>
  <c r="L29" i="15" s="1"/>
  <c r="J29" i="15" s="1"/>
  <c r="H29" i="15" s="1"/>
  <c r="F29" i="15" s="1"/>
  <c r="AV17" i="6" a="1"/>
  <c r="AV17" i="6" s="1"/>
  <c r="AR16" i="14"/>
  <c r="AB45" i="18"/>
  <c r="Z54" i="18"/>
  <c r="AR27" i="14"/>
  <c r="AB27" i="14" s="1"/>
  <c r="AB17" i="18"/>
  <c r="AR37" i="14"/>
  <c r="AB37" i="17"/>
  <c r="AB39" i="9"/>
  <c r="AU59" i="15"/>
  <c r="AO59" i="15" s="1"/>
  <c r="A13" i="8" a="1"/>
  <c r="A13" i="8" s="1"/>
  <c r="D4" i="4"/>
  <c r="BH6" i="15" a="1"/>
  <c r="BH6" i="15" s="1"/>
  <c r="Y3" i="14"/>
  <c r="Z13" i="16"/>
  <c r="V13" i="16"/>
  <c r="T13" i="16" s="1"/>
  <c r="R13" i="16" s="1"/>
  <c r="P13" i="16" s="1"/>
  <c r="N13" i="16" s="1"/>
  <c r="L13" i="16" s="1"/>
  <c r="J13" i="16" s="1"/>
  <c r="H13" i="16" s="1"/>
  <c r="F13" i="16" s="1"/>
  <c r="Z12" i="16"/>
  <c r="V12" i="16"/>
  <c r="T12" i="16" s="1"/>
  <c r="R12" i="16" s="1"/>
  <c r="P12" i="16" s="1"/>
  <c r="N12" i="16" s="1"/>
  <c r="L12" i="16" s="1"/>
  <c r="J12" i="16" s="1"/>
  <c r="H12" i="16" s="1"/>
  <c r="F12" i="16" s="1"/>
  <c r="AB12" i="16" s="1"/>
  <c r="AB32" i="17"/>
  <c r="X19" i="6"/>
  <c r="AR19" i="6"/>
  <c r="X20" i="6"/>
  <c r="AR20" i="6"/>
  <c r="AB46" i="18"/>
  <c r="AB34" i="18"/>
  <c r="AU34" i="18"/>
  <c r="AS34" i="18" s="1"/>
  <c r="AU32" i="18"/>
  <c r="AS32" i="18" s="1"/>
  <c r="AB32" i="18"/>
  <c r="AB50" i="18"/>
  <c r="AU50" i="18"/>
  <c r="AS50" i="18" s="1"/>
  <c r="AB33" i="18"/>
  <c r="AU33" i="18"/>
  <c r="AO33" i="18" s="1"/>
  <c r="AB31" i="18"/>
  <c r="AU31" i="18"/>
  <c r="AO31" i="18" s="1"/>
  <c r="Y2" i="3"/>
  <c r="Y3" i="3"/>
  <c r="AB29" i="18"/>
  <c r="AU29" i="18"/>
  <c r="AO29" i="18" s="1"/>
  <c r="AB30" i="18"/>
  <c r="AU30" i="18"/>
  <c r="AO30" i="18" s="1"/>
  <c r="AB28" i="18"/>
  <c r="AU28" i="18"/>
  <c r="AO28" i="18" s="1"/>
  <c r="AB27" i="18"/>
  <c r="AU27" i="18"/>
  <c r="AO27" i="18" s="1"/>
  <c r="AU38" i="6"/>
  <c r="AO38" i="6" s="1"/>
  <c r="AV38" i="6" a="1"/>
  <c r="AV38" i="6" s="1"/>
  <c r="AB38" i="6" s="1"/>
  <c r="AB23" i="12"/>
  <c r="AB13" i="8"/>
  <c r="AU13" i="8"/>
  <c r="AB37" i="10"/>
  <c r="AB39" i="10"/>
  <c r="AN17" i="14"/>
  <c r="AV22" i="5" a="1"/>
  <c r="AV22" i="5" s="1"/>
  <c r="AB22" i="5" s="1"/>
  <c r="AN39" i="14"/>
  <c r="AU39" i="14" s="1"/>
  <c r="AO39" i="14" s="1"/>
  <c r="AM40" i="14"/>
  <c r="AM29" i="14"/>
  <c r="AN28" i="14"/>
  <c r="V27" i="14"/>
  <c r="T27" i="14" s="1"/>
  <c r="R27" i="14" s="1"/>
  <c r="P27" i="14" s="1"/>
  <c r="N27" i="14" s="1"/>
  <c r="L27" i="14" s="1"/>
  <c r="J27" i="14" s="1"/>
  <c r="H27" i="14" s="1"/>
  <c r="F27" i="14" s="1"/>
  <c r="AU27" i="14" s="1"/>
  <c r="Z27" i="14"/>
  <c r="X60" i="15"/>
  <c r="AR60" i="15"/>
  <c r="AN61" i="15"/>
  <c r="AU61" i="15" s="1"/>
  <c r="AM62" i="15"/>
  <c r="AM45" i="15"/>
  <c r="AN44" i="15"/>
  <c r="AN30" i="15"/>
  <c r="AM31" i="15"/>
  <c r="AN25" i="15"/>
  <c r="AU25" i="15" s="1"/>
  <c r="AM26" i="15"/>
  <c r="AN26" i="15" s="1"/>
  <c r="AU26" i="15" s="1"/>
  <c r="BH4" i="15" a="1"/>
  <c r="BH4" i="15" s="1"/>
  <c r="AV11" i="15" a="1"/>
  <c r="AV11" i="15" s="1"/>
  <c r="BH3" i="15" a="1"/>
  <c r="BH3" i="15" s="1"/>
  <c r="BH1" i="15" a="1"/>
  <c r="BH1" i="15" s="1"/>
  <c r="AB26" i="14"/>
  <c r="AS15" i="12"/>
  <c r="AS14" i="12"/>
  <c r="Z19" i="12"/>
  <c r="V19" i="12"/>
  <c r="T19" i="12" s="1"/>
  <c r="R19" i="12" s="1"/>
  <c r="P19" i="12" s="1"/>
  <c r="N19" i="12" s="1"/>
  <c r="L19" i="12" s="1"/>
  <c r="J19" i="12" s="1"/>
  <c r="H19" i="12" s="1"/>
  <c r="F19" i="12" s="1"/>
  <c r="A42" i="9" a="1"/>
  <c r="A42" i="9" s="1"/>
  <c r="A21" i="9" a="1"/>
  <c r="A21" i="9" s="1"/>
  <c r="A46" i="9" a="1"/>
  <c r="A46" i="9" s="1"/>
  <c r="A45" i="9" a="1"/>
  <c r="A45" i="9" s="1"/>
  <c r="A44" i="9" a="1"/>
  <c r="A44" i="9" s="1"/>
  <c r="A43" i="9" a="1"/>
  <c r="A43" i="9" s="1"/>
  <c r="A47" i="9" a="1"/>
  <c r="A47" i="9" s="1"/>
  <c r="AB41" i="9"/>
  <c r="AB57" i="9"/>
  <c r="AS42" i="9"/>
  <c r="AB42" i="9"/>
  <c r="Z44" i="9"/>
  <c r="V44" i="9"/>
  <c r="T44" i="9" s="1"/>
  <c r="R44" i="9" s="1"/>
  <c r="P44" i="9" s="1"/>
  <c r="N44" i="9" s="1"/>
  <c r="L44" i="9" s="1"/>
  <c r="J44" i="9" s="1"/>
  <c r="H44" i="9" s="1"/>
  <c r="F44" i="9" s="1"/>
  <c r="AO43" i="9"/>
  <c r="AS43" i="9"/>
  <c r="AS44" i="9"/>
  <c r="AB34" i="9"/>
  <c r="AS45" i="9"/>
  <c r="AS47" i="9"/>
  <c r="AS46" i="9"/>
  <c r="AS21" i="9"/>
  <c r="AB28" i="9"/>
  <c r="AB33" i="17"/>
  <c r="AB35" i="17"/>
  <c r="AU35" i="17"/>
  <c r="AO35" i="17" s="1"/>
  <c r="AB20" i="17"/>
  <c r="AU20" i="17"/>
  <c r="AO20" i="17" s="1"/>
  <c r="Z20" i="13"/>
  <c r="V20" i="13"/>
  <c r="T20" i="13" s="1"/>
  <c r="R20" i="13" s="1"/>
  <c r="P20" i="13" s="1"/>
  <c r="N20" i="13" s="1"/>
  <c r="L20" i="13" s="1"/>
  <c r="J20" i="13" s="1"/>
  <c r="H20" i="13" s="1"/>
  <c r="F20" i="13" s="1"/>
  <c r="AB17" i="7"/>
  <c r="AB36" i="17"/>
  <c r="AU36" i="17"/>
  <c r="AB53" i="14"/>
  <c r="AU35" i="14"/>
  <c r="AB35" i="14"/>
  <c r="AB25" i="14"/>
  <c r="AU25" i="14"/>
  <c r="AU14" i="14"/>
  <c r="AB14" i="14"/>
  <c r="AO60" i="15"/>
  <c r="AB58" i="15"/>
  <c r="AU58" i="15"/>
  <c r="AB57" i="15"/>
  <c r="AU57" i="15"/>
  <c r="AB56" i="15"/>
  <c r="AU56" i="15"/>
  <c r="AB55" i="15"/>
  <c r="AU55" i="15"/>
  <c r="AB52" i="15"/>
  <c r="V18" i="15"/>
  <c r="T18" i="15" s="1"/>
  <c r="R18" i="15" s="1"/>
  <c r="P18" i="15" s="1"/>
  <c r="N18" i="15" s="1"/>
  <c r="L18" i="15" s="1"/>
  <c r="J18" i="15" s="1"/>
  <c r="H18" i="15" s="1"/>
  <c r="F18" i="15" s="1"/>
  <c r="Z18" i="15"/>
  <c r="AB20" i="15"/>
  <c r="AU20" i="15"/>
  <c r="AB14" i="15"/>
  <c r="AU14" i="15"/>
  <c r="AB42" i="15"/>
  <c r="AU42" i="15"/>
  <c r="AB16" i="15"/>
  <c r="AU16" i="15"/>
  <c r="AB29" i="12"/>
  <c r="AU29" i="12"/>
  <c r="AB13" i="16"/>
  <c r="AU13" i="16"/>
  <c r="AB20" i="5"/>
  <c r="AU20" i="5"/>
  <c r="V46" i="14"/>
  <c r="T46" i="14" s="1"/>
  <c r="R46" i="14" s="1"/>
  <c r="P46" i="14" s="1"/>
  <c r="N46" i="14" s="1"/>
  <c r="L46" i="14" s="1"/>
  <c r="J46" i="14" s="1"/>
  <c r="H46" i="14" s="1"/>
  <c r="F46" i="14" s="1"/>
  <c r="Z46" i="14"/>
  <c r="AU48" i="14"/>
  <c r="AB48" i="14"/>
  <c r="AU44" i="17"/>
  <c r="AB44" i="17"/>
  <c r="AB22" i="7"/>
  <c r="AU21" i="7"/>
  <c r="AB21" i="7"/>
  <c r="AB19" i="7"/>
  <c r="AB15" i="7"/>
  <c r="AU15" i="7"/>
  <c r="Z18" i="13"/>
  <c r="V18" i="13"/>
  <c r="T18" i="13" s="1"/>
  <c r="R18" i="13" s="1"/>
  <c r="P18" i="13" s="1"/>
  <c r="N18" i="13" s="1"/>
  <c r="L18" i="13" s="1"/>
  <c r="J18" i="13" s="1"/>
  <c r="H18" i="13" s="1"/>
  <c r="F18" i="13" s="1"/>
  <c r="AB17" i="9"/>
  <c r="AB23" i="9"/>
  <c r="AU23" i="9"/>
  <c r="AB20" i="9"/>
  <c r="AB56" i="9"/>
  <c r="AB24" i="9"/>
  <c r="AB32" i="9"/>
  <c r="AB50" i="9"/>
  <c r="AU50" i="9"/>
  <c r="AU37" i="9"/>
  <c r="AB37" i="9"/>
  <c r="AB21" i="10"/>
  <c r="AB19" i="10"/>
  <c r="AB40" i="10"/>
  <c r="AB38" i="10"/>
  <c r="AB37" i="11"/>
  <c r="AB40" i="11"/>
  <c r="AB32" i="11"/>
  <c r="AU32" i="11"/>
  <c r="AB15" i="8"/>
  <c r="AB39" i="12"/>
  <c r="AB26" i="12"/>
  <c r="AB24" i="6"/>
  <c r="V16" i="18"/>
  <c r="T16" i="18" s="1"/>
  <c r="R16" i="18" s="1"/>
  <c r="P16" i="18" s="1"/>
  <c r="N16" i="18" s="1"/>
  <c r="L16" i="18" s="1"/>
  <c r="J16" i="18" s="1"/>
  <c r="H16" i="18" s="1"/>
  <c r="F16" i="18" s="1"/>
  <c r="AV16" i="18" s="1" a="1"/>
  <c r="AV16" i="18" s="1"/>
  <c r="AD3" i="18" s="1"/>
  <c r="Z16" i="18"/>
  <c r="V19" i="18"/>
  <c r="T19" i="18" s="1"/>
  <c r="R19" i="18" s="1"/>
  <c r="P19" i="18" s="1"/>
  <c r="N19" i="18" s="1"/>
  <c r="L19" i="18" s="1"/>
  <c r="J19" i="18" s="1"/>
  <c r="H19" i="18" s="1"/>
  <c r="F19" i="18" s="1"/>
  <c r="AV19" i="18" s="1" a="1"/>
  <c r="AV19" i="18" s="1"/>
  <c r="Z19" i="18"/>
  <c r="AU55" i="18"/>
  <c r="AB55" i="18"/>
  <c r="AB54" i="18"/>
  <c r="AU54" i="18"/>
  <c r="V53" i="18"/>
  <c r="T53" i="18" s="1"/>
  <c r="R53" i="18" s="1"/>
  <c r="P53" i="18" s="1"/>
  <c r="N53" i="18" s="1"/>
  <c r="L53" i="18" s="1"/>
  <c r="J53" i="18" s="1"/>
  <c r="H53" i="18" s="1"/>
  <c r="F53" i="18" s="1"/>
  <c r="AV53" i="18" s="1" a="1"/>
  <c r="AV53" i="18" s="1"/>
  <c r="Z53" i="18"/>
  <c r="AB52" i="18"/>
  <c r="AU52" i="18"/>
  <c r="AB51" i="18"/>
  <c r="AU51" i="18"/>
  <c r="AO50" i="18"/>
  <c r="AB49" i="18"/>
  <c r="AU49" i="18"/>
  <c r="AB48" i="18"/>
  <c r="AU48" i="18"/>
  <c r="AB47" i="18"/>
  <c r="AU47" i="18"/>
  <c r="AB44" i="18"/>
  <c r="AU44" i="18"/>
  <c r="AB42" i="18"/>
  <c r="AU42" i="18"/>
  <c r="V41" i="18"/>
  <c r="T41" i="18" s="1"/>
  <c r="R41" i="18" s="1"/>
  <c r="P41" i="18" s="1"/>
  <c r="N41" i="18" s="1"/>
  <c r="L41" i="18" s="1"/>
  <c r="J41" i="18" s="1"/>
  <c r="H41" i="18" s="1"/>
  <c r="F41" i="18" s="1"/>
  <c r="AV41" i="18" s="1" a="1"/>
  <c r="AV41" i="18" s="1"/>
  <c r="Z41" i="18"/>
  <c r="AB39" i="18"/>
  <c r="AU39" i="18"/>
  <c r="AB38" i="18"/>
  <c r="AU38" i="18"/>
  <c r="AB37" i="18"/>
  <c r="AU37" i="18"/>
  <c r="AB36" i="18"/>
  <c r="AU36" i="18"/>
  <c r="AU35" i="18"/>
  <c r="AB35" i="18"/>
  <c r="AB25" i="18"/>
  <c r="AU25" i="18"/>
  <c r="AU24" i="18"/>
  <c r="AB24" i="18"/>
  <c r="AB23" i="18"/>
  <c r="AU23" i="18"/>
  <c r="AB13" i="18"/>
  <c r="AU13" i="18"/>
  <c r="AU11" i="18"/>
  <c r="AB11" i="18"/>
  <c r="AS18" i="18"/>
  <c r="AS17" i="18"/>
  <c r="AS46" i="18"/>
  <c r="AS45" i="18"/>
  <c r="AS31" i="18"/>
  <c r="AS33" i="18"/>
  <c r="AS29" i="18"/>
  <c r="AS22" i="18"/>
  <c r="AS20" i="18"/>
  <c r="AS12" i="18"/>
  <c r="V33" i="6"/>
  <c r="T33" i="6" s="1"/>
  <c r="R33" i="6" s="1"/>
  <c r="P33" i="6" s="1"/>
  <c r="N33" i="6" s="1"/>
  <c r="L33" i="6" s="1"/>
  <c r="J33" i="6" s="1"/>
  <c r="H33" i="6" s="1"/>
  <c r="F33" i="6" s="1"/>
  <c r="Z33" i="6"/>
  <c r="AU32" i="6"/>
  <c r="AB32" i="6"/>
  <c r="AU29" i="6"/>
  <c r="AB29" i="6"/>
  <c r="AB22" i="6"/>
  <c r="AU22" i="6"/>
  <c r="AU18" i="6"/>
  <c r="AB18" i="6"/>
  <c r="AB11" i="6"/>
  <c r="AU11" i="6"/>
  <c r="AS14" i="6"/>
  <c r="AS16" i="6"/>
  <c r="AB35" i="6"/>
  <c r="AU35" i="6"/>
  <c r="AB25" i="6"/>
  <c r="AU25" i="6"/>
  <c r="AB23" i="6"/>
  <c r="AU23" i="6"/>
  <c r="AB12" i="6"/>
  <c r="AU12" i="6"/>
  <c r="AB36" i="6"/>
  <c r="AU36" i="6"/>
  <c r="AU30" i="6"/>
  <c r="AB30" i="6"/>
  <c r="AB27" i="6"/>
  <c r="AU27" i="6"/>
  <c r="AB17" i="6"/>
  <c r="AU17" i="6"/>
  <c r="AB37" i="6"/>
  <c r="AU37" i="6"/>
  <c r="AB35" i="12"/>
  <c r="AU35" i="12"/>
  <c r="AB34" i="12"/>
  <c r="AU34" i="12"/>
  <c r="AB25" i="12"/>
  <c r="AU25" i="12"/>
  <c r="Z20" i="12"/>
  <c r="V20" i="12"/>
  <c r="T20" i="12" s="1"/>
  <c r="R20" i="12" s="1"/>
  <c r="P20" i="12" s="1"/>
  <c r="N20" i="12" s="1"/>
  <c r="L20" i="12" s="1"/>
  <c r="J20" i="12" s="1"/>
  <c r="H20" i="12" s="1"/>
  <c r="F20" i="12" s="1"/>
  <c r="AU19" i="12"/>
  <c r="AB19" i="12"/>
  <c r="AU18" i="12"/>
  <c r="AB18" i="12"/>
  <c r="AB17" i="12"/>
  <c r="AU17" i="12"/>
  <c r="V13" i="12"/>
  <c r="T13" i="12" s="1"/>
  <c r="R13" i="12" s="1"/>
  <c r="P13" i="12" s="1"/>
  <c r="N13" i="12" s="1"/>
  <c r="L13" i="12" s="1"/>
  <c r="J13" i="12" s="1"/>
  <c r="H13" i="12" s="1"/>
  <c r="F13" i="12" s="1"/>
  <c r="Z13" i="12"/>
  <c r="AU12" i="12"/>
  <c r="AB12" i="12"/>
  <c r="AU11" i="12"/>
  <c r="AB11" i="12"/>
  <c r="AS22" i="12"/>
  <c r="AU36" i="12"/>
  <c r="AB36" i="12"/>
  <c r="AU33" i="12"/>
  <c r="AB33" i="12"/>
  <c r="AU32" i="12"/>
  <c r="AB32" i="12"/>
  <c r="AU31" i="12"/>
  <c r="AB31" i="12"/>
  <c r="AB12" i="8"/>
  <c r="AU12" i="8"/>
  <c r="AB11" i="8"/>
  <c r="AU11" i="8"/>
  <c r="A15" i="8" a="1"/>
  <c r="A15" i="8" s="1"/>
  <c r="A17" i="8" a="1"/>
  <c r="A17" i="8" s="1"/>
  <c r="AS15" i="8"/>
  <c r="AB17" i="8"/>
  <c r="AU17" i="8"/>
  <c r="Z29" i="11"/>
  <c r="V29" i="11"/>
  <c r="T29" i="11" s="1"/>
  <c r="R29" i="11" s="1"/>
  <c r="P29" i="11" s="1"/>
  <c r="N29" i="11" s="1"/>
  <c r="L29" i="11" s="1"/>
  <c r="J29" i="11" s="1"/>
  <c r="H29" i="11" s="1"/>
  <c r="F29" i="11" s="1"/>
  <c r="AU28" i="11"/>
  <c r="AB28" i="11"/>
  <c r="AU18" i="11"/>
  <c r="AB18" i="11"/>
  <c r="AB17" i="11"/>
  <c r="AU17" i="11"/>
  <c r="AB16" i="11"/>
  <c r="AU16" i="11"/>
  <c r="AB14" i="11"/>
  <c r="AU14" i="11"/>
  <c r="AB12" i="11"/>
  <c r="AU12" i="11"/>
  <c r="AB26" i="11"/>
  <c r="AU26" i="11"/>
  <c r="AB25" i="11"/>
  <c r="AU25" i="11"/>
  <c r="AB23" i="11"/>
  <c r="AU23" i="11"/>
  <c r="AB22" i="11"/>
  <c r="AU22" i="11"/>
  <c r="AB21" i="11"/>
  <c r="AU21" i="11"/>
  <c r="A16" i="11" a="1"/>
  <c r="A16" i="11" s="1"/>
  <c r="A18" i="11" a="1"/>
  <c r="A18" i="11" s="1"/>
  <c r="A22" i="11" a="1"/>
  <c r="A22" i="11" s="1"/>
  <c r="A25" i="11" a="1"/>
  <c r="A25" i="11" s="1"/>
  <c r="A29" i="11" a="1"/>
  <c r="A29" i="11" s="1"/>
  <c r="A34" i="11" a="1"/>
  <c r="A34" i="11" s="1"/>
  <c r="A39" i="11" a="1"/>
  <c r="A39" i="11" s="1"/>
  <c r="A32" i="11" a="1"/>
  <c r="A32" i="11" s="1"/>
  <c r="A36" i="11" a="1"/>
  <c r="A36" i="11" s="1"/>
  <c r="A38" i="11" a="1"/>
  <c r="A38" i="11" s="1"/>
  <c r="A40" i="11" a="1"/>
  <c r="A40" i="11" s="1"/>
  <c r="A12" i="11" a="1"/>
  <c r="A12" i="11" s="1"/>
  <c r="A17" i="11" a="1"/>
  <c r="A17" i="11" s="1"/>
  <c r="A11" i="11" a="1"/>
  <c r="A11" i="11" s="1"/>
  <c r="A14" i="11" a="1"/>
  <c r="A14" i="11" s="1"/>
  <c r="AU11" i="11"/>
  <c r="AB11" i="11"/>
  <c r="A21" i="11" a="1"/>
  <c r="A21" i="11" s="1"/>
  <c r="A23" i="11" a="1"/>
  <c r="A23" i="11" s="1"/>
  <c r="A19" i="11" a="1"/>
  <c r="A19" i="11" s="1"/>
  <c r="A26" i="11" a="1"/>
  <c r="A26" i="11" s="1"/>
  <c r="A28" i="11" a="1"/>
  <c r="A28" i="11" s="1"/>
  <c r="A31" i="11" a="1"/>
  <c r="A31" i="11" s="1"/>
  <c r="A33" i="11" a="1"/>
  <c r="A33" i="11" s="1"/>
  <c r="A35" i="11" a="1"/>
  <c r="A35" i="11" s="1"/>
  <c r="A37" i="11" a="1"/>
  <c r="A37" i="11" s="1"/>
  <c r="AU36" i="11"/>
  <c r="AB36" i="11"/>
  <c r="AU35" i="11"/>
  <c r="AB35" i="11"/>
  <c r="AU34" i="11"/>
  <c r="AB34" i="11"/>
  <c r="AU33" i="11"/>
  <c r="AB33" i="11"/>
  <c r="AU31" i="11"/>
  <c r="AB31" i="11"/>
  <c r="AU17" i="10"/>
  <c r="AB17" i="10"/>
  <c r="AB16" i="10"/>
  <c r="AU16" i="10"/>
  <c r="AU11" i="10"/>
  <c r="A17" i="10" a="1"/>
  <c r="A17" i="10" s="1"/>
  <c r="A16" i="10" a="1"/>
  <c r="A16" i="10" s="1"/>
  <c r="A19" i="10" a="1"/>
  <c r="A19" i="10" s="1"/>
  <c r="A29" i="10" a="1"/>
  <c r="A29" i="10" s="1"/>
  <c r="A34" i="10" a="1"/>
  <c r="A34" i="10" s="1"/>
  <c r="A37" i="10" a="1"/>
  <c r="A37" i="10" s="1"/>
  <c r="A39" i="10" a="1"/>
  <c r="A39" i="10" s="1"/>
  <c r="A11" i="10" a="1"/>
  <c r="A11" i="10" s="1"/>
  <c r="AB11" i="10"/>
  <c r="A21" i="10" a="1"/>
  <c r="A21" i="10" s="1"/>
  <c r="A25" i="10" a="1"/>
  <c r="A25" i="10" s="1"/>
  <c r="A28" i="10" a="1"/>
  <c r="A28" i="10" s="1"/>
  <c r="A32" i="10" a="1"/>
  <c r="A32" i="10" s="1"/>
  <c r="A33" i="10" a="1"/>
  <c r="A33" i="10" s="1"/>
  <c r="A36" i="10" a="1"/>
  <c r="A36" i="10" s="1"/>
  <c r="A38" i="10" a="1"/>
  <c r="A38" i="10" s="1"/>
  <c r="AB22" i="10"/>
  <c r="AB23" i="10"/>
  <c r="AB26" i="10"/>
  <c r="AU36" i="10"/>
  <c r="AB36" i="10"/>
  <c r="AU35" i="10"/>
  <c r="AB35" i="10"/>
  <c r="AS34" i="10"/>
  <c r="AB34" i="10"/>
  <c r="AS33" i="10"/>
  <c r="AB33" i="10"/>
  <c r="AS32" i="10"/>
  <c r="AB32" i="10"/>
  <c r="AS31" i="10"/>
  <c r="AB31" i="10"/>
  <c r="AS29" i="10"/>
  <c r="AB29" i="10"/>
  <c r="AS28" i="10"/>
  <c r="AB28" i="10"/>
  <c r="AS25" i="10"/>
  <c r="AB25" i="10"/>
  <c r="AS18" i="10"/>
  <c r="AB18" i="10"/>
  <c r="AS14" i="10"/>
  <c r="AB14" i="10"/>
  <c r="AS12" i="10"/>
  <c r="AB12" i="10"/>
  <c r="AU51" i="9"/>
  <c r="AB51" i="9"/>
  <c r="Z33" i="9"/>
  <c r="V33" i="9"/>
  <c r="T33" i="9" s="1"/>
  <c r="R33" i="9" s="1"/>
  <c r="P33" i="9" s="1"/>
  <c r="N33" i="9" s="1"/>
  <c r="L33" i="9" s="1"/>
  <c r="J33" i="9" s="1"/>
  <c r="H33" i="9" s="1"/>
  <c r="F33" i="9" s="1"/>
  <c r="AS27" i="9"/>
  <c r="AS17" i="9"/>
  <c r="AS18" i="9"/>
  <c r="AB31" i="9"/>
  <c r="AU31" i="9"/>
  <c r="AB25" i="9"/>
  <c r="AU25" i="9"/>
  <c r="AB19" i="9"/>
  <c r="AU19" i="9"/>
  <c r="AU14" i="9"/>
  <c r="AB14" i="9"/>
  <c r="AU11" i="9"/>
  <c r="AB11" i="9"/>
  <c r="AU54" i="9"/>
  <c r="AB54" i="9"/>
  <c r="AU53" i="9"/>
  <c r="AB53" i="9"/>
  <c r="AB52" i="9"/>
  <c r="AU52" i="9"/>
  <c r="AB38" i="9"/>
  <c r="AU38" i="9"/>
  <c r="AU16" i="9"/>
  <c r="AB16" i="9"/>
  <c r="V23" i="13"/>
  <c r="T23" i="13" s="1"/>
  <c r="R23" i="13" s="1"/>
  <c r="P23" i="13" s="1"/>
  <c r="N23" i="13" s="1"/>
  <c r="L23" i="13" s="1"/>
  <c r="J23" i="13" s="1"/>
  <c r="H23" i="13" s="1"/>
  <c r="F23" i="13" s="1"/>
  <c r="Z23" i="13"/>
  <c r="AU22" i="13"/>
  <c r="AB22" i="13"/>
  <c r="AB16" i="13"/>
  <c r="AU16" i="13"/>
  <c r="AB14" i="13"/>
  <c r="AU14" i="13"/>
  <c r="AB13" i="13"/>
  <c r="AU13" i="13"/>
  <c r="AU24" i="13"/>
  <c r="AB24" i="13"/>
  <c r="AS11" i="13"/>
  <c r="AB11" i="13"/>
  <c r="Z13" i="7"/>
  <c r="V13" i="7"/>
  <c r="T13" i="7" s="1"/>
  <c r="R13" i="7" s="1"/>
  <c r="P13" i="7" s="1"/>
  <c r="N13" i="7" s="1"/>
  <c r="L13" i="7" s="1"/>
  <c r="J13" i="7" s="1"/>
  <c r="H13" i="7" s="1"/>
  <c r="F13" i="7" s="1"/>
  <c r="AV13" i="7" s="1" a="1"/>
  <c r="AV13" i="7" s="1"/>
  <c r="AB12" i="7"/>
  <c r="AU12" i="7"/>
  <c r="AB11" i="7"/>
  <c r="AU11" i="7"/>
  <c r="AS17" i="7"/>
  <c r="AU26" i="7"/>
  <c r="AB26" i="7"/>
  <c r="AB24" i="7"/>
  <c r="AU24" i="7"/>
  <c r="AU25" i="7"/>
  <c r="AB25" i="7"/>
  <c r="AU18" i="7"/>
  <c r="AB18" i="7"/>
  <c r="V54" i="17"/>
  <c r="T54" i="17" s="1"/>
  <c r="R54" i="17" s="1"/>
  <c r="P54" i="17" s="1"/>
  <c r="N54" i="17" s="1"/>
  <c r="L54" i="17" s="1"/>
  <c r="J54" i="17" s="1"/>
  <c r="H54" i="17" s="1"/>
  <c r="F54" i="17" s="1"/>
  <c r="Z54" i="17"/>
  <c r="Z53" i="17"/>
  <c r="V53" i="17"/>
  <c r="T53" i="17" s="1"/>
  <c r="R53" i="17" s="1"/>
  <c r="P53" i="17" s="1"/>
  <c r="N53" i="17" s="1"/>
  <c r="L53" i="17" s="1"/>
  <c r="J53" i="17" s="1"/>
  <c r="H53" i="17" s="1"/>
  <c r="F53" i="17" s="1"/>
  <c r="V51" i="17"/>
  <c r="T51" i="17" s="1"/>
  <c r="R51" i="17" s="1"/>
  <c r="P51" i="17" s="1"/>
  <c r="N51" i="17" s="1"/>
  <c r="L51" i="17" s="1"/>
  <c r="J51" i="17" s="1"/>
  <c r="H51" i="17" s="1"/>
  <c r="F51" i="17" s="1"/>
  <c r="Z51" i="17"/>
  <c r="Z49" i="17"/>
  <c r="V49" i="17"/>
  <c r="T49" i="17" s="1"/>
  <c r="R49" i="17" s="1"/>
  <c r="P49" i="17" s="1"/>
  <c r="N49" i="17" s="1"/>
  <c r="L49" i="17" s="1"/>
  <c r="J49" i="17" s="1"/>
  <c r="H49" i="17" s="1"/>
  <c r="F49" i="17" s="1"/>
  <c r="AO41" i="17"/>
  <c r="AS41" i="17"/>
  <c r="Z25" i="17"/>
  <c r="V25" i="17"/>
  <c r="T25" i="17" s="1"/>
  <c r="R25" i="17" s="1"/>
  <c r="P25" i="17" s="1"/>
  <c r="N25" i="17" s="1"/>
  <c r="L25" i="17" s="1"/>
  <c r="J25" i="17" s="1"/>
  <c r="H25" i="17" s="1"/>
  <c r="F25" i="17" s="1"/>
  <c r="AB19" i="17"/>
  <c r="AB30" i="17"/>
  <c r="AB23" i="17"/>
  <c r="AB29" i="17"/>
  <c r="AB34" i="17"/>
  <c r="AU34" i="17"/>
  <c r="AB47" i="17"/>
  <c r="AU47" i="17"/>
  <c r="AB46" i="17"/>
  <c r="AU46" i="17"/>
  <c r="AU22" i="17"/>
  <c r="AB22" i="17"/>
  <c r="AS18" i="17"/>
  <c r="AB18" i="17"/>
  <c r="AU17" i="17"/>
  <c r="AB17" i="17"/>
  <c r="AU16" i="17"/>
  <c r="AB16" i="17"/>
  <c r="AS13" i="17"/>
  <c r="AB13" i="17"/>
  <c r="AB12" i="17"/>
  <c r="AU12" i="17"/>
  <c r="AB11" i="17"/>
  <c r="AU11" i="17"/>
  <c r="AU27" i="17"/>
  <c r="AB27" i="17"/>
  <c r="V15" i="16"/>
  <c r="T15" i="16" s="1"/>
  <c r="R15" i="16" s="1"/>
  <c r="P15" i="16" s="1"/>
  <c r="N15" i="16" s="1"/>
  <c r="L15" i="16" s="1"/>
  <c r="J15" i="16" s="1"/>
  <c r="H15" i="16" s="1"/>
  <c r="F15" i="16" s="1"/>
  <c r="Z15" i="16"/>
  <c r="V14" i="16"/>
  <c r="T14" i="16" s="1"/>
  <c r="R14" i="16" s="1"/>
  <c r="P14" i="16" s="1"/>
  <c r="N14" i="16" s="1"/>
  <c r="L14" i="16" s="1"/>
  <c r="J14" i="16" s="1"/>
  <c r="H14" i="16" s="1"/>
  <c r="F14" i="16" s="1"/>
  <c r="Z14" i="16"/>
  <c r="Z36" i="16"/>
  <c r="V36" i="16"/>
  <c r="T36" i="16" s="1"/>
  <c r="R36" i="16" s="1"/>
  <c r="P36" i="16" s="1"/>
  <c r="N36" i="16" s="1"/>
  <c r="L36" i="16" s="1"/>
  <c r="J36" i="16" s="1"/>
  <c r="H36" i="16" s="1"/>
  <c r="F36" i="16" s="1"/>
  <c r="AU32" i="16"/>
  <c r="AB32" i="16"/>
  <c r="AU27" i="16"/>
  <c r="AB27" i="16"/>
  <c r="AU22" i="16"/>
  <c r="AB22" i="16"/>
  <c r="AU18" i="16"/>
  <c r="AB18" i="16"/>
  <c r="AB28" i="16"/>
  <c r="AB11" i="16"/>
  <c r="AB35" i="16"/>
  <c r="AU35" i="16"/>
  <c r="AU34" i="16"/>
  <c r="AB34" i="16"/>
  <c r="AU33" i="16"/>
  <c r="AB33" i="16"/>
  <c r="AU25" i="16"/>
  <c r="AB25" i="16"/>
  <c r="AS23" i="16"/>
  <c r="AB23" i="16"/>
  <c r="AU21" i="16"/>
  <c r="AB21" i="16"/>
  <c r="AU19" i="16"/>
  <c r="AB19" i="16"/>
  <c r="AB47" i="14"/>
  <c r="AU47" i="14"/>
  <c r="Z49" i="14"/>
  <c r="V49" i="14"/>
  <c r="T49" i="14" s="1"/>
  <c r="R49" i="14" s="1"/>
  <c r="P49" i="14" s="1"/>
  <c r="N49" i="14" s="1"/>
  <c r="L49" i="14" s="1"/>
  <c r="J49" i="14" s="1"/>
  <c r="H49" i="14" s="1"/>
  <c r="F49" i="14" s="1"/>
  <c r="AB36" i="14"/>
  <c r="AU36" i="14"/>
  <c r="AB11" i="14"/>
  <c r="AU11" i="14"/>
  <c r="AU51" i="14"/>
  <c r="AB51" i="14"/>
  <c r="AS50" i="14"/>
  <c r="AB50" i="14"/>
  <c r="AU17" i="14"/>
  <c r="AS16" i="14"/>
  <c r="AB16" i="14"/>
  <c r="AB21" i="14"/>
  <c r="AU21" i="14"/>
  <c r="AB12" i="14"/>
  <c r="AU12" i="14"/>
  <c r="AB28" i="15"/>
  <c r="AU28" i="15"/>
  <c r="AB33" i="5"/>
  <c r="AU33" i="5"/>
  <c r="AB19" i="15"/>
  <c r="AS52" i="15"/>
  <c r="AB53" i="15"/>
  <c r="AU53" i="15"/>
  <c r="AU43" i="15"/>
  <c r="AS17" i="15"/>
  <c r="AO17" i="15"/>
  <c r="V22" i="15"/>
  <c r="T22" i="15" s="1"/>
  <c r="R22" i="15" s="1"/>
  <c r="P22" i="15" s="1"/>
  <c r="N22" i="15" s="1"/>
  <c r="L22" i="15" s="1"/>
  <c r="J22" i="15" s="1"/>
  <c r="H22" i="15" s="1"/>
  <c r="F22" i="15" s="1"/>
  <c r="Z22" i="15"/>
  <c r="AU15" i="5"/>
  <c r="AB32" i="5"/>
  <c r="AU32" i="5"/>
  <c r="AB31" i="5"/>
  <c r="AU31" i="5"/>
  <c r="AB29" i="5"/>
  <c r="AU29" i="5"/>
  <c r="AB28" i="5"/>
  <c r="AU28" i="5"/>
  <c r="AU26" i="5"/>
  <c r="AU22" i="5"/>
  <c r="AB18" i="5"/>
  <c r="AU18" i="5"/>
  <c r="AB13" i="5"/>
  <c r="AU13" i="5"/>
  <c r="V24" i="5"/>
  <c r="T24" i="5" s="1"/>
  <c r="R24" i="5" s="1"/>
  <c r="P24" i="5" s="1"/>
  <c r="N24" i="5" s="1"/>
  <c r="L24" i="5" s="1"/>
  <c r="J24" i="5" s="1"/>
  <c r="H24" i="5" s="1"/>
  <c r="F24" i="5" s="1"/>
  <c r="AV24" i="5" s="1" a="1"/>
  <c r="AV24" i="5" s="1"/>
  <c r="Z24" i="5"/>
  <c r="Z19" i="5"/>
  <c r="V19" i="5"/>
  <c r="T19" i="5" s="1"/>
  <c r="R19" i="5" s="1"/>
  <c r="P19" i="5" s="1"/>
  <c r="N19" i="5" s="1"/>
  <c r="L19" i="5" s="1"/>
  <c r="J19" i="5" s="1"/>
  <c r="H19" i="5" s="1"/>
  <c r="F19" i="5" s="1"/>
  <c r="AV19" i="5" s="1" a="1"/>
  <c r="AV19" i="5" s="1"/>
  <c r="AU16" i="5"/>
  <c r="AB16" i="5"/>
  <c r="AU11" i="5"/>
  <c r="AU55" i="17"/>
  <c r="AO55" i="17" s="1"/>
  <c r="AU52" i="17"/>
  <c r="AO52" i="17" s="1"/>
  <c r="AB50" i="17"/>
  <c r="AU39" i="17"/>
  <c r="AO39" i="17" s="1"/>
  <c r="AU38" i="17"/>
  <c r="AO38" i="17" s="1"/>
  <c r="AU37" i="17"/>
  <c r="AO37" i="17" s="1"/>
  <c r="AS35" i="17"/>
  <c r="AU32" i="17"/>
  <c r="AO32" i="17" s="1"/>
  <c r="X5" i="17"/>
  <c r="Y5" i="17" s="1"/>
  <c r="Y2" i="17"/>
  <c r="X4" i="17"/>
  <c r="Y4" i="17" s="1"/>
  <c r="AS19" i="17"/>
  <c r="AS31" i="17"/>
  <c r="AS28" i="17"/>
  <c r="AS30" i="17"/>
  <c r="AS29" i="17"/>
  <c r="AS33" i="17"/>
  <c r="AS24" i="17"/>
  <c r="AS23" i="17"/>
  <c r="AU12" i="16"/>
  <c r="AO12" i="16" s="1"/>
  <c r="Y2" i="16"/>
  <c r="X5" i="16"/>
  <c r="Y5" i="16" s="1"/>
  <c r="X4" i="16"/>
  <c r="Y4" i="16" s="1"/>
  <c r="AS11" i="16"/>
  <c r="AS28" i="16"/>
  <c r="AU24" i="15"/>
  <c r="X5" i="15"/>
  <c r="Y5" i="15" s="1"/>
  <c r="Y2" i="15"/>
  <c r="X4" i="15"/>
  <c r="Y4" i="15" s="1"/>
  <c r="AS19" i="15"/>
  <c r="AB17" i="15"/>
  <c r="AU53" i="14"/>
  <c r="AO53" i="14" s="1"/>
  <c r="AU38" i="14"/>
  <c r="AO38" i="14" s="1"/>
  <c r="AU37" i="14"/>
  <c r="AO37" i="14" s="1"/>
  <c r="AU26" i="14"/>
  <c r="AO26" i="14" s="1"/>
  <c r="Y2" i="14"/>
  <c r="X4" i="14"/>
  <c r="Y4" i="14" s="1"/>
  <c r="X5" i="14"/>
  <c r="Y5" i="14" s="1"/>
  <c r="AU17" i="13"/>
  <c r="AO17" i="13" s="1"/>
  <c r="Y2" i="13"/>
  <c r="X4" i="13"/>
  <c r="Y4" i="13" s="1"/>
  <c r="X5" i="13"/>
  <c r="Y5" i="13" s="1"/>
  <c r="AU38" i="12"/>
  <c r="AO38" i="12" s="1"/>
  <c r="AB37" i="12"/>
  <c r="AU26" i="12"/>
  <c r="AO26" i="12" s="1"/>
  <c r="AU23" i="12"/>
  <c r="AO23" i="12" s="1"/>
  <c r="Y2" i="12"/>
  <c r="X4" i="12"/>
  <c r="Y4" i="12" s="1"/>
  <c r="X5" i="12"/>
  <c r="Y5" i="12" s="1"/>
  <c r="AS39" i="12"/>
  <c r="AS40" i="11"/>
  <c r="AU39" i="11"/>
  <c r="AO39" i="11" s="1"/>
  <c r="AU37" i="11"/>
  <c r="AO37" i="11" s="1"/>
  <c r="AD3" i="11"/>
  <c r="AS19" i="11"/>
  <c r="AU39" i="10"/>
  <c r="AO39" i="10" s="1"/>
  <c r="AU37" i="10"/>
  <c r="AO37" i="10" s="1"/>
  <c r="Y2" i="10"/>
  <c r="X4" i="10"/>
  <c r="Y4" i="10" s="1"/>
  <c r="X5" i="10"/>
  <c r="Y5" i="10" s="1"/>
  <c r="AS22" i="10"/>
  <c r="AS19" i="10"/>
  <c r="AS40" i="10"/>
  <c r="AS38" i="10"/>
  <c r="AS26" i="10"/>
  <c r="AS23" i="10"/>
  <c r="AS21" i="10"/>
  <c r="AU59" i="9"/>
  <c r="AO59" i="9" s="1"/>
  <c r="AS58" i="9"/>
  <c r="AU57" i="9"/>
  <c r="AO57" i="9" s="1"/>
  <c r="AS56" i="9"/>
  <c r="AU55" i="9"/>
  <c r="AO55" i="9" s="1"/>
  <c r="AU41" i="9"/>
  <c r="AO41" i="9" s="1"/>
  <c r="AU40" i="9"/>
  <c r="AO40" i="9" s="1"/>
  <c r="AU39" i="9"/>
  <c r="AO39" i="9" s="1"/>
  <c r="AB35" i="9"/>
  <c r="AU34" i="9"/>
  <c r="AO34" i="9" s="1"/>
  <c r="AU30" i="9"/>
  <c r="AO30" i="9" s="1"/>
  <c r="AU28" i="9"/>
  <c r="AO28" i="9" s="1"/>
  <c r="AU20" i="9"/>
  <c r="AO20" i="9" s="1"/>
  <c r="AS32" i="9"/>
  <c r="AS29" i="9"/>
  <c r="AS24" i="9"/>
  <c r="Y2" i="8"/>
  <c r="X4" i="8"/>
  <c r="Y4" i="8" s="1"/>
  <c r="X5" i="8"/>
  <c r="Y5" i="8" s="1"/>
  <c r="AS19" i="7"/>
  <c r="X4" i="7"/>
  <c r="Y4" i="7" s="1"/>
  <c r="Y2" i="7"/>
  <c r="X5" i="7"/>
  <c r="Y5" i="7" s="1"/>
  <c r="AS22" i="7"/>
  <c r="Y2" i="6"/>
  <c r="X4" i="6"/>
  <c r="Y4" i="6" s="1"/>
  <c r="X5" i="6"/>
  <c r="Y5" i="6" s="1"/>
  <c r="AS24" i="6"/>
  <c r="AB34" i="5"/>
  <c r="AU34" i="5"/>
  <c r="AB23" i="5"/>
  <c r="AU23" i="5"/>
  <c r="X4" i="5"/>
  <c r="Y4" i="5" s="1"/>
  <c r="Y2" i="5"/>
  <c r="X5" i="5"/>
  <c r="AU30" i="5"/>
  <c r="AU39" i="3"/>
  <c r="AB39" i="3"/>
  <c r="AU38" i="3"/>
  <c r="AB38" i="3"/>
  <c r="AU24" i="3"/>
  <c r="AU23" i="3"/>
  <c r="AB55" i="3"/>
  <c r="AU55" i="3"/>
  <c r="AB54" i="3"/>
  <c r="AU54" i="3"/>
  <c r="AU36" i="3"/>
  <c r="AB36" i="3"/>
  <c r="AU35" i="3"/>
  <c r="AB35" i="3"/>
  <c r="AU34" i="3"/>
  <c r="AB34" i="3"/>
  <c r="AU33" i="3"/>
  <c r="AB33" i="3"/>
  <c r="AU32" i="3"/>
  <c r="AB32" i="3"/>
  <c r="AU31" i="3"/>
  <c r="AB31" i="3"/>
  <c r="AU30" i="3"/>
  <c r="AB30" i="3"/>
  <c r="AU29" i="3"/>
  <c r="AB29" i="3"/>
  <c r="AU28" i="3"/>
  <c r="AB28" i="3"/>
  <c r="AU25" i="3"/>
  <c r="AS25" i="3" s="1"/>
  <c r="AB25" i="3"/>
  <c r="AB11" i="3"/>
  <c r="AB16" i="3"/>
  <c r="V37" i="3"/>
  <c r="T37" i="3" s="1"/>
  <c r="R37" i="3" s="1"/>
  <c r="P37" i="3" s="1"/>
  <c r="N37" i="3" s="1"/>
  <c r="L37" i="3" s="1"/>
  <c r="J37" i="3" s="1"/>
  <c r="H37" i="3" s="1"/>
  <c r="F37" i="3" s="1"/>
  <c r="AV37" i="3" s="1" a="1"/>
  <c r="AV37" i="3" s="1"/>
  <c r="Z37" i="3"/>
  <c r="AS49" i="3"/>
  <c r="AS48" i="3"/>
  <c r="AS47" i="3"/>
  <c r="AS46" i="3"/>
  <c r="AS45" i="3"/>
  <c r="AS44" i="3"/>
  <c r="AS42" i="3"/>
  <c r="AS41" i="3"/>
  <c r="AS27" i="3"/>
  <c r="AS22" i="3"/>
  <c r="AS18" i="3"/>
  <c r="AS17" i="3"/>
  <c r="AS16" i="3"/>
  <c r="AS13" i="3"/>
  <c r="AS12" i="3"/>
  <c r="AS11" i="3"/>
  <c r="X4" i="3"/>
  <c r="X5" i="3"/>
  <c r="AO52" i="3"/>
  <c r="AS52" i="3"/>
  <c r="D5" i="4" a="1"/>
  <c r="AR38" i="14" l="1"/>
  <c r="AB38" i="14"/>
  <c r="Z29" i="15"/>
  <c r="AS59" i="15"/>
  <c r="A48" i="18" a="1"/>
  <c r="A48" i="18" s="1"/>
  <c r="A16" i="18" a="1"/>
  <c r="A16" i="18" s="1"/>
  <c r="A22" i="18" a="1"/>
  <c r="A22" i="18" s="1"/>
  <c r="A11" i="18" a="1"/>
  <c r="A11" i="18" s="1"/>
  <c r="A50" i="18" a="1"/>
  <c r="A50" i="18" s="1"/>
  <c r="V59" i="15"/>
  <c r="T59" i="15" s="1"/>
  <c r="R59" i="15" s="1"/>
  <c r="P59" i="15" s="1"/>
  <c r="N59" i="15" s="1"/>
  <c r="L59" i="15" s="1"/>
  <c r="J59" i="15" s="1"/>
  <c r="H59" i="15" s="1"/>
  <c r="F59" i="15" s="1"/>
  <c r="Z59" i="15"/>
  <c r="AS38" i="6"/>
  <c r="AS28" i="18"/>
  <c r="A44" i="18" a="1"/>
  <c r="A44" i="18" s="1"/>
  <c r="AO32" i="18"/>
  <c r="AS30" i="18"/>
  <c r="A41" i="18" a="1"/>
  <c r="A41" i="18" s="1"/>
  <c r="A13" i="18" a="1"/>
  <c r="A13" i="18" s="1"/>
  <c r="AB20" i="6"/>
  <c r="AS27" i="18"/>
  <c r="A38" i="18" a="1"/>
  <c r="A38" i="18" s="1"/>
  <c r="AO34" i="18"/>
  <c r="Z20" i="6"/>
  <c r="V20" i="6"/>
  <c r="T20" i="6" s="1"/>
  <c r="R20" i="6" s="1"/>
  <c r="P20" i="6" s="1"/>
  <c r="N20" i="6" s="1"/>
  <c r="L20" i="6" s="1"/>
  <c r="J20" i="6" s="1"/>
  <c r="H20" i="6" s="1"/>
  <c r="F20" i="6" s="1"/>
  <c r="AV20" i="6" s="1" a="1"/>
  <c r="AV20" i="6" s="1"/>
  <c r="AU20" i="6" s="1"/>
  <c r="AO20" i="6" s="1"/>
  <c r="A33" i="18" a="1"/>
  <c r="A33" i="18" s="1"/>
  <c r="Z19" i="6"/>
  <c r="V19" i="6"/>
  <c r="T19" i="6" s="1"/>
  <c r="R19" i="6" s="1"/>
  <c r="P19" i="6" s="1"/>
  <c r="N19" i="6" s="1"/>
  <c r="L19" i="6" s="1"/>
  <c r="J19" i="6" s="1"/>
  <c r="H19" i="6" s="1"/>
  <c r="F19" i="6" s="1"/>
  <c r="AV19" i="6" s="1" a="1"/>
  <c r="AV19" i="6" s="1"/>
  <c r="A46" i="18" a="1"/>
  <c r="A46" i="18" s="1"/>
  <c r="A12" i="18" a="1"/>
  <c r="A12" i="18" s="1"/>
  <c r="AS20" i="17"/>
  <c r="D5" i="4"/>
  <c r="A19" i="18" a="1"/>
  <c r="A19" i="18" s="1"/>
  <c r="A20" i="18" a="1"/>
  <c r="A20" i="18" s="1"/>
  <c r="A35" i="18" a="1"/>
  <c r="A35" i="18" s="1"/>
  <c r="A31" i="18" a="1"/>
  <c r="A31" i="18" s="1"/>
  <c r="A23" i="18" a="1"/>
  <c r="A23" i="18" s="1"/>
  <c r="A42" i="18" a="1"/>
  <c r="A42" i="18" s="1"/>
  <c r="A49" i="18" a="1"/>
  <c r="A49" i="18" s="1"/>
  <c r="A39" i="18" a="1"/>
  <c r="A39" i="18" s="1"/>
  <c r="A36" i="18" a="1"/>
  <c r="A36" i="18" s="1"/>
  <c r="A32" i="18" a="1"/>
  <c r="A32" i="18" s="1"/>
  <c r="A17" i="18" a="1"/>
  <c r="A17" i="18" s="1"/>
  <c r="Y5" i="5"/>
  <c r="AO13" i="8"/>
  <c r="AS13" i="8"/>
  <c r="AR17" i="14"/>
  <c r="X17" i="14"/>
  <c r="AN22" i="14"/>
  <c r="AM23" i="14"/>
  <c r="Z38" i="14"/>
  <c r="V38" i="14"/>
  <c r="T38" i="14" s="1"/>
  <c r="R38" i="14" s="1"/>
  <c r="P38" i="14" s="1"/>
  <c r="N38" i="14" s="1"/>
  <c r="L38" i="14" s="1"/>
  <c r="J38" i="14" s="1"/>
  <c r="H38" i="14" s="1"/>
  <c r="F38" i="14" s="1"/>
  <c r="AB60" i="15"/>
  <c r="AS60" i="15"/>
  <c r="AO29" i="12"/>
  <c r="AS29" i="12"/>
  <c r="AR39" i="14"/>
  <c r="X39" i="14"/>
  <c r="AN40" i="14"/>
  <c r="AM41" i="14"/>
  <c r="AN29" i="14"/>
  <c r="AM30" i="14"/>
  <c r="AR28" i="14"/>
  <c r="X28" i="14"/>
  <c r="AB28" i="14"/>
  <c r="AU28" i="14"/>
  <c r="AO28" i="14" s="1"/>
  <c r="AO27" i="14"/>
  <c r="AS27" i="14"/>
  <c r="V60" i="15"/>
  <c r="T60" i="15" s="1"/>
  <c r="R60" i="15" s="1"/>
  <c r="P60" i="15" s="1"/>
  <c r="N60" i="15" s="1"/>
  <c r="L60" i="15" s="1"/>
  <c r="J60" i="15" s="1"/>
  <c r="H60" i="15" s="1"/>
  <c r="F60" i="15" s="1"/>
  <c r="Z60" i="15"/>
  <c r="AR61" i="15"/>
  <c r="X61" i="15"/>
  <c r="AM63" i="15"/>
  <c r="AN62" i="15"/>
  <c r="AN45" i="15"/>
  <c r="AM46" i="15"/>
  <c r="X44" i="15"/>
  <c r="AU44" i="15"/>
  <c r="AO44" i="15" s="1"/>
  <c r="AR44" i="15"/>
  <c r="AB44" i="15" s="1"/>
  <c r="AU30" i="15"/>
  <c r="AO30" i="15" s="1"/>
  <c r="AR30" i="15"/>
  <c r="X30" i="15"/>
  <c r="AM32" i="15"/>
  <c r="AN31" i="15"/>
  <c r="AR25" i="15"/>
  <c r="X25" i="15"/>
  <c r="X26" i="15"/>
  <c r="AR26" i="15"/>
  <c r="AB26" i="15" s="1"/>
  <c r="AO34" i="17"/>
  <c r="AS34" i="17"/>
  <c r="AB20" i="13"/>
  <c r="AU20" i="13"/>
  <c r="AO21" i="7"/>
  <c r="AS21" i="7"/>
  <c r="AO15" i="7"/>
  <c r="AS15" i="7"/>
  <c r="A20" i="7" a="1"/>
  <c r="A20" i="7" s="1"/>
  <c r="A11" i="7" a="1"/>
  <c r="A11" i="7" s="1"/>
  <c r="A15" i="7" a="1"/>
  <c r="A15" i="7" s="1"/>
  <c r="A21" i="7" a="1"/>
  <c r="A21" i="7" s="1"/>
  <c r="AO36" i="17"/>
  <c r="AS36" i="17"/>
  <c r="AO44" i="17"/>
  <c r="AS44" i="17"/>
  <c r="AO13" i="16"/>
  <c r="AS13" i="16"/>
  <c r="A43" i="14" a="1"/>
  <c r="A43" i="14" s="1"/>
  <c r="A40" i="14" a="1"/>
  <c r="A40" i="14" s="1"/>
  <c r="A42" i="14" a="1"/>
  <c r="A42" i="14" s="1"/>
  <c r="AD3" i="14"/>
  <c r="A41" i="14" a="1"/>
  <c r="A41" i="14" s="1"/>
  <c r="A44" i="14" a="1"/>
  <c r="A44" i="14" s="1"/>
  <c r="A18" i="14" a="1"/>
  <c r="A18" i="14" s="1"/>
  <c r="A19" i="14" a="1"/>
  <c r="A19" i="14" s="1"/>
  <c r="AO25" i="14"/>
  <c r="AS25" i="14"/>
  <c r="AO14" i="14"/>
  <c r="AS14" i="14"/>
  <c r="AO35" i="14"/>
  <c r="AS35" i="14"/>
  <c r="AU46" i="14"/>
  <c r="AB46" i="14"/>
  <c r="AS58" i="15"/>
  <c r="AO58" i="15"/>
  <c r="AO57" i="15"/>
  <c r="AS57" i="15"/>
  <c r="AS56" i="15"/>
  <c r="AO56" i="15"/>
  <c r="AO55" i="15"/>
  <c r="AS55" i="15"/>
  <c r="AO26" i="15"/>
  <c r="AU62" i="15"/>
  <c r="AB18" i="15"/>
  <c r="AU18" i="15"/>
  <c r="AO20" i="15"/>
  <c r="AS20" i="15"/>
  <c r="AS14" i="15"/>
  <c r="AO14" i="15"/>
  <c r="AB29" i="15"/>
  <c r="AU29" i="15"/>
  <c r="AO42" i="15"/>
  <c r="AS42" i="15"/>
  <c r="AS16" i="15"/>
  <c r="AO16" i="15"/>
  <c r="AU11" i="15"/>
  <c r="AB11" i="15"/>
  <c r="A32" i="6" a="1"/>
  <c r="A32" i="6" s="1"/>
  <c r="A27" i="6" a="1"/>
  <c r="A27" i="6" s="1"/>
  <c r="A14" i="6" a="1"/>
  <c r="A14" i="6" s="1"/>
  <c r="A34" i="18" a="1"/>
  <c r="A34" i="18" s="1"/>
  <c r="A55" i="18" a="1"/>
  <c r="A55" i="18" s="1"/>
  <c r="A27" i="18" a="1"/>
  <c r="A27" i="18" s="1"/>
  <c r="A28" i="18" a="1"/>
  <c r="A28" i="18" s="1"/>
  <c r="A29" i="18" a="1"/>
  <c r="A29" i="18" s="1"/>
  <c r="A30" i="18" a="1"/>
  <c r="A30" i="18" s="1"/>
  <c r="A24" i="6" a="1"/>
  <c r="A24" i="6" s="1"/>
  <c r="A29" i="6" a="1"/>
  <c r="A29" i="6" s="1"/>
  <c r="AB19" i="6"/>
  <c r="A16" i="6" a="1"/>
  <c r="A16" i="6" s="1"/>
  <c r="A25" i="6" a="1"/>
  <c r="A25" i="6" s="1"/>
  <c r="A18" i="6" a="1"/>
  <c r="A18" i="6" s="1"/>
  <c r="A17" i="12" a="1"/>
  <c r="A17" i="12" s="1"/>
  <c r="A40" i="9" a="1"/>
  <c r="A40" i="9" s="1"/>
  <c r="A14" i="9" a="1"/>
  <c r="A14" i="9" s="1"/>
  <c r="A57" i="9" a="1"/>
  <c r="A57" i="9" s="1"/>
  <c r="A38" i="9" a="1"/>
  <c r="A38" i="9" s="1"/>
  <c r="A17" i="9" a="1"/>
  <c r="A17" i="9" s="1"/>
  <c r="A59" i="9" a="1"/>
  <c r="A59" i="9" s="1"/>
  <c r="A34" i="9" a="1"/>
  <c r="A34" i="9" s="1"/>
  <c r="A52" i="9" a="1"/>
  <c r="A52" i="9" s="1"/>
  <c r="A11" i="9" a="1"/>
  <c r="A11" i="9" s="1"/>
  <c r="A55" i="9" a="1"/>
  <c r="A55" i="9" s="1"/>
  <c r="A19" i="9" a="1"/>
  <c r="A19" i="9" s="1"/>
  <c r="A22" i="7" a="1"/>
  <c r="A22" i="7" s="1"/>
  <c r="A13" i="7" a="1"/>
  <c r="A13" i="7" s="1"/>
  <c r="A36" i="16" a="1"/>
  <c r="A36" i="16" s="1"/>
  <c r="AU12" i="5"/>
  <c r="AB12" i="5"/>
  <c r="AO20" i="5"/>
  <c r="AS20" i="5"/>
  <c r="A52" i="14" a="1"/>
  <c r="A52" i="14" s="1"/>
  <c r="A25" i="14" a="1"/>
  <c r="A25" i="14" s="1"/>
  <c r="A30" i="14" a="1"/>
  <c r="A30" i="14" s="1"/>
  <c r="A33" i="14" a="1"/>
  <c r="A33" i="14" s="1"/>
  <c r="A16" i="14" a="1"/>
  <c r="A16" i="14" s="1"/>
  <c r="A35" i="14" a="1"/>
  <c r="A35" i="14" s="1"/>
  <c r="A51" i="14" a="1"/>
  <c r="A51" i="14" s="1"/>
  <c r="A49" i="14" a="1"/>
  <c r="A49" i="14" s="1"/>
  <c r="AO48" i="14"/>
  <c r="AS48" i="14"/>
  <c r="A23" i="14" a="1"/>
  <c r="A23" i="14" s="1"/>
  <c r="A28" i="14" a="1"/>
  <c r="A28" i="14" s="1"/>
  <c r="A12" i="14" a="1"/>
  <c r="A12" i="14" s="1"/>
  <c r="A21" i="14" a="1"/>
  <c r="A21" i="14" s="1"/>
  <c r="A27" i="14" a="1"/>
  <c r="A27" i="14" s="1"/>
  <c r="A47" i="14" a="1"/>
  <c r="A47" i="14" s="1"/>
  <c r="A26" i="14" a="1"/>
  <c r="A26" i="14" s="1"/>
  <c r="A17" i="14" a="1"/>
  <c r="A17" i="14" s="1"/>
  <c r="A37" i="14" a="1"/>
  <c r="A37" i="14" s="1"/>
  <c r="A31" i="14" a="1"/>
  <c r="A31" i="14" s="1"/>
  <c r="A38" i="14" a="1"/>
  <c r="A38" i="14" s="1"/>
  <c r="A48" i="14" a="1"/>
  <c r="A48" i="14" s="1"/>
  <c r="A50" i="14" a="1"/>
  <c r="A50" i="14" s="1"/>
  <c r="A36" i="14" a="1"/>
  <c r="A36" i="14" s="1"/>
  <c r="A22" i="14" a="1"/>
  <c r="A22" i="14" s="1"/>
  <c r="A29" i="14" a="1"/>
  <c r="A29" i="14" s="1"/>
  <c r="A46" i="14" a="1"/>
  <c r="A46" i="14" s="1"/>
  <c r="A39" i="14" a="1"/>
  <c r="A39" i="14" s="1"/>
  <c r="A11" i="17" a="1"/>
  <c r="A11" i="17" s="1"/>
  <c r="A23" i="17" a="1"/>
  <c r="A23" i="17" s="1"/>
  <c r="A12" i="17" a="1"/>
  <c r="A12" i="17" s="1"/>
  <c r="A16" i="17" a="1"/>
  <c r="A16" i="17" s="1"/>
  <c r="A47" i="17" a="1"/>
  <c r="A47" i="17" s="1"/>
  <c r="A29" i="17" a="1"/>
  <c r="A29" i="17" s="1"/>
  <c r="A41" i="17" a="1"/>
  <c r="A41" i="17" s="1"/>
  <c r="A30" i="17" a="1"/>
  <c r="A30" i="17" s="1"/>
  <c r="A44" i="17" a="1"/>
  <c r="A44" i="17" s="1"/>
  <c r="A27" i="17" a="1"/>
  <c r="A27" i="17" s="1"/>
  <c r="A24" i="17" a="1"/>
  <c r="A24" i="17" s="1"/>
  <c r="A52" i="17" a="1"/>
  <c r="A52" i="17" s="1"/>
  <c r="A48" i="17" a="1"/>
  <c r="A48" i="17" s="1"/>
  <c r="A13" i="17" a="1"/>
  <c r="A13" i="17" s="1"/>
  <c r="A25" i="17" a="1"/>
  <c r="A25" i="17" s="1"/>
  <c r="A36" i="17" a="1"/>
  <c r="A36" i="17" s="1"/>
  <c r="A37" i="17" a="1"/>
  <c r="A37" i="17" s="1"/>
  <c r="A50" i="17" a="1"/>
  <c r="A50" i="17" s="1"/>
  <c r="A49" i="17" a="1"/>
  <c r="A49" i="17" s="1"/>
  <c r="A54" i="17" a="1"/>
  <c r="A54" i="17" s="1"/>
  <c r="A34" i="17" a="1"/>
  <c r="A34" i="17" s="1"/>
  <c r="A55" i="17" a="1"/>
  <c r="A55" i="17" s="1"/>
  <c r="A42" i="17" a="1"/>
  <c r="A42" i="17" s="1"/>
  <c r="A45" i="17" a="1"/>
  <c r="A45" i="17" s="1"/>
  <c r="A20" i="17" a="1"/>
  <c r="A20" i="17" s="1"/>
  <c r="A32" i="17" a="1"/>
  <c r="A32" i="17" s="1"/>
  <c r="A35" i="17" a="1"/>
  <c r="A35" i="17" s="1"/>
  <c r="A53" i="17" a="1"/>
  <c r="A53" i="17" s="1"/>
  <c r="A25" i="7" a="1"/>
  <c r="A25" i="7" s="1"/>
  <c r="A26" i="7" a="1"/>
  <c r="A26" i="7" s="1"/>
  <c r="A19" i="7" a="1"/>
  <c r="A19" i="7" s="1"/>
  <c r="A18" i="7" a="1"/>
  <c r="A18" i="7" s="1"/>
  <c r="AB18" i="13"/>
  <c r="AU18" i="13"/>
  <c r="AO23" i="9"/>
  <c r="AS23" i="9"/>
  <c r="AO37" i="9"/>
  <c r="AS37" i="9"/>
  <c r="A35" i="9" a="1"/>
  <c r="A35" i="9" s="1"/>
  <c r="A30" i="9" a="1"/>
  <c r="A30" i="9" s="1"/>
  <c r="A32" i="9" a="1"/>
  <c r="A32" i="9" s="1"/>
  <c r="A24" i="9" a="1"/>
  <c r="A24" i="9" s="1"/>
  <c r="A23" i="9" a="1"/>
  <c r="A23" i="9" s="1"/>
  <c r="A16" i="9" a="1"/>
  <c r="A16" i="9" s="1"/>
  <c r="A27" i="9" a="1"/>
  <c r="A27" i="9" s="1"/>
  <c r="A29" i="9" a="1"/>
  <c r="A29" i="9" s="1"/>
  <c r="A18" i="9" a="1"/>
  <c r="A18" i="9" s="1"/>
  <c r="A33" i="9" a="1"/>
  <c r="A33" i="9" s="1"/>
  <c r="A12" i="9" a="1"/>
  <c r="A12" i="9" s="1"/>
  <c r="A25" i="9" a="1"/>
  <c r="A25" i="9" s="1"/>
  <c r="A31" i="9" a="1"/>
  <c r="A31" i="9" s="1"/>
  <c r="AO50" i="9"/>
  <c r="AS50" i="9"/>
  <c r="A53" i="9" a="1"/>
  <c r="A53" i="9" s="1"/>
  <c r="A49" i="9" a="1"/>
  <c r="A49" i="9" s="1"/>
  <c r="A56" i="9" a="1"/>
  <c r="A56" i="9" s="1"/>
  <c r="A58" i="9" a="1"/>
  <c r="A58" i="9" s="1"/>
  <c r="A28" i="9" a="1"/>
  <c r="A28" i="9" s="1"/>
  <c r="A20" i="9" a="1"/>
  <c r="A20" i="9" s="1"/>
  <c r="A50" i="9" a="1"/>
  <c r="A50" i="9" s="1"/>
  <c r="A54" i="9" a="1"/>
  <c r="A54" i="9" s="1"/>
  <c r="A37" i="9" a="1"/>
  <c r="A37" i="9" s="1"/>
  <c r="A26" i="10" a="1"/>
  <c r="A26" i="10" s="1"/>
  <c r="A23" i="10" a="1"/>
  <c r="A23" i="10" s="1"/>
  <c r="A14" i="10" a="1"/>
  <c r="A14" i="10" s="1"/>
  <c r="AO32" i="11"/>
  <c r="AS32" i="11"/>
  <c r="AB38" i="11"/>
  <c r="A18" i="8" a="1"/>
  <c r="A18" i="8" s="1"/>
  <c r="A16" i="8" a="1"/>
  <c r="A16" i="8" s="1"/>
  <c r="A11" i="8" a="1"/>
  <c r="A11" i="8" s="1"/>
  <c r="A35" i="12" a="1"/>
  <c r="A35" i="12" s="1"/>
  <c r="A12" i="12" a="1"/>
  <c r="A12" i="12" s="1"/>
  <c r="A25" i="12" a="1"/>
  <c r="A25" i="12" s="1"/>
  <c r="A20" i="12" a="1"/>
  <c r="A20" i="12" s="1"/>
  <c r="A18" i="12" a="1"/>
  <c r="A18" i="12" s="1"/>
  <c r="A32" i="12" a="1"/>
  <c r="A32" i="12" s="1"/>
  <c r="A11" i="12" a="1"/>
  <c r="A11" i="12" s="1"/>
  <c r="A37" i="12" a="1"/>
  <c r="A37" i="12" s="1"/>
  <c r="A23" i="12" a="1"/>
  <c r="A23" i="12" s="1"/>
  <c r="A39" i="12" a="1"/>
  <c r="A39" i="12" s="1"/>
  <c r="A34" i="12" a="1"/>
  <c r="A34" i="12" s="1"/>
  <c r="A13" i="12" a="1"/>
  <c r="A13" i="12" s="1"/>
  <c r="A36" i="12" a="1"/>
  <c r="A36" i="12" s="1"/>
  <c r="A38" i="12" a="1"/>
  <c r="A38" i="12" s="1"/>
  <c r="A33" i="12" a="1"/>
  <c r="A33" i="12" s="1"/>
  <c r="A29" i="12" a="1"/>
  <c r="A29" i="12" s="1"/>
  <c r="A31" i="12" a="1"/>
  <c r="A31" i="12" s="1"/>
  <c r="A28" i="12" a="1"/>
  <c r="A28" i="12" s="1"/>
  <c r="A20" i="6" a="1"/>
  <c r="A20" i="6" s="1"/>
  <c r="A33" i="6" a="1"/>
  <c r="A33" i="6" s="1"/>
  <c r="A12" i="6" a="1"/>
  <c r="A12" i="6" s="1"/>
  <c r="A38" i="6" a="1"/>
  <c r="A38" i="6" s="1"/>
  <c r="AB16" i="18"/>
  <c r="AU16" i="18"/>
  <c r="A54" i="18" a="1"/>
  <c r="A54" i="18" s="1"/>
  <c r="A51" i="18" a="1"/>
  <c r="A51" i="18" s="1"/>
  <c r="A25" i="18" a="1"/>
  <c r="A25" i="18" s="1"/>
  <c r="A52" i="18" a="1"/>
  <c r="A52" i="18" s="1"/>
  <c r="A24" i="18" a="1"/>
  <c r="A24" i="18" s="1"/>
  <c r="A45" i="18" a="1"/>
  <c r="A45" i="18" s="1"/>
  <c r="A18" i="18" a="1"/>
  <c r="A18" i="18" s="1"/>
  <c r="A53" i="18" a="1"/>
  <c r="A53" i="18" s="1"/>
  <c r="AU19" i="18"/>
  <c r="AB19" i="18"/>
  <c r="A47" i="18" a="1"/>
  <c r="A47" i="18" s="1"/>
  <c r="A37" i="18" a="1"/>
  <c r="A37" i="18" s="1"/>
  <c r="AO55" i="18"/>
  <c r="AS55" i="18"/>
  <c r="AS54" i="18"/>
  <c r="AO54" i="18"/>
  <c r="AB53" i="18"/>
  <c r="AU53" i="18"/>
  <c r="AO52" i="18"/>
  <c r="AS52" i="18"/>
  <c r="AO51" i="18"/>
  <c r="AS51" i="18"/>
  <c r="AS49" i="18"/>
  <c r="AO49" i="18"/>
  <c r="AS48" i="18"/>
  <c r="AO48" i="18"/>
  <c r="AS47" i="18"/>
  <c r="AO47" i="18"/>
  <c r="AO44" i="18"/>
  <c r="AS44" i="18"/>
  <c r="AS42" i="18"/>
  <c r="AO42" i="18"/>
  <c r="AB41" i="18"/>
  <c r="AU41" i="18"/>
  <c r="AS39" i="18"/>
  <c r="AO39" i="18"/>
  <c r="AO38" i="18"/>
  <c r="AS38" i="18"/>
  <c r="AS37" i="18"/>
  <c r="AO37" i="18"/>
  <c r="AO36" i="18"/>
  <c r="AS36" i="18"/>
  <c r="AS35" i="18"/>
  <c r="AO35" i="18"/>
  <c r="AS25" i="18"/>
  <c r="AO25" i="18"/>
  <c r="AS24" i="18"/>
  <c r="AO24" i="18"/>
  <c r="AO23" i="18"/>
  <c r="AS23" i="18"/>
  <c r="AS13" i="18"/>
  <c r="AO13" i="18"/>
  <c r="AO11" i="18"/>
  <c r="AS11" i="18"/>
  <c r="AB33" i="6"/>
  <c r="AU33" i="6"/>
  <c r="AS32" i="6"/>
  <c r="AO32" i="6"/>
  <c r="AO29" i="6"/>
  <c r="AS29" i="6"/>
  <c r="AS22" i="6"/>
  <c r="AO22" i="6"/>
  <c r="AS18" i="6"/>
  <c r="AO18" i="6"/>
  <c r="AS11" i="6"/>
  <c r="AO11" i="6"/>
  <c r="AS35" i="6"/>
  <c r="AO35" i="6"/>
  <c r="AS12" i="6"/>
  <c r="AO12" i="6"/>
  <c r="AS36" i="6"/>
  <c r="AO36" i="6"/>
  <c r="AS30" i="6"/>
  <c r="AO30" i="6"/>
  <c r="AS27" i="6"/>
  <c r="AO27" i="6"/>
  <c r="AS17" i="6"/>
  <c r="AO17" i="6"/>
  <c r="AS37" i="6"/>
  <c r="AO37" i="6"/>
  <c r="AO25" i="6"/>
  <c r="AS25" i="6"/>
  <c r="AO23" i="6"/>
  <c r="AS23" i="6"/>
  <c r="A19" i="6" a="1"/>
  <c r="A19" i="6" s="1"/>
  <c r="AU34" i="6"/>
  <c r="AB34" i="6"/>
  <c r="AS35" i="12"/>
  <c r="AO35" i="12"/>
  <c r="AS34" i="12"/>
  <c r="AO34" i="12"/>
  <c r="AS25" i="12"/>
  <c r="AO25" i="12"/>
  <c r="AS19" i="12"/>
  <c r="AO19" i="12"/>
  <c r="AS18" i="12"/>
  <c r="AO18" i="12"/>
  <c r="AS17" i="12"/>
  <c r="AO17" i="12"/>
  <c r="AU13" i="12"/>
  <c r="AB13" i="12"/>
  <c r="AS12" i="12"/>
  <c r="AO12" i="12"/>
  <c r="AS11" i="12"/>
  <c r="AO11" i="12"/>
  <c r="AS36" i="12"/>
  <c r="AO36" i="12"/>
  <c r="AS33" i="12"/>
  <c r="AO33" i="12"/>
  <c r="AS32" i="12"/>
  <c r="AO32" i="12"/>
  <c r="AS31" i="12"/>
  <c r="AO31" i="12"/>
  <c r="AB20" i="12"/>
  <c r="AU20" i="12"/>
  <c r="A19" i="12" a="1"/>
  <c r="A19" i="12" s="1"/>
  <c r="A22" i="12" a="1"/>
  <c r="A22" i="12" s="1"/>
  <c r="A26" i="12" a="1"/>
  <c r="A26" i="12" s="1"/>
  <c r="AU28" i="12"/>
  <c r="AB28" i="12"/>
  <c r="AS12" i="8"/>
  <c r="AO12" i="8"/>
  <c r="AS11" i="8"/>
  <c r="AO11" i="8"/>
  <c r="AS17" i="8"/>
  <c r="AO17" i="8"/>
  <c r="AB18" i="8"/>
  <c r="AU18" i="8"/>
  <c r="A12" i="8" a="1"/>
  <c r="A12" i="8" s="1"/>
  <c r="AU16" i="8"/>
  <c r="AB16" i="8"/>
  <c r="AU29" i="11"/>
  <c r="AB29" i="11"/>
  <c r="AS28" i="11"/>
  <c r="AO28" i="11"/>
  <c r="AS18" i="11"/>
  <c r="AO18" i="11"/>
  <c r="AS17" i="11"/>
  <c r="AO17" i="11"/>
  <c r="AS16" i="11"/>
  <c r="AO16" i="11"/>
  <c r="AS14" i="11"/>
  <c r="AO14" i="11"/>
  <c r="AS12" i="11"/>
  <c r="AO12" i="11"/>
  <c r="AS25" i="11"/>
  <c r="AO25" i="11"/>
  <c r="AS11" i="11"/>
  <c r="AO11" i="11"/>
  <c r="AS36" i="11"/>
  <c r="AO36" i="11"/>
  <c r="AO35" i="11"/>
  <c r="AS35" i="11"/>
  <c r="AS34" i="11"/>
  <c r="AO34" i="11"/>
  <c r="AS33" i="11"/>
  <c r="AO33" i="11"/>
  <c r="AS31" i="11"/>
  <c r="AO31" i="11"/>
  <c r="AO26" i="11"/>
  <c r="AS26" i="11"/>
  <c r="AO23" i="11"/>
  <c r="AS23" i="11"/>
  <c r="AO22" i="11"/>
  <c r="AS22" i="11"/>
  <c r="AO21" i="11"/>
  <c r="AS21" i="11"/>
  <c r="AO17" i="10"/>
  <c r="AS17" i="10"/>
  <c r="AO16" i="10"/>
  <c r="AS16" i="10"/>
  <c r="AS11" i="10"/>
  <c r="AO11" i="10"/>
  <c r="AS36" i="10"/>
  <c r="AO36" i="10"/>
  <c r="AS35" i="10"/>
  <c r="AO35" i="10"/>
  <c r="A22" i="10" a="1"/>
  <c r="A22" i="10" s="1"/>
  <c r="A40" i="10" a="1"/>
  <c r="A40" i="10" s="1"/>
  <c r="A31" i="10" a="1"/>
  <c r="A31" i="10" s="1"/>
  <c r="A35" i="10" a="1"/>
  <c r="A35" i="10" s="1"/>
  <c r="A18" i="10" a="1"/>
  <c r="A18" i="10" s="1"/>
  <c r="A12" i="10" a="1"/>
  <c r="A12" i="10" s="1"/>
  <c r="AS51" i="9"/>
  <c r="AO51" i="9"/>
  <c r="AS14" i="9"/>
  <c r="AO14" i="9"/>
  <c r="AS11" i="9"/>
  <c r="AO11" i="9"/>
  <c r="AO54" i="9"/>
  <c r="AS54" i="9"/>
  <c r="AO53" i="9"/>
  <c r="AS53" i="9"/>
  <c r="AS52" i="9"/>
  <c r="AO52" i="9"/>
  <c r="AS38" i="9"/>
  <c r="AO38" i="9"/>
  <c r="AS16" i="9"/>
  <c r="AO16" i="9"/>
  <c r="AB33" i="9"/>
  <c r="AU33" i="9"/>
  <c r="AO31" i="9"/>
  <c r="AS31" i="9"/>
  <c r="AO25" i="9"/>
  <c r="AS25" i="9"/>
  <c r="AO19" i="9"/>
  <c r="AS19" i="9"/>
  <c r="AU12" i="9"/>
  <c r="AB12" i="9"/>
  <c r="A41" i="9" a="1"/>
  <c r="A41" i="9" s="1"/>
  <c r="A51" i="9" a="1"/>
  <c r="A51" i="9" s="1"/>
  <c r="A39" i="9" a="1"/>
  <c r="A39" i="9" s="1"/>
  <c r="AB49" i="9"/>
  <c r="AU49" i="9"/>
  <c r="AU23" i="13"/>
  <c r="AB23" i="13"/>
  <c r="AS22" i="13"/>
  <c r="AO22" i="13"/>
  <c r="AS16" i="13"/>
  <c r="AO16" i="13"/>
  <c r="AS14" i="13"/>
  <c r="AO14" i="13"/>
  <c r="AS13" i="13"/>
  <c r="AO13" i="13"/>
  <c r="AS24" i="13"/>
  <c r="AO24" i="13"/>
  <c r="A13" i="13" a="1"/>
  <c r="A13" i="13" s="1"/>
  <c r="A22" i="13" a="1"/>
  <c r="A22" i="13" s="1"/>
  <c r="A17" i="13" a="1"/>
  <c r="A17" i="13" s="1"/>
  <c r="A11" i="13" a="1"/>
  <c r="A11" i="13" s="1"/>
  <c r="A16" i="13" a="1"/>
  <c r="A16" i="13" s="1"/>
  <c r="A20" i="13" a="1"/>
  <c r="A20" i="13" s="1"/>
  <c r="A24" i="13" a="1"/>
  <c r="A24" i="13" s="1"/>
  <c r="A18" i="13" a="1"/>
  <c r="A18" i="13" s="1"/>
  <c r="A14" i="13" a="1"/>
  <c r="A14" i="13" s="1"/>
  <c r="A23" i="13" a="1"/>
  <c r="A23" i="13" s="1"/>
  <c r="AB13" i="7"/>
  <c r="AU13" i="7"/>
  <c r="AS12" i="7"/>
  <c r="AO12" i="7"/>
  <c r="AS11" i="7"/>
  <c r="AO11" i="7"/>
  <c r="AS26" i="7"/>
  <c r="AO26" i="7"/>
  <c r="AS24" i="7"/>
  <c r="AO24" i="7"/>
  <c r="AS25" i="7"/>
  <c r="AO25" i="7"/>
  <c r="AS18" i="7"/>
  <c r="AO18" i="7"/>
  <c r="A12" i="7" a="1"/>
  <c r="A12" i="7" s="1"/>
  <c r="A17" i="7" a="1"/>
  <c r="A17" i="7" s="1"/>
  <c r="A24" i="7" a="1"/>
  <c r="A24" i="7" s="1"/>
  <c r="AB20" i="7"/>
  <c r="AU54" i="17"/>
  <c r="AB54" i="17"/>
  <c r="AU53" i="17"/>
  <c r="AB53" i="17"/>
  <c r="AB49" i="17"/>
  <c r="AU49" i="17"/>
  <c r="AU25" i="17"/>
  <c r="AB25" i="17"/>
  <c r="AS47" i="17"/>
  <c r="AO47" i="17"/>
  <c r="AS46" i="17"/>
  <c r="AO46" i="17"/>
  <c r="AO22" i="17"/>
  <c r="AS22" i="17"/>
  <c r="AO17" i="17"/>
  <c r="AS17" i="17"/>
  <c r="AS16" i="17"/>
  <c r="AO16" i="17"/>
  <c r="AS12" i="17"/>
  <c r="AO12" i="17"/>
  <c r="AS11" i="17"/>
  <c r="AO11" i="17"/>
  <c r="AS27" i="17"/>
  <c r="AO27" i="17"/>
  <c r="AB51" i="17"/>
  <c r="AU51" i="17"/>
  <c r="AU48" i="17"/>
  <c r="AB48" i="17"/>
  <c r="AU45" i="17"/>
  <c r="AB45" i="17"/>
  <c r="A33" i="17" a="1"/>
  <c r="A33" i="17" s="1"/>
  <c r="A28" i="17" a="1"/>
  <c r="A28" i="17" s="1"/>
  <c r="A22" i="17" a="1"/>
  <c r="A22" i="17" s="1"/>
  <c r="A38" i="17" a="1"/>
  <c r="A38" i="17" s="1"/>
  <c r="A18" i="17" a="1"/>
  <c r="A18" i="17" s="1"/>
  <c r="A31" i="17" a="1"/>
  <c r="A31" i="17" s="1"/>
  <c r="A46" i="17" a="1"/>
  <c r="A46" i="17" s="1"/>
  <c r="A19" i="17" a="1"/>
  <c r="A19" i="17" s="1"/>
  <c r="A17" i="17" a="1"/>
  <c r="A17" i="17" s="1"/>
  <c r="A51" i="17" a="1"/>
  <c r="A51" i="17" s="1"/>
  <c r="A39" i="17" a="1"/>
  <c r="A39" i="17" s="1"/>
  <c r="AU42" i="17"/>
  <c r="AB42" i="17"/>
  <c r="AU15" i="16"/>
  <c r="AB15" i="16"/>
  <c r="AU36" i="16"/>
  <c r="AB36" i="16"/>
  <c r="AS32" i="16"/>
  <c r="AO32" i="16"/>
  <c r="AS27" i="16"/>
  <c r="AO27" i="16"/>
  <c r="AO22" i="16"/>
  <c r="AS22" i="16"/>
  <c r="AO18" i="16"/>
  <c r="AS18" i="16"/>
  <c r="AS35" i="16"/>
  <c r="AO35" i="16"/>
  <c r="AS34" i="16"/>
  <c r="AO34" i="16"/>
  <c r="AO33" i="16"/>
  <c r="AS33" i="16"/>
  <c r="AS25" i="16"/>
  <c r="AO25" i="16"/>
  <c r="AS21" i="16"/>
  <c r="AO21" i="16"/>
  <c r="AS19" i="16"/>
  <c r="AO19" i="16"/>
  <c r="AB14" i="16"/>
  <c r="AU14" i="16"/>
  <c r="AB30" i="16"/>
  <c r="AU30" i="16"/>
  <c r="A27" i="16" a="1"/>
  <c r="A27" i="16" s="1"/>
  <c r="A19" i="16" a="1"/>
  <c r="A19" i="16" s="1"/>
  <c r="A23" i="16" a="1"/>
  <c r="A23" i="16" s="1"/>
  <c r="A11" i="16" a="1"/>
  <c r="A11" i="16" s="1"/>
  <c r="A32" i="16" a="1"/>
  <c r="A32" i="16" s="1"/>
  <c r="A22" i="16" a="1"/>
  <c r="A22" i="16" s="1"/>
  <c r="A25" i="16" a="1"/>
  <c r="A25" i="16" s="1"/>
  <c r="A12" i="16" a="1"/>
  <c r="A12" i="16" s="1"/>
  <c r="A21" i="16" a="1"/>
  <c r="A21" i="16" s="1"/>
  <c r="A30" i="16" a="1"/>
  <c r="A30" i="16" s="1"/>
  <c r="A18" i="16" a="1"/>
  <c r="A18" i="16" s="1"/>
  <c r="A16" i="16" a="1"/>
  <c r="A16" i="16" s="1"/>
  <c r="A35" i="16" a="1"/>
  <c r="A35" i="16" s="1"/>
  <c r="A13" i="16" a="1"/>
  <c r="A13" i="16" s="1"/>
  <c r="A14" i="16" a="1"/>
  <c r="A14" i="16" s="1"/>
  <c r="AU16" i="16"/>
  <c r="A33" i="16" a="1"/>
  <c r="A33" i="16" s="1"/>
  <c r="A15" i="16" a="1"/>
  <c r="A15" i="16" s="1"/>
  <c r="AB16" i="16"/>
  <c r="A34" i="16" a="1"/>
  <c r="A34" i="16" s="1"/>
  <c r="A28" i="16" a="1"/>
  <c r="A28" i="16" s="1"/>
  <c r="AS47" i="14"/>
  <c r="AO47" i="14"/>
  <c r="AU49" i="14"/>
  <c r="AB49" i="14"/>
  <c r="AS36" i="14"/>
  <c r="AO36" i="14"/>
  <c r="AS11" i="14"/>
  <c r="AO11" i="14"/>
  <c r="AS51" i="14"/>
  <c r="AO51" i="14"/>
  <c r="AO17" i="14"/>
  <c r="AS21" i="14"/>
  <c r="AO21" i="14"/>
  <c r="AO12" i="14"/>
  <c r="AS12" i="14"/>
  <c r="A53" i="14" a="1"/>
  <c r="A53" i="14" s="1"/>
  <c r="A32" i="14" a="1"/>
  <c r="A32" i="14" s="1"/>
  <c r="A14" i="14" a="1"/>
  <c r="A14" i="14" s="1"/>
  <c r="A11" i="14" a="1"/>
  <c r="A11" i="14" s="1"/>
  <c r="AB52" i="14"/>
  <c r="AO28" i="15"/>
  <c r="AS28" i="15"/>
  <c r="AO33" i="5"/>
  <c r="AS33" i="5"/>
  <c r="AO61" i="15"/>
  <c r="AS53" i="15"/>
  <c r="AO53" i="15"/>
  <c r="AO43" i="15"/>
  <c r="AS43" i="15"/>
  <c r="AB12" i="15"/>
  <c r="AU12" i="15"/>
  <c r="AB13" i="15"/>
  <c r="AU13" i="15"/>
  <c r="AB54" i="15"/>
  <c r="AU54" i="15"/>
  <c r="AD3" i="5"/>
  <c r="A20" i="5" a="1"/>
  <c r="A20" i="5" s="1"/>
  <c r="AO15" i="5"/>
  <c r="AS15" i="5"/>
  <c r="AO32" i="5"/>
  <c r="AS32" i="5"/>
  <c r="AO31" i="5"/>
  <c r="AS31" i="5"/>
  <c r="AS29" i="5"/>
  <c r="AO29" i="5"/>
  <c r="AO26" i="5"/>
  <c r="AS26" i="5"/>
  <c r="AO13" i="5"/>
  <c r="AS13" i="5"/>
  <c r="AO22" i="5"/>
  <c r="AS22" i="5"/>
  <c r="AO18" i="5"/>
  <c r="AS18" i="5"/>
  <c r="AO28" i="5"/>
  <c r="AS28" i="5"/>
  <c r="AB24" i="5"/>
  <c r="AU24" i="5"/>
  <c r="AU19" i="5"/>
  <c r="AB19" i="5"/>
  <c r="AS16" i="5"/>
  <c r="AO16" i="5"/>
  <c r="AS11" i="5"/>
  <c r="AO11" i="5"/>
  <c r="AO30" i="5"/>
  <c r="AS30" i="5"/>
  <c r="A34" i="5" a="1"/>
  <c r="A34" i="5" s="1"/>
  <c r="A33" i="5" a="1"/>
  <c r="A33" i="5" s="1"/>
  <c r="A29" i="5" a="1"/>
  <c r="A29" i="5" s="1"/>
  <c r="A26" i="5" a="1"/>
  <c r="A26" i="5" s="1"/>
  <c r="A22" i="5" a="1"/>
  <c r="A22" i="5" s="1"/>
  <c r="A30" i="5" a="1"/>
  <c r="A30" i="5" s="1"/>
  <c r="A23" i="5" a="1"/>
  <c r="A23" i="5" s="1"/>
  <c r="A31" i="5" a="1"/>
  <c r="A31" i="5" s="1"/>
  <c r="A32" i="5" a="1"/>
  <c r="A32" i="5" s="1"/>
  <c r="AS55" i="17"/>
  <c r="AS52" i="17"/>
  <c r="AU50" i="17"/>
  <c r="AO50" i="17" s="1"/>
  <c r="AS39" i="17"/>
  <c r="AS38" i="17"/>
  <c r="AS37" i="17"/>
  <c r="AS32" i="17"/>
  <c r="AD3" i="17"/>
  <c r="AS12" i="16"/>
  <c r="AD3" i="16"/>
  <c r="AO25" i="15"/>
  <c r="AS24" i="15"/>
  <c r="AO24" i="15"/>
  <c r="AS53" i="14"/>
  <c r="AU52" i="14"/>
  <c r="AO52" i="14" s="1"/>
  <c r="AS38" i="14"/>
  <c r="AS37" i="14"/>
  <c r="AS26" i="14"/>
  <c r="AS17" i="13"/>
  <c r="AD3" i="13"/>
  <c r="AS38" i="12"/>
  <c r="AU37" i="12"/>
  <c r="AO37" i="12" s="1"/>
  <c r="AS26" i="12"/>
  <c r="AS23" i="12"/>
  <c r="AD3" i="12"/>
  <c r="AS39" i="11"/>
  <c r="AU38" i="11"/>
  <c r="AO38" i="11" s="1"/>
  <c r="AS37" i="11"/>
  <c r="AS39" i="10"/>
  <c r="AS37" i="10"/>
  <c r="AD3" i="10"/>
  <c r="AS59" i="9"/>
  <c r="AS57" i="9"/>
  <c r="AS55" i="9"/>
  <c r="AS41" i="9"/>
  <c r="AS40" i="9"/>
  <c r="AS39" i="9"/>
  <c r="AU35" i="9"/>
  <c r="AO35" i="9" s="1"/>
  <c r="AS34" i="9"/>
  <c r="AS30" i="9"/>
  <c r="AS28" i="9"/>
  <c r="AS20" i="9"/>
  <c r="AD3" i="9"/>
  <c r="AD3" i="8"/>
  <c r="AD3" i="7"/>
  <c r="AU20" i="7"/>
  <c r="AO20" i="7" s="1"/>
  <c r="AS20" i="6"/>
  <c r="AS34" i="5"/>
  <c r="AO34" i="5"/>
  <c r="AO23" i="5"/>
  <c r="AS23" i="5"/>
  <c r="AB30" i="5"/>
  <c r="A13" i="5" a="1"/>
  <c r="A13" i="5" s="1"/>
  <c r="A12" i="5" a="1"/>
  <c r="A12" i="5" s="1"/>
  <c r="A18" i="5" a="1"/>
  <c r="A18" i="5" s="1"/>
  <c r="A19" i="5" a="1"/>
  <c r="A19" i="5" s="1"/>
  <c r="A11" i="5" a="1"/>
  <c r="A11" i="5" s="1"/>
  <c r="A28" i="5" a="1"/>
  <c r="A28" i="5" s="1"/>
  <c r="A24" i="5" a="1"/>
  <c r="A24" i="5" s="1"/>
  <c r="A16" i="5" a="1"/>
  <c r="A16" i="5" s="1"/>
  <c r="A15" i="5" a="1"/>
  <c r="A15" i="5" s="1"/>
  <c r="AB20" i="3"/>
  <c r="AU20" i="3"/>
  <c r="AU19" i="3"/>
  <c r="AB19" i="3"/>
  <c r="AU37" i="3"/>
  <c r="AB37" i="3"/>
  <c r="AS55" i="3"/>
  <c r="AO55" i="3"/>
  <c r="AO54" i="3"/>
  <c r="AS54" i="3"/>
  <c r="AO38" i="3"/>
  <c r="AS38" i="3"/>
  <c r="AO24" i="3"/>
  <c r="AS24" i="3"/>
  <c r="AO23" i="3"/>
  <c r="AS23" i="3"/>
  <c r="AO36" i="3"/>
  <c r="AS36" i="3"/>
  <c r="AO35" i="3"/>
  <c r="AS35" i="3"/>
  <c r="AO30" i="3"/>
  <c r="AS30" i="3"/>
  <c r="AO29" i="3"/>
  <c r="AS29" i="3"/>
  <c r="AO28" i="3"/>
  <c r="AS28" i="3"/>
  <c r="AS31" i="3"/>
  <c r="AO31" i="3"/>
  <c r="AD3" i="3"/>
  <c r="Y4" i="3"/>
  <c r="Y5" i="3"/>
  <c r="AO39" i="3"/>
  <c r="AS39" i="3"/>
  <c r="A35" i="3" a="1"/>
  <c r="A35" i="3" s="1"/>
  <c r="A23" i="3" a="1"/>
  <c r="A23" i="3" s="1"/>
  <c r="A33" i="3" a="1"/>
  <c r="A33" i="3" s="1"/>
  <c r="A25" i="3" a="1"/>
  <c r="A25" i="3" s="1"/>
  <c r="A13" i="3" a="1"/>
  <c r="A13" i="3" s="1"/>
  <c r="A28" i="3" a="1"/>
  <c r="A28" i="3" s="1"/>
  <c r="A54" i="3" a="1"/>
  <c r="A54" i="3" s="1"/>
  <c r="A55" i="3" a="1"/>
  <c r="A55" i="3" s="1"/>
  <c r="A30" i="3" a="1"/>
  <c r="A30" i="3" s="1"/>
  <c r="A52" i="3" a="1"/>
  <c r="A52" i="3" s="1"/>
  <c r="A27" i="3" a="1"/>
  <c r="A27" i="3" s="1"/>
  <c r="A17" i="3" a="1"/>
  <c r="A17" i="3" s="1"/>
  <c r="A42" i="3" a="1"/>
  <c r="A42" i="3" s="1"/>
  <c r="A46" i="3" a="1"/>
  <c r="A46" i="3" s="1"/>
  <c r="A32" i="3" a="1"/>
  <c r="A32" i="3" s="1"/>
  <c r="A44" i="3" a="1"/>
  <c r="A44" i="3" s="1"/>
  <c r="A47" i="3" a="1"/>
  <c r="A47" i="3" s="1"/>
  <c r="A34" i="3" a="1"/>
  <c r="A34" i="3" s="1"/>
  <c r="A29" i="3" a="1"/>
  <c r="A29" i="3" s="1"/>
  <c r="A48" i="3" a="1"/>
  <c r="A48" i="3" s="1"/>
  <c r="A45" i="3" a="1"/>
  <c r="A45" i="3" s="1"/>
  <c r="A49" i="3" a="1"/>
  <c r="A49" i="3" s="1"/>
  <c r="A31" i="3" a="1"/>
  <c r="A31" i="3" s="1"/>
  <c r="A51" i="3" a="1"/>
  <c r="A51" i="3" s="1"/>
  <c r="A53" i="3" a="1"/>
  <c r="A53" i="3" s="1"/>
  <c r="A16" i="3" a="1"/>
  <c r="A16" i="3" s="1"/>
  <c r="A18" i="3" a="1"/>
  <c r="A18" i="3" s="1"/>
  <c r="A19" i="3" a="1"/>
  <c r="A19" i="3" s="1"/>
  <c r="A20" i="3" a="1"/>
  <c r="A20" i="3" s="1"/>
  <c r="A24" i="3" a="1"/>
  <c r="A24" i="3" s="1"/>
  <c r="A12" i="3" a="1"/>
  <c r="A12" i="3" s="1"/>
  <c r="A50" i="3" a="1"/>
  <c r="A50" i="3" s="1"/>
  <c r="A22" i="3" a="1"/>
  <c r="A22" i="3" s="1"/>
  <c r="A11" i="3" a="1"/>
  <c r="A11" i="3" s="1"/>
  <c r="A36" i="3" a="1"/>
  <c r="A36" i="3" s="1"/>
  <c r="A37" i="3" a="1"/>
  <c r="A37" i="3" s="1"/>
  <c r="A38" i="3" a="1"/>
  <c r="A38" i="3" s="1"/>
  <c r="A39" i="3" a="1"/>
  <c r="A39" i="3" s="1"/>
  <c r="A41" i="3" a="1"/>
  <c r="A41" i="3" s="1"/>
  <c r="AO25" i="3"/>
  <c r="D6" i="4" a="1"/>
  <c r="D1" i="4" a="1"/>
  <c r="AI2" i="11" l="1"/>
  <c r="AS26" i="15"/>
  <c r="A30" i="6" a="1"/>
  <c r="A30" i="6" s="1"/>
  <c r="A17" i="6" a="1"/>
  <c r="A17" i="6" s="1"/>
  <c r="A35" i="6" a="1"/>
  <c r="A35" i="6" s="1"/>
  <c r="AU19" i="6"/>
  <c r="AO19" i="6" s="1"/>
  <c r="A34" i="6" a="1"/>
  <c r="A34" i="6" s="1"/>
  <c r="AD3" i="6"/>
  <c r="A23" i="6" a="1"/>
  <c r="A23" i="6" s="1"/>
  <c r="A36" i="6" a="1"/>
  <c r="A36" i="6" s="1"/>
  <c r="A22" i="6" a="1"/>
  <c r="A22" i="6" s="1"/>
  <c r="A11" i="6" a="1"/>
  <c r="A11" i="6" s="1"/>
  <c r="A37" i="6" a="1"/>
  <c r="A37" i="6" s="1"/>
  <c r="D6" i="4"/>
  <c r="E5" i="4" s="1"/>
  <c r="D1" i="4"/>
  <c r="AB17" i="14"/>
  <c r="AS17" i="14"/>
  <c r="AH2" i="18"/>
  <c r="AI2" i="18"/>
  <c r="Z17" i="14"/>
  <c r="V17" i="14"/>
  <c r="T17" i="14" s="1"/>
  <c r="R17" i="14" s="1"/>
  <c r="P17" i="14" s="1"/>
  <c r="N17" i="14" s="1"/>
  <c r="L17" i="14" s="1"/>
  <c r="J17" i="14" s="1"/>
  <c r="H17" i="14" s="1"/>
  <c r="F17" i="14" s="1"/>
  <c r="AR22" i="14"/>
  <c r="AB22" i="14" s="1"/>
  <c r="X22" i="14"/>
  <c r="AN23" i="14"/>
  <c r="AS28" i="14"/>
  <c r="V39" i="14"/>
  <c r="T39" i="14" s="1"/>
  <c r="R39" i="14" s="1"/>
  <c r="P39" i="14" s="1"/>
  <c r="N39" i="14" s="1"/>
  <c r="L39" i="14" s="1"/>
  <c r="J39" i="14" s="1"/>
  <c r="H39" i="14" s="1"/>
  <c r="F39" i="14" s="1"/>
  <c r="Z39" i="14"/>
  <c r="AU40" i="14"/>
  <c r="AO40" i="14" s="1"/>
  <c r="X40" i="14"/>
  <c r="AR40" i="14"/>
  <c r="AB40" i="14" s="1"/>
  <c r="AM42" i="14"/>
  <c r="AN41" i="14"/>
  <c r="AB39" i="14"/>
  <c r="AS39" i="14"/>
  <c r="AU29" i="14"/>
  <c r="AO29" i="14" s="1"/>
  <c r="AR29" i="14"/>
  <c r="AB29" i="14" s="1"/>
  <c r="X29" i="14"/>
  <c r="AN30" i="14"/>
  <c r="AM31" i="14"/>
  <c r="Z28" i="14"/>
  <c r="V28" i="14"/>
  <c r="T28" i="14" s="1"/>
  <c r="R28" i="14" s="1"/>
  <c r="P28" i="14" s="1"/>
  <c r="N28" i="14" s="1"/>
  <c r="L28" i="14" s="1"/>
  <c r="J28" i="14" s="1"/>
  <c r="H28" i="14" s="1"/>
  <c r="F28" i="14" s="1"/>
  <c r="V61" i="15"/>
  <c r="T61" i="15" s="1"/>
  <c r="R61" i="15" s="1"/>
  <c r="P61" i="15" s="1"/>
  <c r="N61" i="15" s="1"/>
  <c r="L61" i="15" s="1"/>
  <c r="J61" i="15" s="1"/>
  <c r="H61" i="15" s="1"/>
  <c r="F61" i="15" s="1"/>
  <c r="Z61" i="15"/>
  <c r="AM64" i="15"/>
  <c r="AN63" i="15"/>
  <c r="X62" i="15"/>
  <c r="AR62" i="15"/>
  <c r="AB62" i="15" s="1"/>
  <c r="AR45" i="15"/>
  <c r="AB45" i="15" s="1"/>
  <c r="AU45" i="15"/>
  <c r="AO45" i="15" s="1"/>
  <c r="X45" i="15"/>
  <c r="AN46" i="15"/>
  <c r="AM47" i="15"/>
  <c r="V44" i="15"/>
  <c r="T44" i="15" s="1"/>
  <c r="R44" i="15" s="1"/>
  <c r="P44" i="15" s="1"/>
  <c r="N44" i="15" s="1"/>
  <c r="L44" i="15" s="1"/>
  <c r="J44" i="15" s="1"/>
  <c r="H44" i="15" s="1"/>
  <c r="F44" i="15" s="1"/>
  <c r="Z44" i="15"/>
  <c r="AB30" i="15"/>
  <c r="AS30" i="15"/>
  <c r="V30" i="15"/>
  <c r="T30" i="15" s="1"/>
  <c r="R30" i="15" s="1"/>
  <c r="P30" i="15" s="1"/>
  <c r="N30" i="15" s="1"/>
  <c r="L30" i="15" s="1"/>
  <c r="J30" i="15" s="1"/>
  <c r="H30" i="15" s="1"/>
  <c r="F30" i="15" s="1"/>
  <c r="Z30" i="15"/>
  <c r="AN32" i="15"/>
  <c r="AM33" i="15"/>
  <c r="AR31" i="15"/>
  <c r="AB31" i="15" s="1"/>
  <c r="X31" i="15"/>
  <c r="V25" i="15"/>
  <c r="T25" i="15" s="1"/>
  <c r="R25" i="15" s="1"/>
  <c r="P25" i="15" s="1"/>
  <c r="N25" i="15" s="1"/>
  <c r="L25" i="15" s="1"/>
  <c r="J25" i="15" s="1"/>
  <c r="H25" i="15" s="1"/>
  <c r="F25" i="15" s="1"/>
  <c r="Z25" i="15"/>
  <c r="V26" i="15"/>
  <c r="T26" i="15" s="1"/>
  <c r="R26" i="15" s="1"/>
  <c r="P26" i="15" s="1"/>
  <c r="N26" i="15" s="1"/>
  <c r="L26" i="15" s="1"/>
  <c r="J26" i="15" s="1"/>
  <c r="H26" i="15" s="1"/>
  <c r="F26" i="15" s="1"/>
  <c r="Z26" i="15"/>
  <c r="AS44" i="15"/>
  <c r="AB61" i="15"/>
  <c r="AS61" i="15"/>
  <c r="AB25" i="15"/>
  <c r="AS25" i="15"/>
  <c r="AS20" i="13"/>
  <c r="AO20" i="13"/>
  <c r="AS46" i="14"/>
  <c r="AO46" i="14"/>
  <c r="A56" i="15" a="1"/>
  <c r="A56" i="15" s="1"/>
  <c r="A60" i="15" a="1"/>
  <c r="A60" i="15" s="1"/>
  <c r="A58" i="15" a="1"/>
  <c r="A58" i="15" s="1"/>
  <c r="A57" i="15" a="1"/>
  <c r="A57" i="15" s="1"/>
  <c r="A55" i="15" a="1"/>
  <c r="A55" i="15" s="1"/>
  <c r="A59" i="15" a="1"/>
  <c r="A59" i="15" s="1"/>
  <c r="A49" i="15" a="1"/>
  <c r="A49" i="15" s="1"/>
  <c r="A48" i="15" a="1"/>
  <c r="A48" i="15" s="1"/>
  <c r="A46" i="15" a="1"/>
  <c r="A46" i="15" s="1"/>
  <c r="A47" i="15" a="1"/>
  <c r="A47" i="15" s="1"/>
  <c r="A44" i="15" a="1"/>
  <c r="A44" i="15" s="1"/>
  <c r="A45" i="15" a="1"/>
  <c r="A45" i="15" s="1"/>
  <c r="A50" i="15" a="1"/>
  <c r="A50" i="15" s="1"/>
  <c r="AO62" i="15"/>
  <c r="AS18" i="15"/>
  <c r="AO18" i="15"/>
  <c r="A20" i="15" a="1"/>
  <c r="A20" i="15" s="1"/>
  <c r="A26" i="15" a="1"/>
  <c r="A26" i="15" s="1"/>
  <c r="AU22" i="15"/>
  <c r="A14" i="15" a="1"/>
  <c r="A14" i="15" s="1"/>
  <c r="AO29" i="15"/>
  <c r="AS29" i="15"/>
  <c r="AS11" i="15"/>
  <c r="AO11" i="15"/>
  <c r="AH2" i="11"/>
  <c r="AS12" i="5"/>
  <c r="AO12" i="5"/>
  <c r="AO18" i="13"/>
  <c r="AS18" i="13"/>
  <c r="AH2" i="9"/>
  <c r="AI2" i="9"/>
  <c r="AO16" i="18"/>
  <c r="AD2" i="18" s="1" a="1"/>
  <c r="AD2" i="18" s="1"/>
  <c r="AS16" i="18"/>
  <c r="AH4" i="18" s="1"/>
  <c r="AO19" i="18"/>
  <c r="AS19" i="18"/>
  <c r="AS53" i="18"/>
  <c r="AO53" i="18"/>
  <c r="AS41" i="18"/>
  <c r="AO41" i="18"/>
  <c r="AI4" i="18"/>
  <c r="AO33" i="6"/>
  <c r="AS33" i="6"/>
  <c r="AS34" i="6"/>
  <c r="AO34" i="6"/>
  <c r="AO13" i="12"/>
  <c r="AS13" i="12"/>
  <c r="AS28" i="12"/>
  <c r="AO28" i="12"/>
  <c r="AO20" i="12"/>
  <c r="AH3" i="12" s="1"/>
  <c r="AS20" i="12"/>
  <c r="AH4" i="12" s="1"/>
  <c r="AO18" i="8"/>
  <c r="AS18" i="8"/>
  <c r="AS16" i="8"/>
  <c r="AO16" i="8"/>
  <c r="AS29" i="11"/>
  <c r="AO29" i="11"/>
  <c r="AH3" i="11"/>
  <c r="AI3" i="10"/>
  <c r="AI2" i="10"/>
  <c r="AH2" i="10"/>
  <c r="AS12" i="9"/>
  <c r="AO12" i="9"/>
  <c r="AS49" i="9"/>
  <c r="AO49" i="9"/>
  <c r="AO33" i="9"/>
  <c r="AS33" i="9"/>
  <c r="AO23" i="13"/>
  <c r="AS23" i="13"/>
  <c r="AO13" i="7"/>
  <c r="AS13" i="7"/>
  <c r="AS54" i="17"/>
  <c r="AO54" i="17"/>
  <c r="AS53" i="17"/>
  <c r="AO53" i="17"/>
  <c r="AO49" i="17"/>
  <c r="AS49" i="17"/>
  <c r="AS25" i="17"/>
  <c r="AO25" i="17"/>
  <c r="AH3" i="17" s="1"/>
  <c r="AO48" i="17"/>
  <c r="AS48" i="17"/>
  <c r="AS45" i="17"/>
  <c r="AO45" i="17"/>
  <c r="AS42" i="17"/>
  <c r="AO42" i="17"/>
  <c r="AO51" i="17"/>
  <c r="AS51" i="17"/>
  <c r="AH2" i="17"/>
  <c r="AI2" i="17"/>
  <c r="AS15" i="16"/>
  <c r="AO15" i="16"/>
  <c r="AS36" i="16"/>
  <c r="AO36" i="16"/>
  <c r="AS30" i="16"/>
  <c r="AO30" i="16"/>
  <c r="AO16" i="16"/>
  <c r="AS16" i="16"/>
  <c r="AO14" i="16"/>
  <c r="AH3" i="16" s="1"/>
  <c r="AS14" i="16"/>
  <c r="AS49" i="14"/>
  <c r="AO49" i="14"/>
  <c r="AS12" i="15"/>
  <c r="AO12" i="15"/>
  <c r="AO13" i="15"/>
  <c r="AS13" i="15"/>
  <c r="AO54" i="15"/>
  <c r="AS54" i="15"/>
  <c r="A25" i="15" a="1"/>
  <c r="A25" i="15" s="1"/>
  <c r="AD3" i="15"/>
  <c r="A63" i="15" a="1"/>
  <c r="A63" i="15" s="1"/>
  <c r="A68" i="15" a="1"/>
  <c r="A68" i="15" s="1"/>
  <c r="A22" i="15" a="1"/>
  <c r="A22" i="15" s="1"/>
  <c r="A35" i="15" a="1"/>
  <c r="A35" i="15" s="1"/>
  <c r="A36" i="15" a="1"/>
  <c r="A36" i="15" s="1"/>
  <c r="A67" i="15" a="1"/>
  <c r="A67" i="15" s="1"/>
  <c r="A30" i="15" a="1"/>
  <c r="A30" i="15" s="1"/>
  <c r="A37" i="15" a="1"/>
  <c r="A37" i="15" s="1"/>
  <c r="A65" i="15" a="1"/>
  <c r="A65" i="15" s="1"/>
  <c r="A39" i="15" a="1"/>
  <c r="A39" i="15" s="1"/>
  <c r="A66" i="15" a="1"/>
  <c r="A66" i="15" s="1"/>
  <c r="A16" i="15" a="1"/>
  <c r="A16" i="15" s="1"/>
  <c r="A28" i="15" a="1"/>
  <c r="A28" i="15" s="1"/>
  <c r="A52" i="15" a="1"/>
  <c r="A52" i="15" s="1"/>
  <c r="A53" i="15" a="1"/>
  <c r="A53" i="15" s="1"/>
  <c r="A61" i="15" a="1"/>
  <c r="A61" i="15" s="1"/>
  <c r="A13" i="15" a="1"/>
  <c r="A13" i="15" s="1"/>
  <c r="A64" i="15" a="1"/>
  <c r="A64" i="15" s="1"/>
  <c r="A17" i="15" a="1"/>
  <c r="A17" i="15" s="1"/>
  <c r="A33" i="15" a="1"/>
  <c r="A33" i="15" s="1"/>
  <c r="A18" i="15" a="1"/>
  <c r="A18" i="15" s="1"/>
  <c r="A19" i="15" a="1"/>
  <c r="A19" i="15" s="1"/>
  <c r="A12" i="15" a="1"/>
  <c r="A12" i="15" s="1"/>
  <c r="A42" i="15" a="1"/>
  <c r="A42" i="15" s="1"/>
  <c r="A32" i="15" a="1"/>
  <c r="A32" i="15" s="1"/>
  <c r="A43" i="15" a="1"/>
  <c r="A43" i="15" s="1"/>
  <c r="A54" i="15" a="1"/>
  <c r="A54" i="15" s="1"/>
  <c r="A24" i="15" a="1"/>
  <c r="A24" i="15" s="1"/>
  <c r="A11" i="15" a="1"/>
  <c r="A11" i="15" s="1"/>
  <c r="A62" i="15" a="1"/>
  <c r="A62" i="15" s="1"/>
  <c r="A31" i="15" a="1"/>
  <c r="A31" i="15" s="1"/>
  <c r="A34" i="15" a="1"/>
  <c r="A34" i="15" s="1"/>
  <c r="A40" i="15" a="1"/>
  <c r="A40" i="15" s="1"/>
  <c r="AB22" i="15"/>
  <c r="A38" i="15" a="1"/>
  <c r="A38" i="15" s="1"/>
  <c r="A29" i="15" a="1"/>
  <c r="A29" i="15" s="1"/>
  <c r="AI2" i="5"/>
  <c r="AH2" i="5"/>
  <c r="AO24" i="5"/>
  <c r="AS24" i="5"/>
  <c r="AS19" i="5"/>
  <c r="AO19" i="5"/>
  <c r="AS50" i="17"/>
  <c r="AI2" i="16"/>
  <c r="AH2" i="16"/>
  <c r="AS52" i="14"/>
  <c r="AH2" i="13"/>
  <c r="AI2" i="13"/>
  <c r="AS37" i="12"/>
  <c r="AI2" i="12"/>
  <c r="AH2" i="12"/>
  <c r="AS38" i="11"/>
  <c r="AH3" i="10"/>
  <c r="AS35" i="9"/>
  <c r="AI2" i="8"/>
  <c r="AH2" i="8"/>
  <c r="AI2" i="7"/>
  <c r="AH2" i="7"/>
  <c r="AS20" i="7"/>
  <c r="AH2" i="6"/>
  <c r="AI2" i="6"/>
  <c r="AS19" i="6"/>
  <c r="AS37" i="3"/>
  <c r="AO37" i="3"/>
  <c r="AI3" i="3"/>
  <c r="AH3" i="3"/>
  <c r="AS20" i="3"/>
  <c r="AO20" i="3"/>
  <c r="AS19" i="3"/>
  <c r="AO19" i="3"/>
  <c r="AS53" i="3"/>
  <c r="AO53" i="3"/>
  <c r="AS51" i="3"/>
  <c r="AO51" i="3"/>
  <c r="AS50" i="3"/>
  <c r="AO50" i="3"/>
  <c r="D10" i="4" a="1"/>
  <c r="E6" i="4" l="1"/>
  <c r="AI3" i="16"/>
  <c r="AS62" i="15"/>
  <c r="D10" i="4"/>
  <c r="V22" i="14"/>
  <c r="T22" i="14" s="1"/>
  <c r="R22" i="14" s="1"/>
  <c r="P22" i="14" s="1"/>
  <c r="N22" i="14" s="1"/>
  <c r="L22" i="14" s="1"/>
  <c r="J22" i="14" s="1"/>
  <c r="H22" i="14" s="1"/>
  <c r="F22" i="14" s="1"/>
  <c r="AU22" i="14" s="1"/>
  <c r="Z22" i="14"/>
  <c r="AU23" i="14"/>
  <c r="AO23" i="14" s="1"/>
  <c r="X23" i="14"/>
  <c r="AR23" i="14"/>
  <c r="AB23" i="14" s="1"/>
  <c r="AN18" i="14"/>
  <c r="AN19" i="14"/>
  <c r="Z40" i="14"/>
  <c r="V40" i="14"/>
  <c r="T40" i="14" s="1"/>
  <c r="R40" i="14" s="1"/>
  <c r="P40" i="14" s="1"/>
  <c r="N40" i="14" s="1"/>
  <c r="L40" i="14" s="1"/>
  <c r="J40" i="14" s="1"/>
  <c r="H40" i="14" s="1"/>
  <c r="F40" i="14" s="1"/>
  <c r="AN42" i="14"/>
  <c r="AM43" i="14"/>
  <c r="AU41" i="14"/>
  <c r="AO41" i="14" s="1"/>
  <c r="X41" i="14"/>
  <c r="AR41" i="14"/>
  <c r="AB41" i="14" s="1"/>
  <c r="AS40" i="14"/>
  <c r="Z29" i="14"/>
  <c r="V29" i="14"/>
  <c r="T29" i="14" s="1"/>
  <c r="R29" i="14" s="1"/>
  <c r="P29" i="14" s="1"/>
  <c r="N29" i="14" s="1"/>
  <c r="L29" i="14" s="1"/>
  <c r="J29" i="14" s="1"/>
  <c r="H29" i="14" s="1"/>
  <c r="F29" i="14" s="1"/>
  <c r="AR30" i="14"/>
  <c r="AB30" i="14" s="1"/>
  <c r="X30" i="14"/>
  <c r="AM32" i="14"/>
  <c r="AN31" i="14"/>
  <c r="AS29" i="14"/>
  <c r="AN64" i="15"/>
  <c r="AM65" i="15"/>
  <c r="AU63" i="15"/>
  <c r="AO63" i="15" s="1"/>
  <c r="AR63" i="15"/>
  <c r="AB63" i="15" s="1"/>
  <c r="X63" i="15"/>
  <c r="V62" i="15"/>
  <c r="T62" i="15" s="1"/>
  <c r="R62" i="15" s="1"/>
  <c r="P62" i="15" s="1"/>
  <c r="N62" i="15" s="1"/>
  <c r="L62" i="15" s="1"/>
  <c r="J62" i="15" s="1"/>
  <c r="H62" i="15" s="1"/>
  <c r="F62" i="15" s="1"/>
  <c r="Z62" i="15"/>
  <c r="V45" i="15"/>
  <c r="T45" i="15" s="1"/>
  <c r="R45" i="15" s="1"/>
  <c r="P45" i="15" s="1"/>
  <c r="N45" i="15" s="1"/>
  <c r="L45" i="15" s="1"/>
  <c r="J45" i="15" s="1"/>
  <c r="H45" i="15" s="1"/>
  <c r="F45" i="15" s="1"/>
  <c r="Z45" i="15"/>
  <c r="AU46" i="15"/>
  <c r="AO46" i="15" s="1"/>
  <c r="X46" i="15"/>
  <c r="AR46" i="15"/>
  <c r="AB46" i="15" s="1"/>
  <c r="AN47" i="15"/>
  <c r="AM48" i="15"/>
  <c r="AR32" i="15"/>
  <c r="AU32" i="15"/>
  <c r="AO32" i="15" s="1"/>
  <c r="X32" i="15"/>
  <c r="AM34" i="15"/>
  <c r="AN33" i="15"/>
  <c r="Z31" i="15"/>
  <c r="V31" i="15"/>
  <c r="T31" i="15" s="1"/>
  <c r="R31" i="15" s="1"/>
  <c r="P31" i="15" s="1"/>
  <c r="N31" i="15" s="1"/>
  <c r="L31" i="15" s="1"/>
  <c r="J31" i="15" s="1"/>
  <c r="H31" i="15" s="1"/>
  <c r="F31" i="15" s="1"/>
  <c r="AU31" i="15" s="1"/>
  <c r="AS45" i="15"/>
  <c r="AI4" i="12"/>
  <c r="AI3" i="17"/>
  <c r="AO22" i="15"/>
  <c r="AS22" i="15"/>
  <c r="AD2" i="16" a="1"/>
  <c r="AD2" i="16" s="1"/>
  <c r="AD2" i="17" a="1"/>
  <c r="AD2" i="17" s="1"/>
  <c r="AD2" i="9" a="1"/>
  <c r="AD2" i="9" s="1"/>
  <c r="AD2" i="10" a="1"/>
  <c r="AD2" i="10" s="1"/>
  <c r="AI3" i="12"/>
  <c r="AD2" i="12" a="1"/>
  <c r="AD2" i="12" s="1"/>
  <c r="AI4" i="8"/>
  <c r="AH4" i="8"/>
  <c r="AI3" i="8"/>
  <c r="AD2" i="8" a="1"/>
  <c r="AD2" i="8" s="1"/>
  <c r="AH3" i="8"/>
  <c r="AD2" i="11" a="1"/>
  <c r="AD2" i="11" s="1"/>
  <c r="AI3" i="11"/>
  <c r="AH4" i="13"/>
  <c r="AI4" i="13"/>
  <c r="AI3" i="13"/>
  <c r="AD2" i="13" a="1"/>
  <c r="AD2" i="13" s="1"/>
  <c r="AH3" i="13"/>
  <c r="AH3" i="5"/>
  <c r="AD2" i="5" a="1"/>
  <c r="AD2" i="5" s="1"/>
  <c r="AI3" i="5"/>
  <c r="AH4" i="17"/>
  <c r="AI4" i="17"/>
  <c r="AI4" i="16"/>
  <c r="AH4" i="16"/>
  <c r="AH4" i="11"/>
  <c r="AI4" i="11"/>
  <c r="AI4" i="10"/>
  <c r="AH4" i="10"/>
  <c r="AH4" i="9"/>
  <c r="AI4" i="9"/>
  <c r="AI3" i="9"/>
  <c r="AH3" i="9"/>
  <c r="AH4" i="7"/>
  <c r="AI4" i="7"/>
  <c r="AI3" i="7"/>
  <c r="AH3" i="7"/>
  <c r="AD2" i="7" a="1"/>
  <c r="AD2" i="7" s="1"/>
  <c r="AI4" i="6"/>
  <c r="AH4" i="6"/>
  <c r="AI3" i="6"/>
  <c r="AH3" i="6"/>
  <c r="AD2" i="6" a="1"/>
  <c r="AD2" i="6" s="1"/>
  <c r="AI4" i="5"/>
  <c r="AH4" i="5"/>
  <c r="AO32" i="3"/>
  <c r="AS32" i="3"/>
  <c r="AO33" i="3"/>
  <c r="AS33" i="3"/>
  <c r="AO34" i="3"/>
  <c r="AS34" i="3"/>
  <c r="AS22" i="14" l="1"/>
  <c r="AO22" i="14"/>
  <c r="Z23" i="14"/>
  <c r="V23" i="14"/>
  <c r="T23" i="14" s="1"/>
  <c r="R23" i="14" s="1"/>
  <c r="P23" i="14" s="1"/>
  <c r="N23" i="14" s="1"/>
  <c r="L23" i="14" s="1"/>
  <c r="J23" i="14" s="1"/>
  <c r="H23" i="14" s="1"/>
  <c r="F23" i="14" s="1"/>
  <c r="AU18" i="14"/>
  <c r="AO18" i="14" s="1"/>
  <c r="X18" i="14"/>
  <c r="AR18" i="14"/>
  <c r="AB18" i="14" s="1"/>
  <c r="X19" i="14"/>
  <c r="AR19" i="14"/>
  <c r="AU19" i="14"/>
  <c r="AO19" i="14" s="1"/>
  <c r="AS23" i="14"/>
  <c r="AU42" i="14"/>
  <c r="AO42" i="14" s="1"/>
  <c r="AR42" i="14"/>
  <c r="AB42" i="14" s="1"/>
  <c r="X42" i="14"/>
  <c r="AN43" i="14"/>
  <c r="AM44" i="14"/>
  <c r="AN44" i="14" s="1"/>
  <c r="Z41" i="14"/>
  <c r="V41" i="14"/>
  <c r="T41" i="14" s="1"/>
  <c r="R41" i="14" s="1"/>
  <c r="P41" i="14" s="1"/>
  <c r="N41" i="14" s="1"/>
  <c r="L41" i="14" s="1"/>
  <c r="J41" i="14" s="1"/>
  <c r="H41" i="14" s="1"/>
  <c r="F41" i="14" s="1"/>
  <c r="AS41" i="14"/>
  <c r="Z30" i="14"/>
  <c r="V30" i="14"/>
  <c r="T30" i="14" s="1"/>
  <c r="R30" i="14" s="1"/>
  <c r="P30" i="14" s="1"/>
  <c r="N30" i="14" s="1"/>
  <c r="L30" i="14" s="1"/>
  <c r="J30" i="14" s="1"/>
  <c r="H30" i="14" s="1"/>
  <c r="F30" i="14" s="1"/>
  <c r="AU30" i="14" s="1"/>
  <c r="AN32" i="14"/>
  <c r="AM33" i="14"/>
  <c r="AN33" i="14" s="1"/>
  <c r="AR31" i="14"/>
  <c r="AB31" i="14" s="1"/>
  <c r="X31" i="14"/>
  <c r="AU64" i="15"/>
  <c r="AO64" i="15" s="1"/>
  <c r="AR64" i="15"/>
  <c r="AB64" i="15" s="1"/>
  <c r="X64" i="15"/>
  <c r="AM66" i="15"/>
  <c r="AN65" i="15"/>
  <c r="Z63" i="15"/>
  <c r="V63" i="15"/>
  <c r="T63" i="15" s="1"/>
  <c r="R63" i="15" s="1"/>
  <c r="P63" i="15" s="1"/>
  <c r="N63" i="15" s="1"/>
  <c r="L63" i="15" s="1"/>
  <c r="J63" i="15" s="1"/>
  <c r="H63" i="15" s="1"/>
  <c r="F63" i="15" s="1"/>
  <c r="Z46" i="15"/>
  <c r="V46" i="15"/>
  <c r="T46" i="15" s="1"/>
  <c r="R46" i="15" s="1"/>
  <c r="P46" i="15" s="1"/>
  <c r="N46" i="15" s="1"/>
  <c r="L46" i="15" s="1"/>
  <c r="J46" i="15" s="1"/>
  <c r="H46" i="15" s="1"/>
  <c r="F46" i="15" s="1"/>
  <c r="AU47" i="15"/>
  <c r="AO47" i="15" s="1"/>
  <c r="X47" i="15"/>
  <c r="AR47" i="15"/>
  <c r="AB47" i="15" s="1"/>
  <c r="AN48" i="15"/>
  <c r="AM49" i="15"/>
  <c r="AS32" i="15"/>
  <c r="AB32" i="15"/>
  <c r="V32" i="15"/>
  <c r="T32" i="15" s="1"/>
  <c r="R32" i="15" s="1"/>
  <c r="P32" i="15" s="1"/>
  <c r="N32" i="15" s="1"/>
  <c r="L32" i="15" s="1"/>
  <c r="J32" i="15" s="1"/>
  <c r="H32" i="15" s="1"/>
  <c r="F32" i="15" s="1"/>
  <c r="Z32" i="15"/>
  <c r="AM35" i="15"/>
  <c r="AN34" i="15"/>
  <c r="AU33" i="15"/>
  <c r="AO33" i="15" s="1"/>
  <c r="AR33" i="15"/>
  <c r="X33" i="15"/>
  <c r="AS31" i="15"/>
  <c r="AO31" i="15"/>
  <c r="AS63" i="15"/>
  <c r="AS46" i="15"/>
  <c r="AI4" i="3"/>
  <c r="AH4" i="3"/>
  <c r="AD2" i="3" a="1"/>
  <c r="AD2" i="3" s="1"/>
  <c r="AI2" i="3"/>
  <c r="AH2" i="3"/>
  <c r="Z18" i="14" l="1"/>
  <c r="V18" i="14"/>
  <c r="T18" i="14" s="1"/>
  <c r="R18" i="14" s="1"/>
  <c r="P18" i="14" s="1"/>
  <c r="N18" i="14" s="1"/>
  <c r="L18" i="14" s="1"/>
  <c r="J18" i="14" s="1"/>
  <c r="H18" i="14" s="1"/>
  <c r="F18" i="14" s="1"/>
  <c r="V19" i="14"/>
  <c r="T19" i="14" s="1"/>
  <c r="R19" i="14" s="1"/>
  <c r="P19" i="14" s="1"/>
  <c r="N19" i="14" s="1"/>
  <c r="L19" i="14" s="1"/>
  <c r="J19" i="14" s="1"/>
  <c r="H19" i="14" s="1"/>
  <c r="F19" i="14" s="1"/>
  <c r="Z19" i="14"/>
  <c r="AS18" i="14"/>
  <c r="AS19" i="14"/>
  <c r="AB19" i="14"/>
  <c r="V42" i="14"/>
  <c r="T42" i="14" s="1"/>
  <c r="R42" i="14" s="1"/>
  <c r="P42" i="14" s="1"/>
  <c r="N42" i="14" s="1"/>
  <c r="L42" i="14" s="1"/>
  <c r="J42" i="14" s="1"/>
  <c r="H42" i="14" s="1"/>
  <c r="F42" i="14" s="1"/>
  <c r="Z42" i="14"/>
  <c r="AU43" i="14"/>
  <c r="AO43" i="14" s="1"/>
  <c r="X43" i="14"/>
  <c r="AR43" i="14"/>
  <c r="AB43" i="14" s="1"/>
  <c r="AR44" i="14"/>
  <c r="AU44" i="14"/>
  <c r="AO44" i="14" s="1"/>
  <c r="X44" i="14"/>
  <c r="AS42" i="14"/>
  <c r="AS30" i="14"/>
  <c r="AO30" i="14"/>
  <c r="AR32" i="14"/>
  <c r="AB32" i="14" s="1"/>
  <c r="X32" i="14"/>
  <c r="AU33" i="14"/>
  <c r="AO33" i="14" s="1"/>
  <c r="AR33" i="14"/>
  <c r="AB33" i="14" s="1"/>
  <c r="X33" i="14"/>
  <c r="V31" i="14"/>
  <c r="T31" i="14" s="1"/>
  <c r="R31" i="14" s="1"/>
  <c r="P31" i="14" s="1"/>
  <c r="N31" i="14" s="1"/>
  <c r="L31" i="14" s="1"/>
  <c r="J31" i="14" s="1"/>
  <c r="H31" i="14" s="1"/>
  <c r="F31" i="14" s="1"/>
  <c r="AU31" i="14" s="1"/>
  <c r="Z31" i="14"/>
  <c r="V64" i="15"/>
  <c r="T64" i="15" s="1"/>
  <c r="R64" i="15" s="1"/>
  <c r="P64" i="15" s="1"/>
  <c r="N64" i="15" s="1"/>
  <c r="L64" i="15" s="1"/>
  <c r="J64" i="15" s="1"/>
  <c r="H64" i="15" s="1"/>
  <c r="F64" i="15" s="1"/>
  <c r="Z64" i="15"/>
  <c r="AM67" i="15"/>
  <c r="AN66" i="15"/>
  <c r="AU65" i="15"/>
  <c r="AO65" i="15" s="1"/>
  <c r="AR65" i="15"/>
  <c r="AB65" i="15" s="1"/>
  <c r="X65" i="15"/>
  <c r="V47" i="15"/>
  <c r="T47" i="15" s="1"/>
  <c r="R47" i="15" s="1"/>
  <c r="P47" i="15" s="1"/>
  <c r="N47" i="15" s="1"/>
  <c r="L47" i="15" s="1"/>
  <c r="J47" i="15" s="1"/>
  <c r="H47" i="15" s="1"/>
  <c r="F47" i="15" s="1"/>
  <c r="Z47" i="15"/>
  <c r="AU48" i="15"/>
  <c r="AO48" i="15" s="1"/>
  <c r="AR48" i="15"/>
  <c r="AB48" i="15" s="1"/>
  <c r="X48" i="15"/>
  <c r="AN49" i="15"/>
  <c r="AM50" i="15"/>
  <c r="AN50" i="15" s="1"/>
  <c r="AN35" i="15"/>
  <c r="AM36" i="15"/>
  <c r="AR34" i="15"/>
  <c r="AU34" i="15"/>
  <c r="AO34" i="15" s="1"/>
  <c r="X34" i="15"/>
  <c r="AS33" i="15"/>
  <c r="AB33" i="15"/>
  <c r="V33" i="15"/>
  <c r="T33" i="15" s="1"/>
  <c r="R33" i="15" s="1"/>
  <c r="P33" i="15" s="1"/>
  <c r="N33" i="15" s="1"/>
  <c r="L33" i="15" s="1"/>
  <c r="J33" i="15" s="1"/>
  <c r="H33" i="15" s="1"/>
  <c r="F33" i="15" s="1"/>
  <c r="Z33" i="15"/>
  <c r="AS47" i="15"/>
  <c r="AS64" i="15"/>
  <c r="Z43" i="14" l="1"/>
  <c r="V43" i="14"/>
  <c r="T43" i="14" s="1"/>
  <c r="R43" i="14" s="1"/>
  <c r="P43" i="14" s="1"/>
  <c r="N43" i="14" s="1"/>
  <c r="L43" i="14" s="1"/>
  <c r="J43" i="14" s="1"/>
  <c r="H43" i="14" s="1"/>
  <c r="F43" i="14" s="1"/>
  <c r="Z44" i="14"/>
  <c r="V44" i="14"/>
  <c r="T44" i="14" s="1"/>
  <c r="R44" i="14" s="1"/>
  <c r="P44" i="14" s="1"/>
  <c r="N44" i="14" s="1"/>
  <c r="L44" i="14" s="1"/>
  <c r="J44" i="14" s="1"/>
  <c r="H44" i="14" s="1"/>
  <c r="F44" i="14" s="1"/>
  <c r="AB44" i="14" s="1"/>
  <c r="AS44" i="14"/>
  <c r="AS43" i="14"/>
  <c r="Z32" i="14"/>
  <c r="V32" i="14"/>
  <c r="T32" i="14" s="1"/>
  <c r="R32" i="14" s="1"/>
  <c r="P32" i="14" s="1"/>
  <c r="N32" i="14" s="1"/>
  <c r="L32" i="14" s="1"/>
  <c r="J32" i="14" s="1"/>
  <c r="H32" i="14" s="1"/>
  <c r="F32" i="14" s="1"/>
  <c r="AU32" i="14" s="1"/>
  <c r="Z33" i="14"/>
  <c r="V33" i="14"/>
  <c r="T33" i="14" s="1"/>
  <c r="R33" i="14" s="1"/>
  <c r="P33" i="14" s="1"/>
  <c r="N33" i="14" s="1"/>
  <c r="L33" i="14" s="1"/>
  <c r="J33" i="14" s="1"/>
  <c r="H33" i="14" s="1"/>
  <c r="F33" i="14" s="1"/>
  <c r="AS31" i="14"/>
  <c r="AO31" i="14"/>
  <c r="AS33" i="14"/>
  <c r="AM68" i="15"/>
  <c r="AN68" i="15" s="1"/>
  <c r="AN67" i="15"/>
  <c r="AU66" i="15"/>
  <c r="AO66" i="15" s="1"/>
  <c r="AR66" i="15"/>
  <c r="AB66" i="15" s="1"/>
  <c r="X66" i="15"/>
  <c r="V65" i="15"/>
  <c r="T65" i="15" s="1"/>
  <c r="R65" i="15" s="1"/>
  <c r="P65" i="15" s="1"/>
  <c r="N65" i="15" s="1"/>
  <c r="L65" i="15" s="1"/>
  <c r="J65" i="15" s="1"/>
  <c r="H65" i="15" s="1"/>
  <c r="F65" i="15" s="1"/>
  <c r="Z65" i="15"/>
  <c r="V48" i="15"/>
  <c r="T48" i="15" s="1"/>
  <c r="R48" i="15" s="1"/>
  <c r="P48" i="15" s="1"/>
  <c r="N48" i="15" s="1"/>
  <c r="L48" i="15" s="1"/>
  <c r="J48" i="15" s="1"/>
  <c r="H48" i="15" s="1"/>
  <c r="F48" i="15" s="1"/>
  <c r="Z48" i="15"/>
  <c r="AU49" i="15"/>
  <c r="AO49" i="15" s="1"/>
  <c r="AR49" i="15"/>
  <c r="AB49" i="15" s="1"/>
  <c r="X49" i="15"/>
  <c r="AU50" i="15"/>
  <c r="AO50" i="15" s="1"/>
  <c r="AR50" i="15"/>
  <c r="AB50" i="15" s="1"/>
  <c r="X50" i="15"/>
  <c r="AR35" i="15"/>
  <c r="AB35" i="15" s="1"/>
  <c r="X35" i="15"/>
  <c r="AM37" i="15"/>
  <c r="AN36" i="15"/>
  <c r="AS34" i="15"/>
  <c r="AB34" i="15"/>
  <c r="V34" i="15"/>
  <c r="T34" i="15" s="1"/>
  <c r="R34" i="15" s="1"/>
  <c r="P34" i="15" s="1"/>
  <c r="N34" i="15" s="1"/>
  <c r="L34" i="15" s="1"/>
  <c r="J34" i="15" s="1"/>
  <c r="H34" i="15" s="1"/>
  <c r="F34" i="15" s="1"/>
  <c r="Z34" i="15"/>
  <c r="AS65" i="15"/>
  <c r="AS48" i="15"/>
  <c r="AH2" i="14" l="1"/>
  <c r="AI2" i="14"/>
  <c r="AS32" i="14"/>
  <c r="AO32" i="14"/>
  <c r="AU68" i="15"/>
  <c r="AO68" i="15" s="1"/>
  <c r="AR68" i="15"/>
  <c r="AB68" i="15" s="1"/>
  <c r="X68" i="15"/>
  <c r="AU67" i="15"/>
  <c r="AO67" i="15" s="1"/>
  <c r="AR67" i="15"/>
  <c r="X67" i="15"/>
  <c r="Z66" i="15"/>
  <c r="V66" i="15"/>
  <c r="T66" i="15" s="1"/>
  <c r="R66" i="15" s="1"/>
  <c r="P66" i="15" s="1"/>
  <c r="N66" i="15" s="1"/>
  <c r="L66" i="15" s="1"/>
  <c r="J66" i="15" s="1"/>
  <c r="H66" i="15" s="1"/>
  <c r="F66" i="15" s="1"/>
  <c r="Z49" i="15"/>
  <c r="V49" i="15"/>
  <c r="T49" i="15" s="1"/>
  <c r="R49" i="15" s="1"/>
  <c r="P49" i="15" s="1"/>
  <c r="N49" i="15" s="1"/>
  <c r="L49" i="15" s="1"/>
  <c r="J49" i="15" s="1"/>
  <c r="H49" i="15" s="1"/>
  <c r="F49" i="15" s="1"/>
  <c r="V50" i="15"/>
  <c r="T50" i="15" s="1"/>
  <c r="R50" i="15" s="1"/>
  <c r="P50" i="15" s="1"/>
  <c r="N50" i="15" s="1"/>
  <c r="L50" i="15" s="1"/>
  <c r="J50" i="15" s="1"/>
  <c r="H50" i="15" s="1"/>
  <c r="F50" i="15" s="1"/>
  <c r="Z50" i="15"/>
  <c r="V35" i="15"/>
  <c r="T35" i="15" s="1"/>
  <c r="R35" i="15" s="1"/>
  <c r="P35" i="15" s="1"/>
  <c r="N35" i="15" s="1"/>
  <c r="L35" i="15" s="1"/>
  <c r="J35" i="15" s="1"/>
  <c r="H35" i="15" s="1"/>
  <c r="F35" i="15" s="1"/>
  <c r="AU35" i="15" s="1"/>
  <c r="Z35" i="15"/>
  <c r="AN37" i="15"/>
  <c r="AM38" i="15"/>
  <c r="AU36" i="15"/>
  <c r="AO36" i="15" s="1"/>
  <c r="X36" i="15"/>
  <c r="AR36" i="15"/>
  <c r="AB36" i="15" s="1"/>
  <c r="AS50" i="15"/>
  <c r="AS49" i="15"/>
  <c r="AS66" i="15"/>
  <c r="AI4" i="14" l="1"/>
  <c r="AH4" i="14"/>
  <c r="AD2" i="14" a="1"/>
  <c r="AD2" i="14" s="1"/>
  <c r="AH3" i="14"/>
  <c r="AI3" i="14"/>
  <c r="V68" i="15"/>
  <c r="T68" i="15" s="1"/>
  <c r="R68" i="15" s="1"/>
  <c r="P68" i="15" s="1"/>
  <c r="N68" i="15" s="1"/>
  <c r="L68" i="15" s="1"/>
  <c r="J68" i="15" s="1"/>
  <c r="H68" i="15" s="1"/>
  <c r="F68" i="15" s="1"/>
  <c r="Z68" i="15"/>
  <c r="Z67" i="15"/>
  <c r="V67" i="15"/>
  <c r="T67" i="15" s="1"/>
  <c r="R67" i="15" s="1"/>
  <c r="P67" i="15" s="1"/>
  <c r="N67" i="15" s="1"/>
  <c r="L67" i="15" s="1"/>
  <c r="J67" i="15" s="1"/>
  <c r="H67" i="15" s="1"/>
  <c r="F67" i="15" s="1"/>
  <c r="AS35" i="15"/>
  <c r="AO35" i="15"/>
  <c r="AU37" i="15"/>
  <c r="AO37" i="15" s="1"/>
  <c r="X37" i="15"/>
  <c r="AR37" i="15"/>
  <c r="AM39" i="15"/>
  <c r="AN38" i="15"/>
  <c r="Z36" i="15"/>
  <c r="V36" i="15"/>
  <c r="T36" i="15" s="1"/>
  <c r="R36" i="15" s="1"/>
  <c r="P36" i="15" s="1"/>
  <c r="N36" i="15" s="1"/>
  <c r="L36" i="15" s="1"/>
  <c r="J36" i="15" s="1"/>
  <c r="H36" i="15" s="1"/>
  <c r="F36" i="15" s="1"/>
  <c r="AS36" i="15"/>
  <c r="AS68" i="15"/>
  <c r="AS67" i="15"/>
  <c r="AB67" i="15"/>
  <c r="V37" i="15" l="1"/>
  <c r="T37" i="15" s="1"/>
  <c r="R37" i="15" s="1"/>
  <c r="P37" i="15" s="1"/>
  <c r="N37" i="15" s="1"/>
  <c r="L37" i="15" s="1"/>
  <c r="J37" i="15" s="1"/>
  <c r="H37" i="15" s="1"/>
  <c r="F37" i="15" s="1"/>
  <c r="Z37" i="15"/>
  <c r="AN39" i="15"/>
  <c r="AM40" i="15"/>
  <c r="AN40" i="15" s="1"/>
  <c r="AR38" i="15"/>
  <c r="AB38" i="15" s="1"/>
  <c r="X38" i="15"/>
  <c r="AS37" i="15"/>
  <c r="AB37" i="15"/>
  <c r="AR39" i="15" l="1"/>
  <c r="AB39" i="15" s="1"/>
  <c r="X39" i="15"/>
  <c r="AU40" i="15"/>
  <c r="AO40" i="15" s="1"/>
  <c r="AR40" i="15"/>
  <c r="AB40" i="15" s="1"/>
  <c r="X40" i="15"/>
  <c r="V38" i="15"/>
  <c r="T38" i="15" s="1"/>
  <c r="R38" i="15" s="1"/>
  <c r="P38" i="15" s="1"/>
  <c r="N38" i="15" s="1"/>
  <c r="L38" i="15" s="1"/>
  <c r="J38" i="15" s="1"/>
  <c r="H38" i="15" s="1"/>
  <c r="F38" i="15" s="1"/>
  <c r="AU38" i="15" s="1"/>
  <c r="Z38" i="15"/>
  <c r="Z39" i="15" l="1"/>
  <c r="V39" i="15"/>
  <c r="T39" i="15" s="1"/>
  <c r="R39" i="15" s="1"/>
  <c r="P39" i="15" s="1"/>
  <c r="N39" i="15" s="1"/>
  <c r="L39" i="15" s="1"/>
  <c r="J39" i="15" s="1"/>
  <c r="H39" i="15" s="1"/>
  <c r="F39" i="15" s="1"/>
  <c r="AU39" i="15" s="1"/>
  <c r="AH2" i="15"/>
  <c r="AI2" i="15"/>
  <c r="V40" i="15"/>
  <c r="T40" i="15" s="1"/>
  <c r="R40" i="15" s="1"/>
  <c r="P40" i="15" s="1"/>
  <c r="N40" i="15" s="1"/>
  <c r="L40" i="15" s="1"/>
  <c r="J40" i="15" s="1"/>
  <c r="H40" i="15" s="1"/>
  <c r="F40" i="15" s="1"/>
  <c r="Z40" i="15"/>
  <c r="AS38" i="15"/>
  <c r="AO38" i="15"/>
  <c r="AS40" i="15"/>
  <c r="D14" i="4" a="1"/>
  <c r="C14" i="4" a="1"/>
  <c r="D14" i="4" l="1"/>
  <c r="C14" i="4"/>
  <c r="AS39" i="15"/>
  <c r="AI4" i="15" s="1"/>
  <c r="AO39" i="15"/>
  <c r="AH4" i="15"/>
  <c r="AD2" i="15" a="1"/>
  <c r="AD2" i="15" s="1"/>
  <c r="AH3" i="15"/>
  <c r="AI3" i="15"/>
  <c r="D16" i="4" a="1"/>
  <c r="D9" i="4" a="1"/>
  <c r="C15" i="4" a="1"/>
  <c r="C16" i="4" a="1"/>
  <c r="D15" i="4" a="1"/>
  <c r="D15" i="4" l="1"/>
  <c r="C15" i="4"/>
  <c r="C16" i="4"/>
  <c r="D16" i="4"/>
  <c r="D9" i="4"/>
  <c r="D11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<sst xmlns="http://schemas.openxmlformats.org/spreadsheetml/2006/main" count="2638" uniqueCount="506">
  <si>
    <t>Proc Status</t>
  </si>
  <si>
    <t>Package
Manager</t>
  </si>
  <si>
    <t>1. Tender Docs &amp; BOQ</t>
  </si>
  <si>
    <t>Suhail</t>
  </si>
  <si>
    <t>2. Bidder List</t>
  </si>
  <si>
    <t>Ifthiqar</t>
  </si>
  <si>
    <t>3. EOI</t>
  </si>
  <si>
    <t>Prabhu</t>
  </si>
  <si>
    <t>4. Tender Float</t>
  </si>
  <si>
    <t xml:space="preserve">Manoj </t>
  </si>
  <si>
    <t>5. Initial submission</t>
  </si>
  <si>
    <t>Reyoon</t>
  </si>
  <si>
    <t xml:space="preserve">6. Tech &amp; Com Review </t>
  </si>
  <si>
    <t>Jayantha</t>
  </si>
  <si>
    <t>7. BAFO</t>
  </si>
  <si>
    <t>8. Tech &amp; Com Review</t>
  </si>
  <si>
    <t>9. Award Rec. Approval</t>
  </si>
  <si>
    <t>10. Issued to Contractor</t>
  </si>
  <si>
    <t>11. Subcontract Agreement signed</t>
  </si>
  <si>
    <t>GFA (m2)</t>
  </si>
  <si>
    <t>Actual to date Impact on Value</t>
  </si>
  <si>
    <t>Value</t>
  </si>
  <si>
    <t>Project</t>
  </si>
  <si>
    <t>PS - Contract Value (incl. OHP)</t>
  </si>
  <si>
    <t>Package Manager</t>
  </si>
  <si>
    <t>Awards up to date (incl. OHP)</t>
  </si>
  <si>
    <t>Previous Step Date</t>
  </si>
  <si>
    <t>Savings against contract PS</t>
  </si>
  <si>
    <t>Planned Award</t>
  </si>
  <si>
    <t>Award Summary</t>
  </si>
  <si>
    <t>Total Packages</t>
  </si>
  <si>
    <t>Finalized Packages</t>
  </si>
  <si>
    <t>Total Packages %</t>
  </si>
  <si>
    <t>Delay Summary</t>
  </si>
  <si>
    <t>nos.</t>
  </si>
  <si>
    <t>Max delay</t>
  </si>
  <si>
    <t>Delay to Baseline</t>
  </si>
  <si>
    <t>Projects</t>
  </si>
  <si>
    <t>Sheet</t>
  </si>
  <si>
    <t>Include</t>
  </si>
  <si>
    <t>Data</t>
  </si>
  <si>
    <t>Summary</t>
  </si>
  <si>
    <t>Grove 3&amp;4</t>
  </si>
  <si>
    <t>Nobu</t>
  </si>
  <si>
    <t>Grove 6&amp;7</t>
  </si>
  <si>
    <t>Mamsha Palm</t>
  </si>
  <si>
    <t>Faya (SB45)</t>
  </si>
  <si>
    <t>Mamsha Gardens</t>
  </si>
  <si>
    <t>Sama Yas</t>
  </si>
  <si>
    <t>Waldorf</t>
  </si>
  <si>
    <t>Fahid TA1-2</t>
  </si>
  <si>
    <t>Fahid TA3-5</t>
  </si>
  <si>
    <t>Fahid TA6-8</t>
  </si>
  <si>
    <t>Verdes</t>
  </si>
  <si>
    <t>Wilds</t>
  </si>
  <si>
    <t>Marjan</t>
  </si>
  <si>
    <t>Blank</t>
  </si>
  <si>
    <t xml:space="preserve">Project </t>
  </si>
  <si>
    <t>Components</t>
  </si>
  <si>
    <t>Category</t>
  </si>
  <si>
    <t>LDC</t>
  </si>
  <si>
    <t>PMC</t>
  </si>
  <si>
    <t>Supervision</t>
  </si>
  <si>
    <t>Contractor</t>
  </si>
  <si>
    <t>BUA (m2)</t>
  </si>
  <si>
    <t>Award Date</t>
  </si>
  <si>
    <t>Commencement</t>
  </si>
  <si>
    <t>Value Summary</t>
  </si>
  <si>
    <t>Packages Summary</t>
  </si>
  <si>
    <t>Project Lump Sum Value in LAFO</t>
  </si>
  <si>
    <t>Total Packages (nos)</t>
  </si>
  <si>
    <t>Source 1&amp;2
Grove 3&amp;4</t>
  </si>
  <si>
    <t>3 Buildings - 2B+G+9</t>
  </si>
  <si>
    <t>Resi Buildings</t>
  </si>
  <si>
    <t>Atkins</t>
  </si>
  <si>
    <t>Hill</t>
  </si>
  <si>
    <t>Innovo</t>
  </si>
  <si>
    <t>PS - Lump Sum Value in LAFO</t>
  </si>
  <si>
    <t>Remaining to award</t>
  </si>
  <si>
    <t>Finalized Packages (nos)</t>
  </si>
  <si>
    <t>Finalized Packages Savings against Lump Sum</t>
  </si>
  <si>
    <t>Days Since Award (days)</t>
  </si>
  <si>
    <t>Finalized Packages Savings against contract PS</t>
  </si>
  <si>
    <t>Data Date</t>
  </si>
  <si>
    <t>SN</t>
  </si>
  <si>
    <t>Pkg No.</t>
  </si>
  <si>
    <t>Package</t>
  </si>
  <si>
    <t>Variance from Today</t>
  </si>
  <si>
    <t>PS Procurement Duration</t>
  </si>
  <si>
    <t>PS - Contract Value (excl. OHP)</t>
  </si>
  <si>
    <t>PS - Award Value (incl. OHP)</t>
  </si>
  <si>
    <t>Saving (against PS in contract)</t>
  </si>
  <si>
    <t>Awarded Sub-contractor</t>
  </si>
  <si>
    <t>Cont Dur</t>
  </si>
  <si>
    <t>Contract Date Nomination</t>
  </si>
  <si>
    <t>Var</t>
  </si>
  <si>
    <t>Float</t>
  </si>
  <si>
    <t>Late Date in Programme</t>
  </si>
  <si>
    <t>Actual / Forecast Award</t>
  </si>
  <si>
    <t>Current Stage (from 1-11)</t>
  </si>
  <si>
    <t>4. Tender  Float</t>
  </si>
  <si>
    <t>11. Subcontract signed</t>
  </si>
  <si>
    <t>Plan</t>
  </si>
  <si>
    <t>Actual / Forecast</t>
  </si>
  <si>
    <t>PC Rate Items</t>
  </si>
  <si>
    <t>PC1</t>
  </si>
  <si>
    <t>Light Fittings</t>
  </si>
  <si>
    <t>Manoj</t>
  </si>
  <si>
    <t>Frater (AWRostamani)</t>
  </si>
  <si>
    <t>PC2</t>
  </si>
  <si>
    <t>Sanitaryware</t>
  </si>
  <si>
    <t>1.Kitchen &amp; Bath Gallery
2.Sarieddine
3.Sanipex
4.Ecobuild
5.Graniti</t>
  </si>
  <si>
    <t>PC3</t>
  </si>
  <si>
    <t>Tiles - Supply</t>
  </si>
  <si>
    <t>RAK Ceramics PJSC</t>
  </si>
  <si>
    <t xml:space="preserve">MEP Works </t>
  </si>
  <si>
    <t>PS2</t>
  </si>
  <si>
    <t>Aluminium &amp; Glazing</t>
  </si>
  <si>
    <t>Fibrex (Aluglex)</t>
  </si>
  <si>
    <t>PS3&amp;4</t>
  </si>
  <si>
    <t>GRC Façade including External suspended ceiling</t>
  </si>
  <si>
    <t>Fibrex</t>
  </si>
  <si>
    <t>PS5</t>
  </si>
  <si>
    <t>Façade Structural Steel</t>
  </si>
  <si>
    <t>German Steel</t>
  </si>
  <si>
    <t>PS8a</t>
  </si>
  <si>
    <t>Aluminium and Glazing Works (Internal), Shower Partitions and Glass Doors</t>
  </si>
  <si>
    <t>Non Structural Metal Works (Handrail )</t>
  </si>
  <si>
    <t xml:space="preserve">Joinery and Carpentry </t>
  </si>
  <si>
    <t>PS6</t>
  </si>
  <si>
    <t>Joinery/ Wood Works</t>
  </si>
  <si>
    <t>Saathieth</t>
  </si>
  <si>
    <t>Abaad</t>
  </si>
  <si>
    <t>Penthouse Doors</t>
  </si>
  <si>
    <t>incl. above</t>
  </si>
  <si>
    <t>Wooden cladding &amp; flooring</t>
  </si>
  <si>
    <t>Penthouse Kitchen Cabinet and Wardrobes</t>
  </si>
  <si>
    <t>Finishes</t>
  </si>
  <si>
    <t>PS11</t>
  </si>
  <si>
    <t>Marble</t>
  </si>
  <si>
    <t>Valencia Marble</t>
  </si>
  <si>
    <t>Metal Works (Floor, Wall and Skirting)</t>
  </si>
  <si>
    <t>Floor Underlay</t>
  </si>
  <si>
    <t>Pliteq</t>
  </si>
  <si>
    <t>Suspended Ceilings (Internal) including bulkheads, access panels &amp; GRC works</t>
  </si>
  <si>
    <t>Mirrors</t>
  </si>
  <si>
    <t>Specialties including Cistern tank wall and cover, Bathtub ledge and side panel, GRP Ladders</t>
  </si>
  <si>
    <t>Obaid Al Abdi</t>
  </si>
  <si>
    <t>Dry Wall and Lining</t>
  </si>
  <si>
    <t>Micro concrete</t>
  </si>
  <si>
    <t>PS8b</t>
  </si>
  <si>
    <t>Carpets</t>
  </si>
  <si>
    <t>Rubber Flooring including vinyl flooring and skirting</t>
  </si>
  <si>
    <t>Entrance Mat</t>
  </si>
  <si>
    <t>Wall Paper/Coverings</t>
  </si>
  <si>
    <t>Tiles (Ceramic, Porcelain…Etc.) - Installation</t>
  </si>
  <si>
    <t>External Works</t>
  </si>
  <si>
    <t>PS13</t>
  </si>
  <si>
    <t>Swimming Pools/ Features</t>
  </si>
  <si>
    <t>Brook &amp; Ripples</t>
  </si>
  <si>
    <t>PS14</t>
  </si>
  <si>
    <t>Landscaping (Hard &amp; Soft)</t>
  </si>
  <si>
    <t>Basatin</t>
  </si>
  <si>
    <t>Equipments &amp; Accessories</t>
  </si>
  <si>
    <t>PS1</t>
  </si>
  <si>
    <t xml:space="preserve">Lifts &amp; Escalators </t>
  </si>
  <si>
    <t>Kone</t>
  </si>
  <si>
    <t>PS9</t>
  </si>
  <si>
    <t>BMU</t>
  </si>
  <si>
    <t>Keesafety</t>
  </si>
  <si>
    <t>PS10</t>
  </si>
  <si>
    <t xml:space="preserve">Garbage Chute </t>
  </si>
  <si>
    <t>Pearl Industries</t>
  </si>
  <si>
    <t>PS7</t>
  </si>
  <si>
    <t>Metal Doors</t>
  </si>
  <si>
    <t>Momentum</t>
  </si>
  <si>
    <t>PS16</t>
  </si>
  <si>
    <t>Steam &amp; Sauna</t>
  </si>
  <si>
    <t>Sportsline</t>
  </si>
  <si>
    <t>Spa Equipment</t>
  </si>
  <si>
    <t>Loose Furniture &amp; Artworks (Internal)</t>
  </si>
  <si>
    <t>Waste Bins</t>
  </si>
  <si>
    <t>Partially Included in Kitchen cabinets</t>
  </si>
  <si>
    <t>Gym Equipment - FW Lifefitness</t>
  </si>
  <si>
    <t>Parking Accessories</t>
  </si>
  <si>
    <t>PS12</t>
  </si>
  <si>
    <t>Signage</t>
  </si>
  <si>
    <t>PS15</t>
  </si>
  <si>
    <t>White Goods</t>
  </si>
  <si>
    <t>Total</t>
  </si>
  <si>
    <t>Nobu Hotel &amp; Branded Residences</t>
  </si>
  <si>
    <t>4 Buildings 2B+G+7 floors</t>
  </si>
  <si>
    <t>Hotel &amp; Branded Resi</t>
  </si>
  <si>
    <t>RSP</t>
  </si>
  <si>
    <t>Egis</t>
  </si>
  <si>
    <t>ARCO</t>
  </si>
  <si>
    <t>Al futtaim, Metallica, Sobokuva</t>
  </si>
  <si>
    <t>Aluminium And Glazing</t>
  </si>
  <si>
    <t>Aluglex</t>
  </si>
  <si>
    <t>GRC</t>
  </si>
  <si>
    <t xml:space="preserve">Fibrex </t>
  </si>
  <si>
    <t>External Stone Wall Cladding</t>
  </si>
  <si>
    <t>Stonetta</t>
  </si>
  <si>
    <t>Timber doors</t>
  </si>
  <si>
    <t>Wood Works (engineered wood,wood ceiling  ,wood wall, kitchen, wardrobes, vanity, fixed furniture for guest rooms)</t>
  </si>
  <si>
    <t>Kitchen &amp; Wardrobes</t>
  </si>
  <si>
    <t>Finishes (internal,tiles,stone ,paints,ceiling, Polished/Decorative /Acoustic plaster, Vinyl, Carpets etc..)</t>
  </si>
  <si>
    <t>Dry Wall Partitions</t>
  </si>
  <si>
    <t>Perfect Building Materials</t>
  </si>
  <si>
    <t>PS3</t>
  </si>
  <si>
    <t>Swimming Pools</t>
  </si>
  <si>
    <t>Donrite</t>
  </si>
  <si>
    <t>Lifts</t>
  </si>
  <si>
    <t>PS18</t>
  </si>
  <si>
    <t>Steam and Sauna</t>
  </si>
  <si>
    <t>PS17</t>
  </si>
  <si>
    <t>Laundry Equipment</t>
  </si>
  <si>
    <t>PS8</t>
  </si>
  <si>
    <t>Kitchen equipments &amp; White goods</t>
  </si>
  <si>
    <t>PS4</t>
  </si>
  <si>
    <t>Furnishing (curtain track)</t>
  </si>
  <si>
    <t>Accessories (Others - Parking accessories, signage, movable partitions, cubicle)</t>
  </si>
  <si>
    <t>Arthouse
Grove 6&amp;7</t>
  </si>
  <si>
    <t>3 Buildings 2B+G+9</t>
  </si>
  <si>
    <t>Dutco</t>
  </si>
  <si>
    <t>FOH light fittings</t>
  </si>
  <si>
    <t>BOH light fittings</t>
  </si>
  <si>
    <t>Sanitary fixtures</t>
  </si>
  <si>
    <t>Non - structural metal works</t>
  </si>
  <si>
    <t>Structural metal works</t>
  </si>
  <si>
    <t>Steel Door</t>
  </si>
  <si>
    <t>Glazed Door, Curtain Wall, Louver Door</t>
  </si>
  <si>
    <t>Ironmongery</t>
  </si>
  <si>
    <t>Wardrobes</t>
  </si>
  <si>
    <t>Kitchen cabinets</t>
  </si>
  <si>
    <t>Vanity units</t>
  </si>
  <si>
    <t>TV Shelves, Lockers</t>
  </si>
  <si>
    <t>Other Millwork</t>
  </si>
  <si>
    <t>Acosutic Underlayment</t>
  </si>
  <si>
    <t>Tiles - Floor, Walls, Skirting, Threshold</t>
  </si>
  <si>
    <t>Resilleint Flooring</t>
  </si>
  <si>
    <t>Wooden Flooring</t>
  </si>
  <si>
    <t>Paint - Internal and External</t>
  </si>
  <si>
    <t>Wallpaper</t>
  </si>
  <si>
    <t>Acoustic Panels</t>
  </si>
  <si>
    <t>Wood Panels</t>
  </si>
  <si>
    <t>Stone Cladding</t>
  </si>
  <si>
    <t>Suspended ceiling</t>
  </si>
  <si>
    <t>Aluminium Fins, Aluminium Canopy</t>
  </si>
  <si>
    <t>ACP Cladding</t>
  </si>
  <si>
    <t>Wild Air</t>
  </si>
  <si>
    <t>Landscape works outside plot boundary</t>
  </si>
  <si>
    <t>Hardscape</t>
  </si>
  <si>
    <t>Softscape</t>
  </si>
  <si>
    <t>Signages and Wayfindings</t>
  </si>
  <si>
    <t>Irrigation, Drainage Installation</t>
  </si>
  <si>
    <t>Ladnscape Lighting</t>
  </si>
  <si>
    <t>Swimming pool, Skyvilla pool</t>
  </si>
  <si>
    <t>Waterfeature</t>
  </si>
  <si>
    <t>CCTV</t>
  </si>
  <si>
    <t>White Goods.</t>
  </si>
  <si>
    <t>Gym Equipment</t>
  </si>
  <si>
    <t>Loose Furniture to Common spaces/Amenities</t>
  </si>
  <si>
    <t>Glass partitions</t>
  </si>
  <si>
    <t>Garbage Chute</t>
  </si>
  <si>
    <t>Docking Equipment</t>
  </si>
  <si>
    <t>Gym Equipments</t>
  </si>
  <si>
    <t>Loose Furniture</t>
  </si>
  <si>
    <t>Artwork</t>
  </si>
  <si>
    <t>Curtains</t>
  </si>
  <si>
    <t>Carpet Flooring</t>
  </si>
  <si>
    <t>1 Building 2B+G+6</t>
  </si>
  <si>
    <t>Resi Building</t>
  </si>
  <si>
    <t>Dewan</t>
  </si>
  <si>
    <t>Sanitary items</t>
  </si>
  <si>
    <t>Light fittings</t>
  </si>
  <si>
    <t>Timber Doors</t>
  </si>
  <si>
    <t>Aluminium Doors,Glass Doors, Curtain Walls, Glass Balustrade, External Louver</t>
  </si>
  <si>
    <t>HPL Doors</t>
  </si>
  <si>
    <t>Structural Steel</t>
  </si>
  <si>
    <t>Non Structural Steel</t>
  </si>
  <si>
    <t>Attic Stock for all PC rate items</t>
  </si>
  <si>
    <t>Metal Trims</t>
  </si>
  <si>
    <t>GRC Cladding</t>
  </si>
  <si>
    <t>Aluminium Louver</t>
  </si>
  <si>
    <t>Signages &amp; Way Findings</t>
  </si>
  <si>
    <t>Steam, Suana and Plunge Pool</t>
  </si>
  <si>
    <t>Hardscape &amp; Softscape</t>
  </si>
  <si>
    <t>Balustrades and Handrails</t>
  </si>
  <si>
    <t>Swimming Pool</t>
  </si>
  <si>
    <t>Irrigation System</t>
  </si>
  <si>
    <t>Landscape Furniture</t>
  </si>
  <si>
    <t>Signage and Wayfindings</t>
  </si>
  <si>
    <t>Security system</t>
  </si>
  <si>
    <t>Supply and installation Gym Equipments</t>
  </si>
  <si>
    <t>Supply and installation Loose Furniture</t>
  </si>
  <si>
    <t>Supply and installation Kids Play Equipment</t>
  </si>
  <si>
    <t>Supply and installation curtains and curtain tracks</t>
  </si>
  <si>
    <t>Conveying Systems</t>
  </si>
  <si>
    <t>Accessories</t>
  </si>
  <si>
    <t>Equipments</t>
  </si>
  <si>
    <t>Supply and installation Kitchen Equipments</t>
  </si>
  <si>
    <t>Faya Saadiyat
SB 45 &amp; SB456</t>
  </si>
  <si>
    <t>SB45-19 Villas, 2 Mansions, Infra &amp; Roads
SB46-4 Villas, Infra &amp; Roads</t>
  </si>
  <si>
    <t>Villas &amp; Infra</t>
  </si>
  <si>
    <t>Dar</t>
  </si>
  <si>
    <t>Al Kharafi</t>
  </si>
  <si>
    <t>Structural and Civil Works</t>
  </si>
  <si>
    <t>Infrastructure works</t>
  </si>
  <si>
    <t>Boundary Wall</t>
  </si>
  <si>
    <t>incl. Landscape PS</t>
  </si>
  <si>
    <t>Ancillary building</t>
  </si>
  <si>
    <t>Extrnal work for villas except Landscaping works</t>
  </si>
  <si>
    <t>incl. Ancillary Building PS</t>
  </si>
  <si>
    <t>Golf Tunnel</t>
  </si>
  <si>
    <t>Dewatering</t>
  </si>
  <si>
    <t>Metal works</t>
  </si>
  <si>
    <t>Doors and Windows</t>
  </si>
  <si>
    <t>UHPC Cladding</t>
  </si>
  <si>
    <t>Carpentary and Woodworks</t>
  </si>
  <si>
    <t>Thermal and Moisture Protection</t>
  </si>
  <si>
    <t>Landscaping</t>
  </si>
  <si>
    <t>Vertical Transportation</t>
  </si>
  <si>
    <t>Furniture</t>
  </si>
  <si>
    <t>incl. Woodwork PS</t>
  </si>
  <si>
    <t xml:space="preserve">Equipment </t>
  </si>
  <si>
    <t>Kids play equipment &amp; Turkish Bath</t>
  </si>
  <si>
    <t>7 Buildings 2B+G+7</t>
  </si>
  <si>
    <t>AECOM</t>
  </si>
  <si>
    <t>255,160 m2</t>
  </si>
  <si>
    <t>122,271 m2</t>
  </si>
  <si>
    <t>3 Buildings 1B+G+7</t>
  </si>
  <si>
    <t>Mott Macdonald</t>
  </si>
  <si>
    <t>MEC</t>
  </si>
  <si>
    <t>65,666 m2</t>
  </si>
  <si>
    <t>51,999 m2</t>
  </si>
  <si>
    <t>Sanitaryware and Acessories</t>
  </si>
  <si>
    <t>• Hashmiya (KOHLER)
• Sanitary Material (ROCA)</t>
  </si>
  <si>
    <t>Landscape Lighting</t>
  </si>
  <si>
    <t>Istanboul</t>
  </si>
  <si>
    <t>Penthouse MEP</t>
  </si>
  <si>
    <t>Laundry Cabinet</t>
  </si>
  <si>
    <t>Penthouse Wood</t>
  </si>
  <si>
    <t>White goods</t>
  </si>
  <si>
    <t>Loose Furniture &amp; Art works</t>
  </si>
  <si>
    <t>Waldorf Astoria (Yas Links)</t>
  </si>
  <si>
    <t>KEO</t>
  </si>
  <si>
    <t>Freiburg</t>
  </si>
  <si>
    <t>Mock-up</t>
  </si>
  <si>
    <t>Sanitary Fixture</t>
  </si>
  <si>
    <t>Lighting fixtures</t>
  </si>
  <si>
    <t>Woodworks</t>
  </si>
  <si>
    <t>Softlandscape &amp; irrigation</t>
  </si>
  <si>
    <t>Loose furniture</t>
  </si>
  <si>
    <t>Gym equipment</t>
  </si>
  <si>
    <t>Whitegoods</t>
  </si>
  <si>
    <t>7 Buildings G+P+10</t>
  </si>
  <si>
    <t>Shapoorji</t>
  </si>
  <si>
    <t>Fiber cement board</t>
  </si>
  <si>
    <t>Pergola Louver</t>
  </si>
  <si>
    <t>External Wall Metal Work(Alumini Rofilel)</t>
  </si>
  <si>
    <t>Alum Doors.Curtain Wall.Balustrade</t>
  </si>
  <si>
    <t>Epoxy Flooring</t>
  </si>
  <si>
    <t>Wooden Finishes</t>
  </si>
  <si>
    <t>Metal Trim</t>
  </si>
  <si>
    <t>Suspended Ceiling</t>
  </si>
  <si>
    <t>Finishes - Screed and Plaster</t>
  </si>
  <si>
    <t>Fencing and Railing</t>
  </si>
  <si>
    <t>Steel Shade Structure</t>
  </si>
  <si>
    <t>Road marking and Road signs</t>
  </si>
  <si>
    <t>External Srvices (MEP)</t>
  </si>
  <si>
    <t>SPA</t>
  </si>
  <si>
    <t>Squash Court</t>
  </si>
  <si>
    <t>Cinema</t>
  </si>
  <si>
    <t>Accessories (MIRROR,PARTITION )</t>
  </si>
  <si>
    <t>Supply of White Goods</t>
  </si>
  <si>
    <t>Outdoor Furniture</t>
  </si>
  <si>
    <t>Supply and installation of gym equipment</t>
  </si>
  <si>
    <t>supply and installation of play equipment</t>
  </si>
  <si>
    <t>Furnishings</t>
  </si>
  <si>
    <t>6 Buildings B+G+10</t>
  </si>
  <si>
    <t>External Wall Finishes (Grc,Tiles,Cem Board)</t>
  </si>
  <si>
    <t>Internal Finishes</t>
  </si>
  <si>
    <t>External works (Landscape &amp; irrigation)</t>
  </si>
  <si>
    <t>Special Construction</t>
  </si>
  <si>
    <t>Garbage chute and BMU</t>
  </si>
  <si>
    <t>supply and installation of gym equipment</t>
  </si>
  <si>
    <t>11 Buildings B+G+9</t>
  </si>
  <si>
    <t>Haven Apartments (Verdes)</t>
  </si>
  <si>
    <t>7 Buildings G+P + 4-17 floors</t>
  </si>
  <si>
    <t>Jll</t>
  </si>
  <si>
    <t>Nurol</t>
  </si>
  <si>
    <t>136,787 m2</t>
  </si>
  <si>
    <t>Tiles</t>
  </si>
  <si>
    <t>The Wilds</t>
  </si>
  <si>
    <t>941 Villas</t>
  </si>
  <si>
    <t>Villas</t>
  </si>
  <si>
    <t>Genco</t>
  </si>
  <si>
    <t>Sanitary ware - Package 1 &amp; 3</t>
  </si>
  <si>
    <t>Light Fittings - Package 1 &amp; 3</t>
  </si>
  <si>
    <t>Wiring accessories - Package 1 &amp; 3</t>
  </si>
  <si>
    <t>Sanitary ware, Lighting Fixtures, Wiring Accessories - Premium Villas</t>
  </si>
  <si>
    <t>Sanitary ware, Lighting Fixtures, Wiring Accessories - Ultra Luxury Villas</t>
  </si>
  <si>
    <t>Metal Works - Premium Villas</t>
  </si>
  <si>
    <t>Doors and Windows - Premium Villas</t>
  </si>
  <si>
    <t>Metal Works - Ultra Luxury Villas</t>
  </si>
  <si>
    <t>Doors and Windows - Ultra Luxury Villas</t>
  </si>
  <si>
    <t>Wood Works - Premium Villas</t>
  </si>
  <si>
    <t>Wood Works - Ultra Luxury Villas</t>
  </si>
  <si>
    <t>Finishes - Premium Villas</t>
  </si>
  <si>
    <t>Finishes - Ultra Luxury Villas</t>
  </si>
  <si>
    <t>External Site Works - Premium Villas</t>
  </si>
  <si>
    <t>External Landsccape, Lighting Fitiiings, Swimming pool MEP works, Lateral Irrigation, MEP Works - Ultra Luxury Villas</t>
  </si>
  <si>
    <t>Conveying Systems - Ultra Luxury Villas</t>
  </si>
  <si>
    <t>Furnishings - Package 1 &amp; 3</t>
  </si>
  <si>
    <t>Accessories - Premium Villas</t>
  </si>
  <si>
    <t>Equipments - Premium Villas</t>
  </si>
  <si>
    <t>Furnishings - Premium Villas</t>
  </si>
  <si>
    <t>White Goods - Package 1 &amp; 3</t>
  </si>
  <si>
    <t>Equipments - Ultra Luxury Villas</t>
  </si>
  <si>
    <t>Furnishings - Ultra Luxury Villas</t>
  </si>
  <si>
    <t>6 Buildings 2B+G+23</t>
  </si>
  <si>
    <t>Resi &amp; Branded Buildings</t>
  </si>
  <si>
    <t>JLL</t>
  </si>
  <si>
    <t>Al hashmiya general trading &amp; Sarieddine Trading Est</t>
  </si>
  <si>
    <t>Frater (AW Rostamani)</t>
  </si>
  <si>
    <t xml:space="preserve">Shapoorji </t>
  </si>
  <si>
    <t>Aluminium Doors, Curtain Wall, Balustrate etc.</t>
  </si>
  <si>
    <t>External Wall Metal Works(Aluminium Profile)</t>
  </si>
  <si>
    <t>Cement Board (External Walls)</t>
  </si>
  <si>
    <t>incl. Above</t>
  </si>
  <si>
    <t>Terracot Paint (External Wall)</t>
  </si>
  <si>
    <t>Wooden Cladding</t>
  </si>
  <si>
    <t>Kitchen Cabinet &amp; Wardrobes</t>
  </si>
  <si>
    <t>External Play Equipment</t>
  </si>
  <si>
    <t>Included</t>
  </si>
  <si>
    <t>TKE</t>
  </si>
  <si>
    <t>Specialist Installations -Allowance for Siemens Use Cases  ( as per the orginal tender BOQ)</t>
  </si>
  <si>
    <t>External Walls- Feature Digital Signage  ( as per the orginal tender BOQ)</t>
  </si>
  <si>
    <t>Accessories(Inc. Shower Partition)</t>
  </si>
  <si>
    <t>Equipments(White Goods &amp; Kitchen Equipments)</t>
  </si>
  <si>
    <t>Fixtures, Fittings and Equipment (FF&amp;E) -Gym Equipment   ( as per the orginal tender BOQ)</t>
  </si>
  <si>
    <t>Pods</t>
  </si>
  <si>
    <t>Du Pods</t>
  </si>
  <si>
    <t>Current delayed remaining packages</t>
  </si>
  <si>
    <t>Aluminum &amp; Metal Works</t>
  </si>
  <si>
    <t>Tentative</t>
  </si>
  <si>
    <t>Forecast Delay to Contract</t>
  </si>
  <si>
    <t>Forecast Delay to Baseline</t>
  </si>
  <si>
    <t>NGS</t>
  </si>
  <si>
    <t>included</t>
  </si>
  <si>
    <t>Axon Singage</t>
  </si>
  <si>
    <t>Ocean Rubber</t>
  </si>
  <si>
    <t xml:space="preserve">Incl on Joinery </t>
  </si>
  <si>
    <t xml:space="preserve">GRC S/C agreement signed still remaing scaffolding </t>
  </si>
  <si>
    <t xml:space="preserve">Garbage chutre S/C performance - Mitigation plan done  Innova </t>
  </si>
  <si>
    <t>Jangho</t>
  </si>
  <si>
    <t xml:space="preserve">Marble  Valencia Marble - will be solved this week  - Additional IFC is solved this week </t>
  </si>
  <si>
    <t xml:space="preserve">RAK :-  excluding third party testing  for tiles </t>
  </si>
  <si>
    <t xml:space="preserve">Waive no requirements </t>
  </si>
  <si>
    <t xml:space="preserve">Adendum to the nomination </t>
  </si>
  <si>
    <t xml:space="preserve">Drywall S/C  Obaid Al Abedly - Objection from Innovo </t>
  </si>
  <si>
    <t xml:space="preserve">S/C agreement already sent on 13 April 2026 </t>
  </si>
  <si>
    <t xml:space="preserve">Pent House </t>
  </si>
  <si>
    <t xml:space="preserve">VO in case of same items </t>
  </si>
  <si>
    <t>Pearl 3</t>
  </si>
  <si>
    <t xml:space="preserve">Glass Update for U Value </t>
  </si>
  <si>
    <t>Kitchen &amp; Wardobes</t>
  </si>
  <si>
    <t xml:space="preserve">This week will be finalized , alternative proposed ( check what </t>
  </si>
  <si>
    <t>Light fitting</t>
  </si>
  <si>
    <t xml:space="preserve">Floated in the market </t>
  </si>
  <si>
    <t xml:space="preserve">By early next week </t>
  </si>
  <si>
    <t>Whaite Goods</t>
  </si>
  <si>
    <t xml:space="preserve">MEP - </t>
  </si>
  <si>
    <t xml:space="preserve">Dutco </t>
  </si>
  <si>
    <t xml:space="preserve">Arco with selected </t>
  </si>
  <si>
    <t xml:space="preserve">MEP works </t>
  </si>
  <si>
    <t xml:space="preserve">Elevator </t>
  </si>
  <si>
    <t xml:space="preserve">Pit depth given, Kone prefered </t>
  </si>
  <si>
    <t xml:space="preserve">Dutco PK Gulf  will be awarded </t>
  </si>
  <si>
    <t xml:space="preserve">Joinery works </t>
  </si>
  <si>
    <t>Will have tomorrow , Innovo Solutions</t>
  </si>
  <si>
    <t xml:space="preserve">Sanitaryware &amp; Light fitings </t>
  </si>
  <si>
    <t xml:space="preserve">will be start in advance  due to the mcokup </t>
  </si>
  <si>
    <t xml:space="preserve">Piling ongoing </t>
  </si>
  <si>
    <t xml:space="preserve">Mock up,  ptocureed before Nov 2026 </t>
  </si>
  <si>
    <t xml:space="preserve">Design in VE, 5.7m to 3m </t>
  </si>
  <si>
    <t xml:space="preserve">Fabrex for Mocup </t>
  </si>
  <si>
    <t xml:space="preserve">S?C agreement issued and siged expected this week </t>
  </si>
  <si>
    <t xml:space="preserve">Lifts </t>
  </si>
  <si>
    <t xml:space="preserve">Lift </t>
  </si>
  <si>
    <t>awarded schiendler</t>
  </si>
  <si>
    <t xml:space="preserve">Slectrion with Donia agreed , award this </t>
  </si>
  <si>
    <t xml:space="preserve">Light fitting </t>
  </si>
  <si>
    <t xml:space="preserve">Tiles </t>
  </si>
  <si>
    <t xml:space="preserve">offers received , ID received form design team and revised offer waiting, next week to finailize </t>
  </si>
  <si>
    <t xml:space="preserve">Joinery package </t>
  </si>
  <si>
    <t xml:space="preserve">Awarding issued today </t>
  </si>
  <si>
    <t xml:space="preserve">GRC </t>
  </si>
  <si>
    <t xml:space="preserve">Ironmongery </t>
  </si>
  <si>
    <t xml:space="preserve">will be next week awarding </t>
  </si>
  <si>
    <t>Pools</t>
  </si>
  <si>
    <t xml:space="preserve">Next week will be ready </t>
  </si>
  <si>
    <t xml:space="preserve">Planning this week , three building GRC  and the other buildings fiber cement </t>
  </si>
  <si>
    <t>Mot Macdoland</t>
  </si>
  <si>
    <t xml:space="preserve">Sanitaryware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</si>
</sst>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/mmm/yy;@"/>
    <numFmt numFmtId="165" formatCode="[$-409]mmm/yy;@"/>
    <numFmt numFmtId="166" formatCode="0\ &quot;days&quot;"/>
  </numFmts>
  <fonts count="4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color theme="0" tint="-0.14999847407452621"/>
      <name val="Calibri"/>
      <family val="2"/>
    </font>
    <font>
      <sz val="12"/>
      <color theme="0" tint="-0.1499984740745262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 tint="-0.14999847407452621"/>
      <name val="Calibri"/>
      <family val="2"/>
    </font>
    <font>
      <sz val="13"/>
      <color rgb="FF000000"/>
      <name val="Calibri"/>
      <family val="2"/>
    </font>
    <font>
      <sz val="11"/>
      <name val="Calibri"/>
      <family val="2"/>
    </font>
    <font>
      <b/>
      <sz val="12"/>
      <color rgb="FF000000"/>
      <name val="Calibri"/>
      <family val="2"/>
    </font>
    <font>
      <sz val="13"/>
      <color theme="1"/>
      <name val="Calibri"/>
      <family val="2"/>
      <scheme val="minor"/>
    </font>
    <font>
      <b/>
      <sz val="12"/>
      <color theme="0" tint="-0.14999847407452621"/>
      <name val="Calibri"/>
      <family val="2"/>
    </font>
    <font>
      <b/>
      <sz val="12"/>
      <color rgb="FFFFFF00"/>
      <name val="Calibri"/>
      <family val="2"/>
    </font>
    <font>
      <b/>
      <sz val="14"/>
      <color theme="3" tint="-0.499984740745262"/>
      <name val="Calibri"/>
      <family val="2"/>
      <scheme val="minor"/>
    </font>
    <font>
      <b/>
      <sz val="14"/>
      <color theme="7" tint="0.79998168889431442"/>
      <name val="Calibri"/>
      <family val="2"/>
    </font>
    <font>
      <b/>
      <sz val="11"/>
      <color theme="3" tint="-0.499984740745262"/>
      <name val="Calibri"/>
      <family val="2"/>
      <scheme val="minor"/>
    </font>
    <font>
      <b/>
      <sz val="12"/>
      <color rgb="FFF2D6D6"/>
      <name val="Calibri"/>
      <family val="2"/>
    </font>
    <font>
      <sz val="10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4"/>
      <color theme="1"/>
      <name val="Calibri"/>
      <family val="2"/>
      <scheme val="minor"/>
    </font>
    <font>
      <b/>
      <sz val="16"/>
      <color rgb="FF7E0000"/>
      <name val="Calibri"/>
      <family val="2"/>
      <scheme val="minor"/>
    </font>
    <font>
      <b/>
      <sz val="18"/>
      <color rgb="FF7E0000"/>
      <name val="Calibri"/>
      <family val="2"/>
      <scheme val="minor"/>
    </font>
    <font>
      <sz val="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1"/>
      <color rgb="FFFF0000"/>
      <name val="Calibri"/>
      <family val="2"/>
    </font>
    <font>
      <b/>
      <sz val="1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0000FF"/>
      <name val="Calibri"/>
      <family val="2"/>
    </font>
    <font>
      <b/>
      <sz val="14"/>
      <color rgb="FF0000FF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0000FF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EFF6EA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</fills>
  <borders count="9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rgb="FF000000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theme="0" tint="-0.499984740745262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/>
      <diagonal/>
    </border>
    <border>
      <left style="thin">
        <color indexed="64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/>
      <diagonal/>
    </border>
    <border>
      <left style="thin">
        <color theme="0" tint="-0.24994659260841701"/>
      </left>
      <right style="thin">
        <color indexed="64"/>
      </right>
      <top/>
      <bottom/>
      <diagonal/>
    </border>
    <border>
      <left style="thin">
        <color theme="0" tint="-0.24994659260841701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rgb="FF000000"/>
      </top>
      <bottom/>
      <diagonal/>
    </border>
    <border>
      <left style="thin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/>
      <right style="double">
        <color theme="0" tint="-0.24994659260841701"/>
      </right>
      <top/>
      <bottom/>
      <diagonal/>
    </border>
    <border>
      <left style="thin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auto="1"/>
      </left>
      <right style="thin">
        <color theme="1" tint="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1" tint="0.499984740745262"/>
      </left>
      <right style="double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double">
        <color indexed="64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double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24994659260841701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24994659260841701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indexed="64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/>
      <diagonal/>
    </border>
    <border>
      <left style="double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double">
        <color theme="0" tint="-0.24994659260841701"/>
      </right>
      <top style="thin">
        <color theme="0" tint="-0.24994659260841701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1" tint="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499984740745262"/>
      </top>
      <bottom style="thin">
        <color theme="0" tint="-0.499984740745262"/>
      </bottom>
      <diagonal/>
    </border>
    <border>
      <left style="double">
        <color auto="1"/>
      </left>
      <right style="thin">
        <color theme="1" tint="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0" tint="-0.499984740745262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/>
      <right style="thin">
        <color theme="1" tint="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1" tint="0.499984740745262"/>
      </left>
      <right style="double">
        <color auto="1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0.499984740745262"/>
      </top>
      <bottom style="thin">
        <color indexed="64"/>
      </bottom>
      <diagonal/>
    </border>
    <border>
      <left/>
      <right style="double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 style="thin">
        <color rgb="FF000000"/>
      </top>
      <bottom/>
      <diagonal/>
    </border>
    <border>
      <left style="thin">
        <color indexed="64"/>
      </left>
      <right style="thin">
        <color theme="1" tint="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1" tint="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theme="1" tint="0.499984740745262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1" tint="0.499984740745262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/>
      <bottom style="thin">
        <color theme="0" tint="-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499984740745262"/>
      </bottom>
      <diagonal/>
    </border>
    <border>
      <left style="thin">
        <color theme="0" tint="-0.24994659260841701"/>
      </left>
      <right style="thin">
        <color indexed="64"/>
      </right>
      <top/>
      <bottom style="thin">
        <color theme="0" tint="-0.499984740745262"/>
      </bottom>
      <diagonal/>
    </border>
    <border>
      <left/>
      <right style="thin">
        <color theme="0" tint="-4.9989318521683403E-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14996795556505021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4.9989318521683403E-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/>
      <right style="thin">
        <color theme="0" tint="-0.499984740745262"/>
      </right>
      <top/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double">
        <color theme="0" tint="-0.24994659260841701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 style="thin">
        <color theme="0" tint="-0.14996795556505021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 style="thin">
        <color theme="0" tint="-0.14996795556505021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14996795556505021"/>
      </left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0" tint="-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0" tint="-0.499984740745262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8">
    <xf numFmtId="0" fontId="0" fillId="0" borderId="0" xfId="0"/>
    <xf numFmtId="0" fontId="0" fillId="2" borderId="1" xfId="0" applyFill="1" applyBorder="1"/>
    <xf numFmtId="0" fontId="0" fillId="0" borderId="1" xfId="0" applyBorder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" fontId="2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164" fontId="6" fillId="2" borderId="1" xfId="0" applyNumberFormat="1" applyFont="1" applyFill="1" applyBorder="1" applyAlignment="1">
      <alignment horizontal="center" vertical="center"/>
    </xf>
    <xf numFmtId="164" fontId="6" fillId="2" borderId="11" xfId="0" applyNumberFormat="1" applyFont="1" applyFill="1" applyBorder="1" applyAlignment="1">
      <alignment horizontal="center" vertical="center"/>
    </xf>
    <xf numFmtId="3" fontId="5" fillId="2" borderId="10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" fontId="0" fillId="0" borderId="9" xfId="0" applyNumberForma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1" fontId="0" fillId="0" borderId="8" xfId="0" applyNumberFormat="1" applyBorder="1" applyAlignment="1">
      <alignment horizontal="centerContinuous" vertical="center"/>
    </xf>
    <xf numFmtId="0" fontId="0" fillId="0" borderId="0" xfId="0" applyAlignment="1">
      <alignment vertical="top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3" fontId="0" fillId="0" borderId="8" xfId="0" applyNumberFormat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8" fillId="0" borderId="0" xfId="0" applyFont="1" applyAlignment="1">
      <alignment horizontal="center" vertical="center" wrapText="1"/>
    </xf>
    <xf numFmtId="164" fontId="17" fillId="2" borderId="3" xfId="0" applyNumberFormat="1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2" fillId="3" borderId="16" xfId="0" applyFont="1" applyFill="1" applyBorder="1" applyAlignment="1">
      <alignment vertical="center"/>
    </xf>
    <xf numFmtId="0" fontId="2" fillId="3" borderId="20" xfId="0" applyFont="1" applyFill="1" applyBorder="1" applyAlignment="1">
      <alignment vertical="center"/>
    </xf>
    <xf numFmtId="0" fontId="11" fillId="11" borderId="3" xfId="0" applyFont="1" applyFill="1" applyBorder="1" applyAlignment="1">
      <alignment horizontal="centerContinuous" vertical="center"/>
    </xf>
    <xf numFmtId="0" fontId="11" fillId="11" borderId="2" xfId="0" applyFont="1" applyFill="1" applyBorder="1" applyAlignment="1">
      <alignment horizontal="centerContinuous" vertical="center"/>
    </xf>
    <xf numFmtId="0" fontId="11" fillId="11" borderId="4" xfId="0" applyFont="1" applyFill="1" applyBorder="1" applyAlignment="1">
      <alignment horizontal="centerContinuous" vertical="center"/>
    </xf>
    <xf numFmtId="164" fontId="12" fillId="9" borderId="32" xfId="0" applyNumberFormat="1" applyFont="1" applyFill="1" applyBorder="1" applyAlignment="1">
      <alignment horizontal="center" vertical="center"/>
    </xf>
    <xf numFmtId="164" fontId="12" fillId="9" borderId="34" xfId="0" applyNumberFormat="1" applyFont="1" applyFill="1" applyBorder="1" applyAlignment="1">
      <alignment horizontal="center" vertical="center"/>
    </xf>
    <xf numFmtId="1" fontId="4" fillId="7" borderId="35" xfId="0" applyNumberFormat="1" applyFont="1" applyFill="1" applyBorder="1" applyAlignment="1">
      <alignment horizontal="center" vertical="center"/>
    </xf>
    <xf numFmtId="1" fontId="4" fillId="8" borderId="35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64" fontId="6" fillId="2" borderId="2" xfId="0" applyNumberFormat="1" applyFont="1" applyFill="1" applyBorder="1" applyAlignment="1" applyProtection="1">
      <alignment horizontal="center" vertical="center" wrapText="1"/>
      <protection locked="0"/>
    </xf>
    <xf numFmtId="3" fontId="0" fillId="0" borderId="28" xfId="0" applyNumberFormat="1" applyBorder="1" applyAlignment="1">
      <alignment vertical="center"/>
    </xf>
    <xf numFmtId="3" fontId="0" fillId="0" borderId="14" xfId="0" applyNumberFormat="1" applyBorder="1" applyAlignment="1">
      <alignment vertical="center"/>
    </xf>
    <xf numFmtId="9" fontId="10" fillId="0" borderId="36" xfId="1" applyFont="1" applyBorder="1" applyAlignment="1">
      <alignment horizontal="center" vertical="center"/>
    </xf>
    <xf numFmtId="9" fontId="0" fillId="0" borderId="37" xfId="1" applyFont="1" applyBorder="1" applyAlignment="1">
      <alignment horizontal="center" vertical="center"/>
    </xf>
    <xf numFmtId="0" fontId="25" fillId="11" borderId="3" xfId="0" applyFont="1" applyFill="1" applyBorder="1" applyAlignment="1">
      <alignment horizontal="centerContinuous" vertical="center"/>
    </xf>
    <xf numFmtId="0" fontId="25" fillId="11" borderId="4" xfId="0" applyFont="1" applyFill="1" applyBorder="1" applyAlignment="1">
      <alignment horizontal="centerContinuous" vertical="center"/>
    </xf>
    <xf numFmtId="3" fontId="10" fillId="10" borderId="8" xfId="0" applyNumberFormat="1" applyFont="1" applyFill="1" applyBorder="1" applyAlignment="1" applyProtection="1">
      <alignment horizontal="center" vertical="center"/>
      <protection locked="0"/>
    </xf>
    <xf numFmtId="164" fontId="12" fillId="12" borderId="33" xfId="0" applyNumberFormat="1" applyFont="1" applyFill="1" applyBorder="1" applyAlignment="1" applyProtection="1">
      <alignment horizontal="center" vertical="center"/>
      <protection locked="0"/>
    </xf>
    <xf numFmtId="0" fontId="9" fillId="0" borderId="0" xfId="0" applyFont="1" applyAlignment="1">
      <alignment vertical="center"/>
    </xf>
    <xf numFmtId="164" fontId="29" fillId="8" borderId="32" xfId="0" applyNumberFormat="1" applyFont="1" applyFill="1" applyBorder="1" applyAlignment="1">
      <alignment horizontal="center" vertical="center"/>
    </xf>
    <xf numFmtId="164" fontId="29" fillId="12" borderId="33" xfId="0" applyNumberFormat="1" applyFont="1" applyFill="1" applyBorder="1" applyAlignment="1" applyProtection="1">
      <alignment horizontal="center" vertical="center"/>
      <protection locked="0"/>
    </xf>
    <xf numFmtId="164" fontId="29" fillId="8" borderId="34" xfId="0" applyNumberFormat="1" applyFont="1" applyFill="1" applyBorder="1" applyAlignment="1">
      <alignment horizontal="center" vertical="center"/>
    </xf>
    <xf numFmtId="1" fontId="17" fillId="8" borderId="35" xfId="0" applyNumberFormat="1" applyFont="1" applyFill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21" fillId="6" borderId="6" xfId="0" applyFont="1" applyFill="1" applyBorder="1" applyAlignment="1">
      <alignment vertical="center"/>
    </xf>
    <xf numFmtId="0" fontId="21" fillId="6" borderId="6" xfId="0" applyFont="1" applyFill="1" applyBorder="1" applyAlignment="1" applyProtection="1">
      <alignment vertical="center" wrapText="1"/>
      <protection locked="0"/>
    </xf>
    <xf numFmtId="0" fontId="21" fillId="6" borderId="6" xfId="0" applyFont="1" applyFill="1" applyBorder="1" applyAlignment="1">
      <alignment horizontal="center" vertical="center"/>
    </xf>
    <xf numFmtId="0" fontId="23" fillId="6" borderId="6" xfId="0" applyFont="1" applyFill="1" applyBorder="1" applyAlignment="1">
      <alignment horizontal="center" vertical="center"/>
    </xf>
    <xf numFmtId="0" fontId="21" fillId="6" borderId="15" xfId="0" applyFont="1" applyFill="1" applyBorder="1" applyAlignment="1">
      <alignment vertical="center"/>
    </xf>
    <xf numFmtId="0" fontId="21" fillId="6" borderId="38" xfId="0" applyFont="1" applyFill="1" applyBorder="1" applyAlignment="1">
      <alignment vertical="center"/>
    </xf>
    <xf numFmtId="0" fontId="21" fillId="6" borderId="16" xfId="0" applyFont="1" applyFill="1" applyBorder="1" applyAlignment="1">
      <alignment vertical="center"/>
    </xf>
    <xf numFmtId="1" fontId="5" fillId="2" borderId="8" xfId="0" applyNumberFormat="1" applyFont="1" applyFill="1" applyBorder="1" applyAlignment="1">
      <alignment horizontal="center" vertical="center"/>
    </xf>
    <xf numFmtId="1" fontId="6" fillId="7" borderId="39" xfId="0" applyNumberFormat="1" applyFont="1" applyFill="1" applyBorder="1" applyAlignment="1">
      <alignment horizontal="center" vertical="center"/>
    </xf>
    <xf numFmtId="0" fontId="16" fillId="7" borderId="40" xfId="0" applyFont="1" applyFill="1" applyBorder="1" applyAlignment="1" applyProtection="1">
      <alignment horizontal="left" vertical="center" wrapText="1"/>
      <protection locked="0"/>
    </xf>
    <xf numFmtId="1" fontId="6" fillId="8" borderId="39" xfId="0" applyNumberFormat="1" applyFont="1" applyFill="1" applyBorder="1" applyAlignment="1">
      <alignment horizontal="center" vertical="center"/>
    </xf>
    <xf numFmtId="0" fontId="28" fillId="8" borderId="40" xfId="0" applyFont="1" applyFill="1" applyBorder="1" applyAlignment="1" applyProtection="1">
      <alignment horizontal="left" vertical="center" wrapText="1"/>
      <protection locked="0"/>
    </xf>
    <xf numFmtId="0" fontId="21" fillId="6" borderId="7" xfId="0" applyFont="1" applyFill="1" applyBorder="1" applyAlignment="1">
      <alignment horizontal="center" vertical="center"/>
    </xf>
    <xf numFmtId="1" fontId="5" fillId="2" borderId="42" xfId="0" applyNumberFormat="1" applyFont="1" applyFill="1" applyBorder="1" applyAlignment="1">
      <alignment horizontal="center" vertical="center"/>
    </xf>
    <xf numFmtId="1" fontId="6" fillId="7" borderId="43" xfId="0" applyNumberFormat="1" applyFont="1" applyFill="1" applyBorder="1" applyAlignment="1">
      <alignment horizontal="center" vertical="center"/>
    </xf>
    <xf numFmtId="0" fontId="16" fillId="7" borderId="44" xfId="0" applyFont="1" applyFill="1" applyBorder="1" applyAlignment="1" applyProtection="1">
      <alignment horizontal="left" vertical="center" wrapText="1"/>
      <protection locked="0"/>
    </xf>
    <xf numFmtId="0" fontId="7" fillId="5" borderId="45" xfId="0" applyFont="1" applyFill="1" applyBorder="1" applyAlignment="1">
      <alignment horizontal="center" vertical="center" wrapText="1"/>
    </xf>
    <xf numFmtId="0" fontId="7" fillId="5" borderId="46" xfId="0" applyFont="1" applyFill="1" applyBorder="1" applyAlignment="1">
      <alignment horizontal="center" vertical="center" wrapText="1"/>
    </xf>
    <xf numFmtId="3" fontId="5" fillId="7" borderId="47" xfId="0" applyNumberFormat="1" applyFont="1" applyFill="1" applyBorder="1" applyAlignment="1" applyProtection="1">
      <alignment horizontal="center" vertical="center"/>
      <protection locked="0"/>
    </xf>
    <xf numFmtId="3" fontId="5" fillId="7" borderId="47" xfId="0" applyNumberFormat="1" applyFont="1" applyFill="1" applyBorder="1" applyAlignment="1">
      <alignment horizontal="center" vertical="center"/>
    </xf>
    <xf numFmtId="164" fontId="4" fillId="7" borderId="48" xfId="0" applyNumberFormat="1" applyFont="1" applyFill="1" applyBorder="1" applyAlignment="1">
      <alignment horizontal="center" vertical="center"/>
    </xf>
    <xf numFmtId="164" fontId="4" fillId="7" borderId="47" xfId="0" applyNumberFormat="1" applyFont="1" applyFill="1" applyBorder="1" applyAlignment="1">
      <alignment horizontal="center" vertical="center"/>
    </xf>
    <xf numFmtId="1" fontId="15" fillId="7" borderId="49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3" fontId="5" fillId="8" borderId="47" xfId="0" applyNumberFormat="1" applyFont="1" applyFill="1" applyBorder="1" applyAlignment="1" applyProtection="1">
      <alignment horizontal="center" vertical="center"/>
      <protection locked="0"/>
    </xf>
    <xf numFmtId="3" fontId="5" fillId="8" borderId="47" xfId="0" applyNumberFormat="1" applyFont="1" applyFill="1" applyBorder="1" applyAlignment="1">
      <alignment horizontal="center" vertical="center"/>
    </xf>
    <xf numFmtId="164" fontId="4" fillId="8" borderId="48" xfId="0" applyNumberFormat="1" applyFont="1" applyFill="1" applyBorder="1" applyAlignment="1">
      <alignment horizontal="center" vertical="center"/>
    </xf>
    <xf numFmtId="164" fontId="4" fillId="8" borderId="47" xfId="0" applyNumberFormat="1" applyFont="1" applyFill="1" applyBorder="1" applyAlignment="1">
      <alignment horizontal="center" vertical="center"/>
    </xf>
    <xf numFmtId="1" fontId="15" fillId="8" borderId="50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3" fontId="5" fillId="7" borderId="52" xfId="0" applyNumberFormat="1" applyFont="1" applyFill="1" applyBorder="1" applyAlignment="1" applyProtection="1">
      <alignment horizontal="center" vertical="center"/>
      <protection locked="0"/>
    </xf>
    <xf numFmtId="3" fontId="5" fillId="7" borderId="52" xfId="0" applyNumberFormat="1" applyFont="1" applyFill="1" applyBorder="1" applyAlignment="1">
      <alignment horizontal="center" vertical="center"/>
    </xf>
    <xf numFmtId="164" fontId="4" fillId="7" borderId="54" xfId="0" applyNumberFormat="1" applyFont="1" applyFill="1" applyBorder="1" applyAlignment="1">
      <alignment horizontal="center" vertical="center"/>
    </xf>
    <xf numFmtId="164" fontId="4" fillId="7" borderId="52" xfId="0" applyNumberFormat="1" applyFont="1" applyFill="1" applyBorder="1" applyAlignment="1">
      <alignment horizontal="center" vertical="center"/>
    </xf>
    <xf numFmtId="1" fontId="15" fillId="7" borderId="56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4" fontId="12" fillId="9" borderId="51" xfId="0" applyNumberFormat="1" applyFont="1" applyFill="1" applyBorder="1" applyAlignment="1">
      <alignment horizontal="center" vertical="center"/>
    </xf>
    <xf numFmtId="164" fontId="12" fillId="12" borderId="55" xfId="0" applyNumberFormat="1" applyFont="1" applyFill="1" applyBorder="1" applyAlignment="1" applyProtection="1">
      <alignment horizontal="center" vertical="center"/>
      <protection locked="0"/>
    </xf>
    <xf numFmtId="164" fontId="12" fillId="9" borderId="53" xfId="0" applyNumberFormat="1" applyFont="1" applyFill="1" applyBorder="1" applyAlignment="1">
      <alignment horizontal="center" vertical="center"/>
    </xf>
    <xf numFmtId="1" fontId="4" fillId="7" borderId="57" xfId="0" applyNumberFormat="1" applyFont="1" applyFill="1" applyBorder="1" applyAlignment="1">
      <alignment horizontal="center" vertical="center"/>
    </xf>
    <xf numFmtId="0" fontId="30" fillId="0" borderId="0" xfId="0" applyFont="1" applyAlignment="1">
      <alignment vertical="center"/>
    </xf>
    <xf numFmtId="0" fontId="27" fillId="0" borderId="0" xfId="0" applyFont="1" applyAlignment="1">
      <alignment vertical="center" wrapText="1"/>
    </xf>
    <xf numFmtId="0" fontId="21" fillId="6" borderId="39" xfId="0" applyFont="1" applyFill="1" applyBorder="1" applyAlignment="1">
      <alignment horizontal="center" vertical="center"/>
    </xf>
    <xf numFmtId="1" fontId="15" fillId="7" borderId="58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" fontId="15" fillId="8" borderId="59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" fontId="15" fillId="7" borderId="60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4" fontId="17" fillId="2" borderId="4" xfId="0" applyNumberFormat="1" applyFont="1" applyFill="1" applyBorder="1" applyAlignment="1">
      <alignment horizontal="center" vertical="center"/>
    </xf>
    <xf numFmtId="1" fontId="5" fillId="7" borderId="39" xfId="0" applyNumberFormat="1" applyFont="1" applyFill="1" applyBorder="1" applyAlignment="1">
      <alignment horizontal="center" vertical="center"/>
    </xf>
    <xf numFmtId="1" fontId="5" fillId="7" borderId="43" xfId="0" applyNumberFormat="1" applyFont="1" applyFill="1" applyBorder="1" applyAlignment="1">
      <alignment horizontal="center" vertical="center"/>
    </xf>
    <xf numFmtId="3" fontId="5" fillId="7" borderId="62" xfId="0" applyNumberFormat="1" applyFont="1" applyFill="1" applyBorder="1" applyAlignment="1" applyProtection="1">
      <alignment horizontal="center" vertical="center"/>
      <protection locked="0"/>
    </xf>
    <xf numFmtId="3" fontId="5" fillId="8" borderId="62" xfId="0" applyNumberFormat="1" applyFont="1" applyFill="1" applyBorder="1" applyAlignment="1" applyProtection="1">
      <alignment horizontal="center" vertical="center"/>
      <protection locked="0"/>
    </xf>
    <xf numFmtId="3" fontId="5" fillId="7" borderId="62" xfId="0" applyNumberFormat="1" applyFont="1" applyFill="1" applyBorder="1" applyAlignment="1" applyProtection="1">
      <alignment horizontal="left" vertical="center"/>
      <protection locked="0"/>
    </xf>
    <xf numFmtId="3" fontId="5" fillId="7" borderId="63" xfId="0" applyNumberFormat="1" applyFont="1" applyFill="1" applyBorder="1" applyAlignment="1" applyProtection="1">
      <alignment horizontal="center" vertical="center"/>
      <protection locked="0"/>
    </xf>
    <xf numFmtId="3" fontId="5" fillId="2" borderId="64" xfId="0" applyNumberFormat="1" applyFont="1" applyFill="1" applyBorder="1" applyAlignment="1">
      <alignment horizontal="center" vertical="center"/>
    </xf>
    <xf numFmtId="164" fontId="6" fillId="2" borderId="4" xfId="0" applyNumberFormat="1" applyFont="1" applyFill="1" applyBorder="1" applyAlignment="1">
      <alignment horizontal="center" vertical="center"/>
    </xf>
    <xf numFmtId="164" fontId="6" fillId="8" borderId="65" xfId="0" applyNumberFormat="1" applyFont="1" applyFill="1" applyBorder="1" applyAlignment="1" applyProtection="1">
      <alignment horizontal="left" vertical="center"/>
      <protection locked="0"/>
    </xf>
    <xf numFmtId="164" fontId="6" fillId="7" borderId="65" xfId="0" applyNumberFormat="1" applyFont="1" applyFill="1" applyBorder="1" applyAlignment="1" applyProtection="1">
      <alignment horizontal="left" vertical="center"/>
      <protection locked="0"/>
    </xf>
    <xf numFmtId="164" fontId="6" fillId="7" borderId="66" xfId="0" applyNumberFormat="1" applyFont="1" applyFill="1" applyBorder="1" applyAlignment="1" applyProtection="1">
      <alignment horizontal="left" vertical="center"/>
      <protection locked="0"/>
    </xf>
    <xf numFmtId="1" fontId="6" fillId="8" borderId="40" xfId="0" applyNumberFormat="1" applyFont="1" applyFill="1" applyBorder="1" applyAlignment="1">
      <alignment horizontal="center" vertical="center"/>
    </xf>
    <xf numFmtId="1" fontId="6" fillId="7" borderId="40" xfId="0" applyNumberFormat="1" applyFont="1" applyFill="1" applyBorder="1" applyAlignment="1">
      <alignment horizontal="center" vertical="center"/>
    </xf>
    <xf numFmtId="1" fontId="6" fillId="7" borderId="41" xfId="0" applyNumberFormat="1" applyFont="1" applyFill="1" applyBorder="1" applyAlignment="1">
      <alignment horizontal="center" vertical="center"/>
    </xf>
    <xf numFmtId="1" fontId="4" fillId="7" borderId="65" xfId="0" applyNumberFormat="1" applyFont="1" applyFill="1" applyBorder="1" applyAlignment="1">
      <alignment horizontal="center" vertical="center"/>
    </xf>
    <xf numFmtId="1" fontId="4" fillId="8" borderId="65" xfId="0" applyNumberFormat="1" applyFont="1" applyFill="1" applyBorder="1" applyAlignment="1">
      <alignment horizontal="center" vertical="center"/>
    </xf>
    <xf numFmtId="1" fontId="4" fillId="7" borderId="66" xfId="0" applyNumberFormat="1" applyFont="1" applyFill="1" applyBorder="1" applyAlignment="1">
      <alignment horizontal="center" vertical="center"/>
    </xf>
    <xf numFmtId="1" fontId="4" fillId="8" borderId="62" xfId="0" applyNumberFormat="1" applyFont="1" applyFill="1" applyBorder="1" applyAlignment="1">
      <alignment horizontal="center" vertical="center"/>
    </xf>
    <xf numFmtId="1" fontId="4" fillId="7" borderId="62" xfId="0" applyNumberFormat="1" applyFont="1" applyFill="1" applyBorder="1" applyAlignment="1">
      <alignment horizontal="center" vertical="center"/>
    </xf>
    <xf numFmtId="1" fontId="4" fillId="7" borderId="63" xfId="0" applyNumberFormat="1" applyFont="1" applyFill="1" applyBorder="1" applyAlignment="1">
      <alignment horizontal="center" vertical="center"/>
    </xf>
    <xf numFmtId="164" fontId="4" fillId="7" borderId="62" xfId="0" applyNumberFormat="1" applyFont="1" applyFill="1" applyBorder="1" applyAlignment="1">
      <alignment horizontal="center" vertical="center"/>
    </xf>
    <xf numFmtId="164" fontId="4" fillId="8" borderId="62" xfId="0" applyNumberFormat="1" applyFont="1" applyFill="1" applyBorder="1" applyAlignment="1">
      <alignment horizontal="center" vertical="center"/>
    </xf>
    <xf numFmtId="164" fontId="4" fillId="7" borderId="63" xfId="0" applyNumberFormat="1" applyFont="1" applyFill="1" applyBorder="1" applyAlignment="1">
      <alignment horizontal="center" vertical="center"/>
    </xf>
    <xf numFmtId="1" fontId="15" fillId="7" borderId="70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" fontId="15" fillId="8" borderId="71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" fontId="15" fillId="7" borderId="72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4" fontId="4" fillId="7" borderId="65" xfId="0" applyNumberFormat="1" applyFont="1" applyFill="1" applyBorder="1" applyAlignment="1">
      <alignment horizontal="left" vertical="center"/>
    </xf>
    <xf numFmtId="164" fontId="4" fillId="8" borderId="65" xfId="0" applyNumberFormat="1" applyFont="1" applyFill="1" applyBorder="1" applyAlignment="1">
      <alignment horizontal="left" vertical="center"/>
    </xf>
    <xf numFmtId="164" fontId="4" fillId="7" borderId="66" xfId="0" applyNumberFormat="1" applyFont="1" applyFill="1" applyBorder="1" applyAlignment="1">
      <alignment horizontal="left" vertical="center"/>
    </xf>
    <xf numFmtId="0" fontId="0" fillId="0" borderId="0" xfId="0" applyAlignment="1">
      <alignment horizontal="center" vertical="top"/>
    </xf>
    <xf numFmtId="164" fontId="17" fillId="2" borderId="76" xfId="0" applyNumberFormat="1" applyFont="1" applyFill="1" applyBorder="1" applyAlignment="1">
      <alignment horizontal="center" vertical="center"/>
    </xf>
    <xf numFmtId="164" fontId="17" fillId="2" borderId="77" xfId="0" applyNumberFormat="1" applyFont="1" applyFill="1" applyBorder="1" applyAlignment="1">
      <alignment horizontal="center" vertical="center"/>
    </xf>
    <xf numFmtId="0" fontId="3" fillId="0" borderId="26" xfId="0" applyFont="1" applyBorder="1" applyAlignment="1">
      <alignment vertical="center"/>
    </xf>
    <xf numFmtId="0" fontId="13" fillId="0" borderId="26" xfId="0" applyFont="1" applyBorder="1" applyAlignment="1">
      <alignment vertical="center"/>
    </xf>
    <xf numFmtId="0" fontId="31" fillId="7" borderId="18" xfId="0" applyFont="1" applyFill="1" applyBorder="1" applyAlignment="1">
      <alignment vertical="center"/>
    </xf>
    <xf numFmtId="0" fontId="32" fillId="7" borderId="18" xfId="0" applyFont="1" applyFill="1" applyBorder="1" applyAlignment="1">
      <alignment vertical="center"/>
    </xf>
    <xf numFmtId="164" fontId="32" fillId="7" borderId="5" xfId="0" applyNumberFormat="1" applyFont="1" applyFill="1" applyBorder="1" applyAlignment="1" applyProtection="1">
      <alignment horizontal="left" vertical="center" wrapText="1"/>
      <protection locked="0"/>
    </xf>
    <xf numFmtId="164" fontId="17" fillId="2" borderId="1" xfId="0" applyNumberFormat="1" applyFont="1" applyFill="1" applyBorder="1" applyAlignment="1">
      <alignment horizontal="center" vertical="center"/>
    </xf>
    <xf numFmtId="1" fontId="4" fillId="8" borderId="40" xfId="0" applyNumberFormat="1" applyFont="1" applyFill="1" applyBorder="1" applyAlignment="1" applyProtection="1">
      <alignment horizontal="center" vertical="center"/>
      <protection locked="0"/>
    </xf>
    <xf numFmtId="0" fontId="21" fillId="6" borderId="6" xfId="0" applyFont="1" applyFill="1" applyBorder="1" applyAlignment="1" applyProtection="1">
      <alignment horizontal="center" vertical="center"/>
      <protection locked="0"/>
    </xf>
    <xf numFmtId="1" fontId="4" fillId="8" borderId="41" xfId="0" applyNumberFormat="1" applyFont="1" applyFill="1" applyBorder="1" applyAlignment="1" applyProtection="1">
      <alignment horizontal="center" vertical="center"/>
      <protection locked="0"/>
    </xf>
    <xf numFmtId="0" fontId="33" fillId="0" borderId="0" xfId="0" applyFont="1"/>
    <xf numFmtId="0" fontId="11" fillId="5" borderId="1" xfId="0" applyFont="1" applyFill="1" applyBorder="1"/>
    <xf numFmtId="0" fontId="11" fillId="5" borderId="1" xfId="0" applyFont="1" applyFill="1" applyBorder="1" applyAlignment="1">
      <alignment horizontal="center" vertical="center" wrapText="1"/>
    </xf>
    <xf numFmtId="0" fontId="0" fillId="9" borderId="1" xfId="0" applyFill="1" applyBorder="1"/>
    <xf numFmtId="0" fontId="0" fillId="3" borderId="1" xfId="0" applyFill="1" applyBorder="1"/>
    <xf numFmtId="164" fontId="6" fillId="7" borderId="65" xfId="0" applyNumberFormat="1" applyFont="1" applyFill="1" applyBorder="1" applyAlignment="1" applyProtection="1">
      <alignment horizontal="left" vertical="center" wrapText="1"/>
      <protection locked="0"/>
    </xf>
    <xf numFmtId="164" fontId="6" fillId="8" borderId="65" xfId="0" applyNumberFormat="1" applyFont="1" applyFill="1" applyBorder="1" applyAlignment="1" applyProtection="1">
      <alignment horizontal="left" vertical="center" wrapText="1"/>
      <protection locked="0"/>
    </xf>
    <xf numFmtId="0" fontId="21" fillId="6" borderId="6" xfId="0" applyFont="1" applyFill="1" applyBorder="1" applyAlignment="1">
      <alignment horizontal="center" vertical="center" wrapText="1"/>
    </xf>
    <xf numFmtId="3" fontId="5" fillId="8" borderId="47" xfId="0" applyNumberFormat="1" applyFont="1" applyFill="1" applyBorder="1" applyAlignment="1" applyProtection="1">
      <alignment horizontal="left" vertical="center"/>
      <protection locked="0"/>
    </xf>
    <xf numFmtId="3" fontId="5" fillId="7" borderId="47" xfId="0" applyNumberFormat="1" applyFont="1" applyFill="1" applyBorder="1" applyAlignment="1" applyProtection="1">
      <alignment horizontal="left" vertical="center"/>
      <protection locked="0"/>
    </xf>
    <xf numFmtId="0" fontId="21" fillId="6" borderId="6" xfId="0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34" fillId="0" borderId="0" xfId="0" applyFont="1" applyAlignment="1">
      <alignment vertical="center"/>
    </xf>
    <xf numFmtId="3" fontId="35" fillId="10" borderId="8" xfId="0" applyNumberFormat="1" applyFont="1" applyFill="1" applyBorder="1" applyAlignment="1" applyProtection="1">
      <alignment horizontal="center" vertical="center"/>
      <protection locked="0"/>
    </xf>
    <xf numFmtId="3" fontId="2" fillId="0" borderId="8" xfId="0" applyNumberFormat="1" applyFont="1" applyBorder="1" applyAlignment="1">
      <alignment horizontal="center" vertical="center"/>
    </xf>
    <xf numFmtId="3" fontId="36" fillId="10" borderId="8" xfId="0" applyNumberFormat="1" applyFont="1" applyFill="1" applyBorder="1" applyAlignment="1" applyProtection="1">
      <alignment horizontal="center" vertical="center"/>
      <protection locked="0"/>
    </xf>
    <xf numFmtId="3" fontId="37" fillId="0" borderId="8" xfId="0" applyNumberFormat="1" applyFont="1" applyBorder="1" applyAlignment="1">
      <alignment horizontal="center" vertical="center"/>
    </xf>
    <xf numFmtId="0" fontId="11" fillId="11" borderId="82" xfId="0" applyFont="1" applyFill="1" applyBorder="1" applyAlignment="1">
      <alignment horizontal="centerContinuous" vertical="center"/>
    </xf>
    <xf numFmtId="0" fontId="11" fillId="11" borderId="83" xfId="0" applyFont="1" applyFill="1" applyBorder="1" applyAlignment="1">
      <alignment horizontal="centerContinuous" vertical="center"/>
    </xf>
    <xf numFmtId="9" fontId="10" fillId="0" borderId="37" xfId="1" applyFont="1" applyBorder="1" applyAlignment="1">
      <alignment horizontal="center" vertical="center"/>
    </xf>
    <xf numFmtId="0" fontId="11" fillId="11" borderId="85" xfId="0" applyFont="1" applyFill="1" applyBorder="1" applyAlignment="1">
      <alignment horizontal="centerContinuous" vertical="center"/>
    </xf>
    <xf numFmtId="0" fontId="25" fillId="11" borderId="86" xfId="0" applyFont="1" applyFill="1" applyBorder="1" applyAlignment="1">
      <alignment horizontal="centerContinuous" vertical="center"/>
    </xf>
    <xf numFmtId="0" fontId="11" fillId="11" borderId="87" xfId="0" applyFont="1" applyFill="1" applyBorder="1" applyAlignment="1">
      <alignment horizontal="centerContinuous" vertical="center"/>
    </xf>
    <xf numFmtId="0" fontId="25" fillId="11" borderId="88" xfId="0" applyFont="1" applyFill="1" applyBorder="1" applyAlignment="1">
      <alignment horizontal="centerContinuous" vertical="center"/>
    </xf>
    <xf numFmtId="9" fontId="0" fillId="0" borderId="9" xfId="1" applyFont="1" applyBorder="1" applyAlignment="1">
      <alignment horizontal="center" vertical="center"/>
    </xf>
    <xf numFmtId="3" fontId="0" fillId="0" borderId="0" xfId="0" applyNumberFormat="1" applyAlignment="1">
      <alignment vertical="center"/>
    </xf>
    <xf numFmtId="1" fontId="0" fillId="0" borderId="0" xfId="0" applyNumberFormat="1" applyAlignment="1">
      <alignment horizontal="center" vertical="center"/>
    </xf>
    <xf numFmtId="0" fontId="11" fillId="11" borderId="90" xfId="0" applyFont="1" applyFill="1" applyBorder="1" applyAlignment="1">
      <alignment horizontal="centerContinuous" vertical="center"/>
    </xf>
    <xf numFmtId="3" fontId="0" fillId="0" borderId="84" xfId="0" applyNumberFormat="1" applyBorder="1" applyAlignment="1">
      <alignment horizontal="left" vertical="center"/>
    </xf>
    <xf numFmtId="3" fontId="0" fillId="0" borderId="8" xfId="0" applyNumberFormat="1" applyBorder="1" applyAlignment="1">
      <alignment horizontal="left" vertical="center"/>
    </xf>
    <xf numFmtId="10" fontId="1" fillId="0" borderId="38" xfId="1" applyNumberFormat="1" applyFont="1" applyBorder="1" applyAlignment="1">
      <alignment horizontal="left" vertical="center"/>
    </xf>
    <xf numFmtId="0" fontId="2" fillId="3" borderId="0" xfId="0" applyFont="1" applyFill="1" applyAlignment="1">
      <alignment vertical="center"/>
    </xf>
    <xf numFmtId="1" fontId="15" fillId="8" borderId="6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" fontId="15" fillId="8" borderId="39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8" fillId="10" borderId="0" xfId="0" applyFont="1" applyFill="1" applyAlignment="1">
      <alignment horizontal="center" vertical="center"/>
    </xf>
    <xf numFmtId="0" fontId="12" fillId="7" borderId="40" xfId="0" applyFont="1" applyFill="1" applyBorder="1" applyAlignment="1" applyProtection="1">
      <alignment horizontal="left" vertical="center" wrapText="1"/>
      <protection locked="0"/>
    </xf>
    <xf numFmtId="0" fontId="29" fillId="8" borderId="40" xfId="0" applyFont="1" applyFill="1" applyBorder="1" applyAlignment="1" applyProtection="1">
      <alignment horizontal="left" vertical="center" wrapText="1"/>
      <protection locked="0"/>
    </xf>
    <xf numFmtId="3" fontId="6" fillId="8" borderId="47" xfId="0" applyNumberFormat="1" applyFont="1" applyFill="1" applyBorder="1" applyAlignment="1" applyProtection="1">
      <alignment horizontal="left" vertical="center"/>
      <protection locked="0"/>
    </xf>
    <xf numFmtId="164" fontId="6" fillId="13" borderId="65" xfId="0" applyNumberFormat="1" applyFont="1" applyFill="1" applyBorder="1" applyAlignment="1" applyProtection="1">
      <alignment horizontal="left" vertical="center"/>
      <protection locked="0"/>
    </xf>
    <xf numFmtId="0" fontId="12" fillId="8" borderId="40" xfId="0" applyFont="1" applyFill="1" applyBorder="1" applyAlignment="1" applyProtection="1">
      <alignment horizontal="left" vertical="center" wrapText="1"/>
      <protection locked="0"/>
    </xf>
    <xf numFmtId="0" fontId="35" fillId="0" borderId="0" xfId="0" applyFont="1" applyAlignment="1">
      <alignment vertical="center" wrapText="1"/>
    </xf>
    <xf numFmtId="0" fontId="12" fillId="10" borderId="44" xfId="0" applyFont="1" applyFill="1" applyBorder="1" applyAlignment="1" applyProtection="1">
      <alignment horizontal="left" vertical="center" wrapText="1"/>
      <protection locked="0"/>
    </xf>
    <xf numFmtId="0" fontId="12" fillId="10" borderId="40" xfId="0" applyFont="1" applyFill="1" applyBorder="1" applyAlignment="1" applyProtection="1">
      <alignment horizontal="left" vertical="center" wrapText="1"/>
      <protection locked="0"/>
    </xf>
    <xf numFmtId="0" fontId="28" fillId="10" borderId="40" xfId="0" applyFont="1" applyFill="1" applyBorder="1" applyAlignment="1" applyProtection="1">
      <alignment horizontal="left" vertical="center" wrapText="1"/>
      <protection locked="0"/>
    </xf>
    <xf numFmtId="0" fontId="16" fillId="10" borderId="40" xfId="0" applyFont="1" applyFill="1" applyBorder="1" applyAlignment="1" applyProtection="1">
      <alignment horizontal="left" vertical="center" wrapText="1"/>
      <protection locked="0"/>
    </xf>
    <xf numFmtId="3" fontId="6" fillId="2" borderId="64" xfId="0" applyNumberFormat="1" applyFont="1" applyFill="1" applyBorder="1" applyAlignment="1">
      <alignment horizontal="center" vertical="center"/>
    </xf>
    <xf numFmtId="3" fontId="6" fillId="2" borderId="10" xfId="0" applyNumberFormat="1" applyFont="1" applyFill="1" applyBorder="1" applyAlignment="1">
      <alignment horizontal="center" vertical="center"/>
    </xf>
    <xf numFmtId="0" fontId="40" fillId="0" borderId="0" xfId="0" applyFont="1" applyAlignment="1">
      <alignment vertical="center"/>
    </xf>
    <xf numFmtId="0" fontId="35" fillId="0" borderId="0" xfId="0" applyFont="1" applyAlignment="1">
      <alignment vertical="center"/>
    </xf>
    <xf numFmtId="0" fontId="12" fillId="14" borderId="40" xfId="0" applyFont="1" applyFill="1" applyBorder="1" applyAlignment="1" applyProtection="1">
      <alignment horizontal="left" vertical="center" wrapText="1"/>
      <protection locked="0"/>
    </xf>
    <xf numFmtId="0" fontId="0" fillId="0" borderId="0" xfId="0" applyAlignment="1">
      <alignment vertical="center" wrapText="1"/>
    </xf>
    <xf numFmtId="0" fontId="10" fillId="0" borderId="0" xfId="0" applyFont="1" applyAlignment="1">
      <alignment vertical="top" wrapText="1"/>
    </xf>
    <xf numFmtId="0" fontId="10" fillId="0" borderId="0" xfId="0" applyFont="1" applyAlignment="1">
      <alignment vertical="center" wrapText="1"/>
    </xf>
    <xf numFmtId="0" fontId="39" fillId="10" borderId="40" xfId="0" applyFont="1" applyFill="1" applyBorder="1" applyAlignment="1" applyProtection="1">
      <alignment horizontal="left" vertical="center" wrapText="1"/>
      <protection locked="0"/>
    </xf>
    <xf numFmtId="0" fontId="35" fillId="0" borderId="0" xfId="0" applyFont="1" applyAlignment="1">
      <alignment horizontal="center" vertical="top"/>
    </xf>
    <xf numFmtId="0" fontId="35" fillId="0" borderId="0" xfId="0" applyFont="1" applyAlignment="1">
      <alignment horizontal="center" vertical="center"/>
    </xf>
    <xf numFmtId="15" fontId="2" fillId="0" borderId="0" xfId="0" applyNumberFormat="1" applyFont="1" applyAlignment="1">
      <alignment vertical="center"/>
    </xf>
    <xf numFmtId="15" fontId="35" fillId="0" borderId="0" xfId="0" applyNumberFormat="1" applyFont="1" applyAlignment="1">
      <alignment horizontal="center" vertical="center" wrapText="1"/>
    </xf>
    <xf numFmtId="1" fontId="35" fillId="0" borderId="0" xfId="0" applyNumberFormat="1" applyFont="1" applyAlignment="1">
      <alignment vertical="center"/>
    </xf>
    <xf numFmtId="0" fontId="41" fillId="0" borderId="0" xfId="0" applyFont="1" applyAlignment="1">
      <alignment vertical="center"/>
    </xf>
    <xf numFmtId="3" fontId="6" fillId="7" borderId="47" xfId="0" applyNumberFormat="1" applyFont="1" applyFill="1" applyBorder="1" applyAlignment="1" applyProtection="1">
      <alignment horizontal="center" vertical="center"/>
      <protection locked="0"/>
    </xf>
    <xf numFmtId="3" fontId="6" fillId="8" borderId="47" xfId="0" applyNumberFormat="1" applyFont="1" applyFill="1" applyBorder="1" applyAlignment="1" applyProtection="1">
      <alignment horizontal="center" vertical="center"/>
      <protection locked="0"/>
    </xf>
    <xf numFmtId="3" fontId="5" fillId="15" borderId="47" xfId="0" applyNumberFormat="1" applyFont="1" applyFill="1" applyBorder="1" applyAlignment="1" applyProtection="1">
      <alignment horizontal="center" vertical="center"/>
      <protection locked="0"/>
    </xf>
    <xf numFmtId="3" fontId="42" fillId="7" borderId="47" xfId="0" applyNumberFormat="1" applyFont="1" applyFill="1" applyBorder="1" applyAlignment="1" applyProtection="1">
      <alignment horizontal="center" vertical="center"/>
      <protection locked="0"/>
    </xf>
    <xf numFmtId="3" fontId="42" fillId="8" borderId="47" xfId="0" applyNumberFormat="1" applyFont="1" applyFill="1" applyBorder="1" applyAlignment="1" applyProtection="1">
      <alignment horizontal="center" vertical="center"/>
      <protection locked="0"/>
    </xf>
    <xf numFmtId="0" fontId="43" fillId="6" borderId="6" xfId="0" applyFont="1" applyFill="1" applyBorder="1" applyAlignment="1">
      <alignment horizontal="center" vertical="center"/>
    </xf>
    <xf numFmtId="3" fontId="16" fillId="7" borderId="47" xfId="0" applyNumberFormat="1" applyFont="1" applyFill="1" applyBorder="1" applyAlignment="1" applyProtection="1">
      <alignment horizontal="center" vertical="center"/>
      <protection locked="0"/>
    </xf>
    <xf numFmtId="3" fontId="16" fillId="8" borderId="47" xfId="0" applyNumberFormat="1" applyFont="1" applyFill="1" applyBorder="1" applyAlignment="1" applyProtection="1">
      <alignment horizontal="center" vertical="center"/>
      <protection locked="0"/>
    </xf>
    <xf numFmtId="0" fontId="44" fillId="6" borderId="6" xfId="0" applyFont="1" applyFill="1" applyBorder="1" applyAlignment="1">
      <alignment horizontal="center" vertical="center"/>
    </xf>
    <xf numFmtId="3" fontId="28" fillId="8" borderId="47" xfId="0" applyNumberFormat="1" applyFont="1" applyFill="1" applyBorder="1" applyAlignment="1" applyProtection="1">
      <alignment horizontal="center" vertical="center"/>
      <protection locked="0"/>
    </xf>
    <xf numFmtId="0" fontId="42" fillId="7" borderId="40" xfId="0" applyFont="1" applyFill="1" applyBorder="1" applyAlignment="1" applyProtection="1">
      <alignment horizontal="left" vertical="center" wrapText="1"/>
      <protection locked="0"/>
    </xf>
    <xf numFmtId="0" fontId="45" fillId="8" borderId="40" xfId="0" applyFont="1" applyFill="1" applyBorder="1" applyAlignment="1" applyProtection="1">
      <alignment horizontal="left" vertical="center" wrapText="1"/>
      <protection locked="0"/>
    </xf>
    <xf numFmtId="0" fontId="11" fillId="11" borderId="42" xfId="0" applyFont="1" applyFill="1" applyBorder="1" applyAlignment="1">
      <alignment horizontal="center" vertical="center" wrapText="1"/>
    </xf>
    <xf numFmtId="0" fontId="11" fillId="11" borderId="73" xfId="0" applyFont="1" applyFill="1" applyBorder="1" applyAlignment="1">
      <alignment horizontal="center" vertical="center" wrapText="1"/>
    </xf>
    <xf numFmtId="0" fontId="11" fillId="11" borderId="38" xfId="0" applyFont="1" applyFill="1" applyBorder="1" applyAlignment="1">
      <alignment horizontal="center" vertical="center" wrapText="1"/>
    </xf>
    <xf numFmtId="0" fontId="11" fillId="11" borderId="74" xfId="0" applyFont="1" applyFill="1" applyBorder="1" applyAlignment="1">
      <alignment horizontal="center" vertical="center" wrapText="1"/>
    </xf>
    <xf numFmtId="0" fontId="11" fillId="11" borderId="9" xfId="0" applyFont="1" applyFill="1" applyBorder="1" applyAlignment="1">
      <alignment horizontal="center" vertical="center" wrapText="1"/>
    </xf>
    <xf numFmtId="0" fontId="11" fillId="11" borderId="15" xfId="0" applyFont="1" applyFill="1" applyBorder="1" applyAlignment="1">
      <alignment horizontal="center" vertical="center" wrapText="1"/>
    </xf>
    <xf numFmtId="0" fontId="0" fillId="8" borderId="15" xfId="0" applyFill="1" applyBorder="1" applyAlignment="1" applyProtection="1">
      <alignment horizontal="left" vertical="center" wrapText="1"/>
      <protection locked="0"/>
    </xf>
    <xf numFmtId="0" fontId="0" fillId="8" borderId="75" xfId="0" applyFill="1" applyBorder="1" applyAlignment="1" applyProtection="1">
      <alignment horizontal="left" vertical="center" wrapText="1"/>
      <protection locked="0"/>
    </xf>
    <xf numFmtId="0" fontId="0" fillId="8" borderId="16" xfId="0" applyFill="1" applyBorder="1" applyAlignment="1" applyProtection="1">
      <alignment horizontal="left" vertical="center" wrapText="1"/>
      <protection locked="0"/>
    </xf>
    <xf numFmtId="0" fontId="0" fillId="8" borderId="17" xfId="0" applyFill="1" applyBorder="1" applyAlignment="1" applyProtection="1">
      <alignment horizontal="left" vertical="center" wrapText="1"/>
      <protection locked="0"/>
    </xf>
    <xf numFmtId="164" fontId="0" fillId="8" borderId="42" xfId="0" applyNumberFormat="1" applyFill="1" applyBorder="1" applyAlignment="1" applyProtection="1">
      <alignment horizontal="left" vertical="center"/>
      <protection locked="0"/>
    </xf>
    <xf numFmtId="164" fontId="0" fillId="8" borderId="9" xfId="0" applyNumberFormat="1" applyFill="1" applyBorder="1" applyAlignment="1" applyProtection="1">
      <alignment horizontal="left" vertical="center"/>
      <protection locked="0"/>
    </xf>
    <xf numFmtId="164" fontId="0" fillId="8" borderId="42" xfId="0" applyNumberFormat="1" applyFill="1" applyBorder="1" applyAlignment="1" applyProtection="1">
      <alignment horizontal="center" vertical="center"/>
      <protection locked="0"/>
    </xf>
    <xf numFmtId="164" fontId="0" fillId="8" borderId="9" xfId="0" applyNumberFormat="1" applyFill="1" applyBorder="1" applyAlignment="1" applyProtection="1">
      <alignment horizontal="center" vertical="center"/>
      <protection locked="0"/>
    </xf>
    <xf numFmtId="164" fontId="0" fillId="8" borderId="15" xfId="0" applyNumberFormat="1" applyFill="1" applyBorder="1" applyAlignment="1" applyProtection="1">
      <alignment horizontal="center" vertical="center"/>
      <protection locked="0"/>
    </xf>
    <xf numFmtId="164" fontId="0" fillId="8" borderId="75" xfId="0" applyNumberFormat="1" applyFill="1" applyBorder="1" applyAlignment="1" applyProtection="1">
      <alignment horizontal="center" vertical="center"/>
      <protection locked="0"/>
    </xf>
    <xf numFmtId="164" fontId="0" fillId="8" borderId="16" xfId="0" applyNumberFormat="1" applyFill="1" applyBorder="1" applyAlignment="1" applyProtection="1">
      <alignment horizontal="center" vertical="center"/>
      <protection locked="0"/>
    </xf>
    <xf numFmtId="164" fontId="0" fillId="8" borderId="17" xfId="0" applyNumberFormat="1" applyFill="1" applyBorder="1" applyAlignment="1" applyProtection="1">
      <alignment horizontal="center" vertical="center"/>
      <protection locked="0"/>
    </xf>
    <xf numFmtId="0" fontId="11" fillId="11" borderId="7" xfId="0" applyFont="1" applyFill="1" applyBorder="1" applyAlignment="1">
      <alignment horizontal="center" vertical="center" wrapText="1"/>
    </xf>
    <xf numFmtId="0" fontId="11" fillId="11" borderId="16" xfId="0" applyFont="1" applyFill="1" applyBorder="1" applyAlignment="1">
      <alignment horizontal="center" vertical="center" wrapText="1"/>
    </xf>
    <xf numFmtId="0" fontId="11" fillId="11" borderId="20" xfId="0" applyFont="1" applyFill="1" applyBorder="1" applyAlignment="1">
      <alignment horizontal="center" vertical="center" wrapText="1"/>
    </xf>
    <xf numFmtId="3" fontId="0" fillId="8" borderId="42" xfId="0" applyNumberFormat="1" applyFill="1" applyBorder="1" applyAlignment="1" applyProtection="1">
      <alignment horizontal="center" vertical="center"/>
      <protection locked="0"/>
    </xf>
    <xf numFmtId="3" fontId="0" fillId="8" borderId="9" xfId="0" applyNumberFormat="1" applyFill="1" applyBorder="1" applyAlignment="1" applyProtection="1">
      <alignment horizontal="center" vertical="center"/>
      <protection locked="0"/>
    </xf>
    <xf numFmtId="166" fontId="22" fillId="5" borderId="78" xfId="0" applyNumberFormat="1" applyFont="1" applyFill="1" applyBorder="1" applyAlignment="1">
      <alignment horizontal="center" vertical="center" wrapText="1"/>
    </xf>
    <xf numFmtId="166" fontId="22" fillId="5" borderId="79" xfId="0" applyNumberFormat="1" applyFont="1" applyFill="1" applyBorder="1" applyAlignment="1">
      <alignment horizontal="center" vertical="center" wrapText="1"/>
    </xf>
    <xf numFmtId="0" fontId="14" fillId="5" borderId="31" xfId="0" applyFont="1" applyFill="1" applyBorder="1" applyAlignment="1">
      <alignment horizontal="center" vertical="center" wrapText="1"/>
    </xf>
    <xf numFmtId="0" fontId="14" fillId="5" borderId="30" xfId="0" applyFont="1" applyFill="1" applyBorder="1" applyAlignment="1">
      <alignment horizontal="center" vertical="center" wrapText="1"/>
    </xf>
    <xf numFmtId="0" fontId="19" fillId="5" borderId="21" xfId="0" applyFont="1" applyFill="1" applyBorder="1" applyAlignment="1">
      <alignment horizontal="center" vertical="center" wrapText="1"/>
    </xf>
    <xf numFmtId="0" fontId="19" fillId="5" borderId="22" xfId="0" applyFont="1" applyFill="1" applyBorder="1" applyAlignment="1">
      <alignment horizontal="center" vertical="center" wrapText="1"/>
    </xf>
    <xf numFmtId="0" fontId="19" fillId="5" borderId="18" xfId="0" applyFont="1" applyFill="1" applyBorder="1" applyAlignment="1">
      <alignment horizontal="center" vertical="center" wrapText="1"/>
    </xf>
    <xf numFmtId="0" fontId="19" fillId="5" borderId="19" xfId="0" applyFont="1" applyFill="1" applyBorder="1" applyAlignment="1">
      <alignment horizontal="center" vertical="center" wrapText="1"/>
    </xf>
    <xf numFmtId="0" fontId="19" fillId="5" borderId="13" xfId="0" applyFont="1" applyFill="1" applyBorder="1" applyAlignment="1">
      <alignment horizontal="center" vertical="center" wrapText="1"/>
    </xf>
    <xf numFmtId="0" fontId="19" fillId="5" borderId="23" xfId="0" applyFont="1" applyFill="1" applyBorder="1" applyAlignment="1">
      <alignment horizontal="center" vertical="center" wrapText="1"/>
    </xf>
    <xf numFmtId="0" fontId="19" fillId="5" borderId="24" xfId="0" applyFont="1" applyFill="1" applyBorder="1" applyAlignment="1">
      <alignment horizontal="center" vertical="center" wrapText="1"/>
    </xf>
    <xf numFmtId="0" fontId="19" fillId="5" borderId="25" xfId="0" applyFont="1" applyFill="1" applyBorder="1" applyAlignment="1">
      <alignment horizontal="center" vertical="center" wrapText="1"/>
    </xf>
    <xf numFmtId="0" fontId="24" fillId="5" borderId="61" xfId="0" applyFont="1" applyFill="1" applyBorder="1" applyAlignment="1">
      <alignment horizontal="center" vertical="center" wrapText="1"/>
    </xf>
    <xf numFmtId="0" fontId="24" fillId="5" borderId="22" xfId="0" applyFont="1" applyFill="1" applyBorder="1" applyAlignment="1">
      <alignment horizontal="center" vertical="center" wrapText="1"/>
    </xf>
    <xf numFmtId="0" fontId="20" fillId="4" borderId="29" xfId="0" applyFont="1" applyFill="1" applyBorder="1" applyAlignment="1">
      <alignment horizontal="center" vertical="center" wrapText="1"/>
    </xf>
    <xf numFmtId="0" fontId="19" fillId="5" borderId="81" xfId="0" applyFont="1" applyFill="1" applyBorder="1" applyAlignment="1">
      <alignment horizontal="center" vertical="center" wrapText="1"/>
    </xf>
    <xf numFmtId="0" fontId="19" fillId="5" borderId="80" xfId="0" applyFont="1" applyFill="1" applyBorder="1" applyAlignment="1">
      <alignment horizontal="center" vertical="center" wrapText="1"/>
    </xf>
    <xf numFmtId="165" fontId="7" fillId="5" borderId="12" xfId="0" applyNumberFormat="1" applyFont="1" applyFill="1" applyBorder="1" applyAlignment="1">
      <alignment horizontal="center" textRotation="90" wrapText="1"/>
    </xf>
    <xf numFmtId="165" fontId="7" fillId="5" borderId="13" xfId="0" applyNumberFormat="1" applyFont="1" applyFill="1" applyBorder="1" applyAlignment="1">
      <alignment horizontal="center" textRotation="90" wrapText="1"/>
    </xf>
    <xf numFmtId="165" fontId="7" fillId="5" borderId="68" xfId="0" applyNumberFormat="1" applyFont="1" applyFill="1" applyBorder="1" applyAlignment="1">
      <alignment horizontal="center" textRotation="90" wrapText="1"/>
    </xf>
    <xf numFmtId="165" fontId="7" fillId="5" borderId="27" xfId="0" applyNumberFormat="1" applyFont="1" applyFill="1" applyBorder="1" applyAlignment="1">
      <alignment horizontal="center" textRotation="90" wrapText="1"/>
    </xf>
    <xf numFmtId="165" fontId="7" fillId="5" borderId="24" xfId="0" applyNumberFormat="1" applyFont="1" applyFill="1" applyBorder="1" applyAlignment="1">
      <alignment horizontal="center" textRotation="90" wrapText="1"/>
    </xf>
    <xf numFmtId="165" fontId="7" fillId="5" borderId="69" xfId="0" applyNumberFormat="1" applyFont="1" applyFill="1" applyBorder="1" applyAlignment="1">
      <alignment horizontal="center" textRotation="90" wrapText="1"/>
    </xf>
    <xf numFmtId="1" fontId="19" fillId="5" borderId="12" xfId="0" applyNumberFormat="1" applyFont="1" applyFill="1" applyBorder="1" applyAlignment="1">
      <alignment horizontal="center" vertical="center" wrapText="1"/>
    </xf>
    <xf numFmtId="1" fontId="19" fillId="5" borderId="13" xfId="0" applyNumberFormat="1" applyFont="1" applyFill="1" applyBorder="1" applyAlignment="1">
      <alignment horizontal="center" vertical="center" wrapText="1"/>
    </xf>
    <xf numFmtId="1" fontId="19" fillId="5" borderId="68" xfId="0" applyNumberFormat="1" applyFont="1" applyFill="1" applyBorder="1" applyAlignment="1">
      <alignment horizontal="center" vertical="center" wrapText="1"/>
    </xf>
    <xf numFmtId="0" fontId="19" fillId="5" borderId="61" xfId="0" applyFont="1" applyFill="1" applyBorder="1" applyAlignment="1">
      <alignment horizontal="center" vertical="center" wrapText="1"/>
    </xf>
    <xf numFmtId="0" fontId="19" fillId="5" borderId="67" xfId="0" applyFont="1" applyFill="1" applyBorder="1" applyAlignment="1">
      <alignment horizontal="center" vertical="center" wrapText="1"/>
    </xf>
    <xf numFmtId="0" fontId="19" fillId="5" borderId="12" xfId="0" applyFont="1" applyFill="1" applyBorder="1" applyAlignment="1">
      <alignment horizontal="center" vertical="center" wrapText="1"/>
    </xf>
    <xf numFmtId="0" fontId="19" fillId="5" borderId="27" xfId="0" applyFont="1" applyFill="1" applyBorder="1" applyAlignment="1">
      <alignment horizontal="center" vertical="center" wrapText="1"/>
    </xf>
    <xf numFmtId="1" fontId="19" fillId="5" borderId="27" xfId="0" applyNumberFormat="1" applyFont="1" applyFill="1" applyBorder="1" applyAlignment="1">
      <alignment horizontal="center" vertical="center" wrapText="1"/>
    </xf>
    <xf numFmtId="1" fontId="19" fillId="5" borderId="24" xfId="0" applyNumberFormat="1" applyFont="1" applyFill="1" applyBorder="1" applyAlignment="1">
      <alignment horizontal="center" vertical="center" wrapText="1"/>
    </xf>
    <xf numFmtId="1" fontId="19" fillId="5" borderId="61" xfId="0" applyNumberFormat="1" applyFont="1" applyFill="1" applyBorder="1" applyAlignment="1">
      <alignment horizontal="center" vertical="center" wrapText="1"/>
    </xf>
    <xf numFmtId="1" fontId="19" fillId="5" borderId="22" xfId="0" applyNumberFormat="1" applyFont="1" applyFill="1" applyBorder="1" applyAlignment="1">
      <alignment horizontal="center" vertical="center" wrapText="1"/>
    </xf>
    <xf numFmtId="1" fontId="19" fillId="5" borderId="67" xfId="0" applyNumberFormat="1" applyFont="1" applyFill="1" applyBorder="1" applyAlignment="1">
      <alignment horizontal="center" vertical="center" wrapText="1"/>
    </xf>
    <xf numFmtId="1" fontId="19" fillId="5" borderId="69" xfId="0" applyNumberFormat="1" applyFont="1" applyFill="1" applyBorder="1" applyAlignment="1">
      <alignment horizontal="center" vertical="center" wrapText="1"/>
    </xf>
    <xf numFmtId="0" fontId="11" fillId="11" borderId="14" xfId="0" applyFont="1" applyFill="1" applyBorder="1" applyAlignment="1">
      <alignment horizontal="center" vertical="center" wrapText="1"/>
    </xf>
    <xf numFmtId="0" fontId="11" fillId="11" borderId="89" xfId="0" applyFont="1" applyFill="1" applyBorder="1" applyAlignment="1">
      <alignment horizontal="center" vertical="center" wrapText="1"/>
    </xf>
    <xf numFmtId="3" fontId="5" fillId="8" borderId="91" xfId="0" applyNumberFormat="1" applyFont="1" applyFill="1" applyBorder="1" applyAlignment="1" applyProtection="1">
      <alignment horizontal="center" vertical="center"/>
      <protection locked="0"/>
    </xf>
    <xf numFmtId="3" fontId="5" fillId="8" borderId="92" xfId="0" applyNumberFormat="1" applyFont="1" applyFill="1" applyBorder="1" applyAlignment="1" applyProtection="1">
      <alignment horizontal="center" vertical="center"/>
      <protection locked="0"/>
    </xf>
    <xf numFmtId="164" fontId="0" fillId="8" borderId="42" xfId="0" applyNumberFormat="1" applyFill="1" applyBorder="1" applyAlignment="1" applyProtection="1">
      <alignment horizontal="center" vertical="center" wrapText="1"/>
      <protection locked="0"/>
    </xf>
    <xf numFmtId="164" fontId="0" fillId="8" borderId="9" xfId="0" applyNumberFormat="1" applyFill="1" applyBorder="1" applyAlignment="1" applyProtection="1">
      <alignment horizontal="center" vertical="center" wrapText="1"/>
      <protection locked="0"/>
    </xf>
    <xf numFmtId="164" fontId="0" fillId="8" borderId="42" xfId="0" applyNumberFormat="1" applyFill="1" applyBorder="1" applyAlignment="1" applyProtection="1">
      <alignment horizontal="left" vertical="center" wrapText="1"/>
      <protection locked="0"/>
    </xf>
    <xf numFmtId="164" fontId="0" fillId="8" borderId="15" xfId="0" applyNumberFormat="1" applyFill="1" applyBorder="1" applyAlignment="1" applyProtection="1">
      <alignment horizontal="center" vertical="center" wrapText="1"/>
      <protection locked="0"/>
    </xf>
    <xf numFmtId="164" fontId="0" fillId="8" borderId="75" xfId="0" applyNumberFormat="1" applyFill="1" applyBorder="1" applyAlignment="1" applyProtection="1">
      <alignment horizontal="center" vertical="center" wrapText="1"/>
      <protection locked="0"/>
    </xf>
    <xf numFmtId="164" fontId="0" fillId="8" borderId="16" xfId="0" applyNumberFormat="1" applyFill="1" applyBorder="1" applyAlignment="1" applyProtection="1">
      <alignment horizontal="center" vertical="center" wrapText="1"/>
      <protection locked="0"/>
    </xf>
    <xf numFmtId="164" fontId="0" fillId="8" borderId="17" xfId="0" applyNumberFormat="1" applyFill="1" applyBorder="1" applyAlignment="1" applyProtection="1">
      <alignment horizontal="center" vertical="center" wrapText="1"/>
      <protection locked="0"/>
    </xf>
    <xf numFmtId="3" fontId="0" fillId="8" borderId="42" xfId="0" applyNumberFormat="1" applyFill="1" applyBorder="1" applyAlignment="1" applyProtection="1">
      <alignment horizontal="center" vertical="center" wrapText="1"/>
      <protection locked="0"/>
    </xf>
    <xf numFmtId="3" fontId="0" fillId="8" borderId="9" xfId="0" applyNumberFormat="1" applyFill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Percent" xfId="1" builtinId="5"/>
  </cellStyles>
  <dxfs count="165">
    <dxf>
      <font>
        <color theme="9" tint="-0.24994659260841701"/>
      </font>
    </dxf>
    <dxf>
      <font>
        <color theme="9" tint="-0.24994659260841701"/>
      </font>
    </dxf>
    <dxf>
      <fill>
        <patternFill>
          <bgColor rgb="FFFFE5E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E5E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ont>
        <b/>
        <i val="0"/>
        <color rgb="FFC00000"/>
      </font>
    </dxf>
    <dxf>
      <font>
        <b/>
        <i val="0"/>
        <color rgb="FFC00000"/>
      </font>
    </dxf>
    <dxf>
      <fill>
        <patternFill>
          <bgColor theme="9" tint="0.79998168889431442"/>
        </patternFill>
      </fill>
    </dxf>
    <dxf>
      <font>
        <color theme="9" tint="-0.24994659260841701"/>
      </font>
    </dxf>
    <dxf>
      <font>
        <color theme="9" tint="-0.24994659260841701"/>
      </font>
    </dxf>
    <dxf>
      <fill>
        <patternFill>
          <bgColor rgb="FFFFE5E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E5E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ont>
        <b/>
        <i val="0"/>
        <color rgb="FFC00000"/>
      </font>
    </dxf>
    <dxf>
      <font>
        <b/>
        <i val="0"/>
        <color rgb="FFC00000"/>
      </font>
    </dxf>
    <dxf>
      <fill>
        <patternFill>
          <bgColor theme="9" tint="0.79998168889431442"/>
        </patternFill>
      </fill>
    </dxf>
    <dxf>
      <font>
        <color theme="9" tint="-0.24994659260841701"/>
      </font>
    </dxf>
    <dxf>
      <font>
        <color theme="9" tint="-0.24994659260841701"/>
      </font>
    </dxf>
    <dxf>
      <fill>
        <patternFill>
          <bgColor rgb="FFFFE5E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E5E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ont>
        <b/>
        <i val="0"/>
        <color rgb="FFC00000"/>
      </font>
    </dxf>
    <dxf>
      <font>
        <b/>
        <i val="0"/>
        <color rgb="FFC00000"/>
      </font>
    </dxf>
    <dxf>
      <fill>
        <patternFill>
          <bgColor theme="9" tint="0.79998168889431442"/>
        </patternFill>
      </fill>
    </dxf>
    <dxf>
      <font>
        <color theme="9" tint="-0.24994659260841701"/>
      </font>
    </dxf>
    <dxf>
      <font>
        <color theme="9" tint="-0.24994659260841701"/>
      </font>
    </dxf>
    <dxf>
      <fill>
        <patternFill>
          <bgColor rgb="FFFFE5E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E5E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ont>
        <b/>
        <i val="0"/>
        <color rgb="FFC00000"/>
      </font>
    </dxf>
    <dxf>
      <font>
        <b/>
        <i val="0"/>
        <color rgb="FFC00000"/>
      </font>
    </dxf>
    <dxf>
      <fill>
        <patternFill>
          <bgColor theme="9" tint="0.79998168889431442"/>
        </patternFill>
      </fill>
    </dxf>
    <dxf>
      <font>
        <color theme="9" tint="-0.24994659260841701"/>
      </font>
    </dxf>
    <dxf>
      <font>
        <color theme="9" tint="-0.24994659260841701"/>
      </font>
    </dxf>
    <dxf>
      <fill>
        <patternFill>
          <bgColor rgb="FFFFE5E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E5E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ont>
        <b/>
        <i val="0"/>
        <color rgb="FFC00000"/>
      </font>
    </dxf>
    <dxf>
      <font>
        <b/>
        <i val="0"/>
        <color rgb="FFC00000"/>
      </font>
    </dxf>
    <dxf>
      <fill>
        <patternFill>
          <bgColor theme="9" tint="0.79998168889431442"/>
        </patternFill>
      </fill>
    </dxf>
    <dxf>
      <font>
        <color theme="9" tint="-0.24994659260841701"/>
      </font>
    </dxf>
    <dxf>
      <font>
        <color theme="9" tint="-0.24994659260841701"/>
      </font>
    </dxf>
    <dxf>
      <fill>
        <patternFill>
          <bgColor rgb="FFFFE5E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E5E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ont>
        <b/>
        <i val="0"/>
        <color rgb="FFC00000"/>
      </font>
    </dxf>
    <dxf>
      <font>
        <b/>
        <i val="0"/>
        <color rgb="FFC00000"/>
      </font>
    </dxf>
    <dxf>
      <fill>
        <patternFill>
          <bgColor theme="9" tint="0.79998168889431442"/>
        </patternFill>
      </fill>
    </dxf>
    <dxf>
      <font>
        <color theme="9" tint="-0.24994659260841701"/>
      </font>
    </dxf>
    <dxf>
      <font>
        <color theme="9" tint="-0.24994659260841701"/>
      </font>
    </dxf>
    <dxf>
      <fill>
        <patternFill>
          <bgColor rgb="FFFFE5E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E5E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ont>
        <b/>
        <i val="0"/>
        <color rgb="FFC00000"/>
      </font>
    </dxf>
    <dxf>
      <font>
        <b/>
        <i val="0"/>
        <color rgb="FFC00000"/>
      </font>
    </dxf>
    <dxf>
      <fill>
        <patternFill>
          <bgColor theme="9" tint="0.79998168889431442"/>
        </patternFill>
      </fill>
    </dxf>
    <dxf>
      <font>
        <color theme="9" tint="-0.24994659260841701"/>
      </font>
    </dxf>
    <dxf>
      <font>
        <color theme="9" tint="-0.24994659260841701"/>
      </font>
    </dxf>
    <dxf>
      <fill>
        <patternFill>
          <bgColor rgb="FFFFE5E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E5E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ont>
        <b/>
        <i val="0"/>
        <color rgb="FFC00000"/>
      </font>
    </dxf>
    <dxf>
      <font>
        <b/>
        <i val="0"/>
        <color rgb="FFC00000"/>
      </font>
    </dxf>
    <dxf>
      <fill>
        <patternFill>
          <bgColor theme="9" tint="0.79998168889431442"/>
        </patternFill>
      </fill>
    </dxf>
    <dxf>
      <font>
        <color theme="9" tint="-0.24994659260841701"/>
      </font>
    </dxf>
    <dxf>
      <font>
        <color theme="9" tint="-0.24994659260841701"/>
      </font>
    </dxf>
    <dxf>
      <fill>
        <patternFill>
          <bgColor rgb="FFFFE5E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E5E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ont>
        <b/>
        <i val="0"/>
        <color rgb="FFC00000"/>
      </font>
    </dxf>
    <dxf>
      <font>
        <b/>
        <i val="0"/>
        <color rgb="FFC00000"/>
      </font>
    </dxf>
    <dxf>
      <fill>
        <patternFill>
          <bgColor theme="9" tint="0.79998168889431442"/>
        </patternFill>
      </fill>
    </dxf>
    <dxf>
      <font>
        <color theme="9" tint="-0.24994659260841701"/>
      </font>
    </dxf>
    <dxf>
      <font>
        <color theme="9" tint="-0.24994659260841701"/>
      </font>
    </dxf>
    <dxf>
      <fill>
        <patternFill>
          <bgColor rgb="FFFFE5E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E5E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ont>
        <b/>
        <i val="0"/>
        <color rgb="FFC00000"/>
      </font>
    </dxf>
    <dxf>
      <font>
        <b/>
        <i val="0"/>
        <color rgb="FFC00000"/>
      </font>
    </dxf>
    <dxf>
      <fill>
        <patternFill>
          <bgColor theme="9" tint="0.79998168889431442"/>
        </patternFill>
      </fill>
    </dxf>
    <dxf>
      <font>
        <color theme="9" tint="-0.24994659260841701"/>
      </font>
    </dxf>
    <dxf>
      <fill>
        <patternFill>
          <bgColor rgb="FFFFE5E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E5E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ont>
        <b/>
        <i val="0"/>
        <color rgb="FFC00000"/>
      </font>
    </dxf>
    <dxf>
      <font>
        <b/>
        <i val="0"/>
        <color rgb="FFC00000"/>
      </font>
    </dxf>
    <dxf>
      <fill>
        <patternFill>
          <bgColor theme="9" tint="0.79998168889431442"/>
        </patternFill>
      </fill>
    </dxf>
    <dxf>
      <font>
        <color theme="9" tint="-0.24994659260841701"/>
      </font>
    </dxf>
    <dxf>
      <font>
        <color theme="9" tint="-0.24994659260841701"/>
      </font>
    </dxf>
    <dxf>
      <fill>
        <patternFill>
          <bgColor rgb="FFFFE5E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E5E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ont>
        <b/>
        <i val="0"/>
        <color rgb="FFC00000"/>
      </font>
    </dxf>
    <dxf>
      <fill>
        <patternFill>
          <bgColor theme="9" tint="0.79998168889431442"/>
        </patternFill>
      </fill>
    </dxf>
    <dxf>
      <font>
        <color theme="9" tint="-0.24994659260841701"/>
      </font>
    </dxf>
    <dxf>
      <font>
        <color theme="9" tint="-0.24994659260841701"/>
      </font>
    </dxf>
    <dxf>
      <fill>
        <patternFill>
          <bgColor rgb="FFFFE5E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E5E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ont>
        <b/>
        <i val="0"/>
        <color rgb="FFC00000"/>
      </font>
    </dxf>
    <dxf>
      <font>
        <b/>
        <i val="0"/>
        <color rgb="FFC00000"/>
      </font>
    </dxf>
    <dxf>
      <fill>
        <patternFill>
          <bgColor theme="9" tint="0.79998168889431442"/>
        </patternFill>
      </fill>
    </dxf>
    <dxf>
      <font>
        <color theme="9" tint="-0.24994659260841701"/>
      </font>
    </dxf>
    <dxf>
      <font>
        <color theme="9" tint="-0.24994659260841701"/>
      </font>
    </dxf>
    <dxf>
      <fill>
        <patternFill>
          <bgColor rgb="FFFFE5E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E5E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ill>
        <patternFill>
          <bgColor theme="9" tint="0.79998168889431442"/>
        </patternFill>
      </fill>
    </dxf>
    <dxf>
      <font>
        <color theme="9" tint="-0.24994659260841701"/>
      </font>
    </dxf>
    <dxf>
      <font>
        <color theme="9" tint="-0.24994659260841701"/>
      </font>
    </dxf>
    <dxf>
      <fill>
        <patternFill>
          <bgColor rgb="FFFFE5E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E5E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ont>
        <b/>
        <i val="0"/>
        <color rgb="FFC00000"/>
      </font>
    </dxf>
    <dxf>
      <font>
        <b/>
        <i val="0"/>
        <color rgb="FFC00000"/>
      </font>
    </dxf>
    <dxf>
      <fill>
        <patternFill>
          <bgColor theme="9" tint="0.79998168889431442"/>
        </pattern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</dxfs>
  <tableStyles count="0" defaultTableStyle="TableStyleMedium2" defaultPivotStyle="PivotStyleLight16"/>
  <colors>
    <mruColors>
      <color rgb="FFF2D6D6"/>
      <color rgb="FF7E0000"/>
      <color rgb="FFEFF6EA"/>
      <color rgb="FFC5CE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D7955-E7B0-435D-A306-95CF76294658}">
  <sheetPr codeName="Sheet1"/>
  <dimension ref="B1:C12"/>
  <sheetViews>
    <sheetView workbookViewId="0">
      <selection activeCell="B6" sqref="B6"/>
    </sheetView>
  </sheetViews>
  <sheetFormatPr defaultRowHeight="15" x14ac:dyDescent="0.25"/>
  <cols>
    <col min="2" max="2" width="55.140625" bestFit="1" customWidth="1"/>
    <col min="3" max="3" width="31.85546875" bestFit="1" customWidth="1"/>
    <col min="5" max="5" width="20" bestFit="1" customWidth="1"/>
  </cols>
  <sheetData>
    <row r="1" spans="2:3" x14ac:dyDescent="0.25">
      <c r="B1" s="1" t="s">
        <v>0</v>
      </c>
      <c r="C1" s="1" t="s">
        <v>1</v>
      </c>
    </row>
    <row r="2" spans="2:3" x14ac:dyDescent="0.25">
      <c r="B2" s="2" t="s">
        <v>2</v>
      </c>
      <c r="C2" s="2" t="s">
        <v>3</v>
      </c>
    </row>
    <row r="3" spans="2:3" x14ac:dyDescent="0.25">
      <c r="B3" s="2" t="s">
        <v>4</v>
      </c>
      <c r="C3" s="2" t="s">
        <v>5</v>
      </c>
    </row>
    <row r="4" spans="2:3" x14ac:dyDescent="0.25">
      <c r="B4" s="2" t="s">
        <v>6</v>
      </c>
      <c r="C4" s="2" t="s">
        <v>7</v>
      </c>
    </row>
    <row r="5" spans="2:3" x14ac:dyDescent="0.25">
      <c r="B5" s="2" t="s">
        <v>8</v>
      </c>
      <c r="C5" s="2" t="s">
        <v>9</v>
      </c>
    </row>
    <row r="6" spans="2:3" x14ac:dyDescent="0.25">
      <c r="B6" s="2" t="s">
        <v>10</v>
      </c>
      <c r="C6" s="2" t="s">
        <v>11</v>
      </c>
    </row>
    <row r="7" spans="2:3" x14ac:dyDescent="0.25">
      <c r="B7" s="2" t="s">
        <v>12</v>
      </c>
      <c r="C7" s="2" t="s">
        <v>13</v>
      </c>
    </row>
    <row r="8" spans="2:3" x14ac:dyDescent="0.25">
      <c r="B8" s="2" t="s">
        <v>14</v>
      </c>
      <c r="C8" s="2"/>
    </row>
    <row r="9" spans="2:3" x14ac:dyDescent="0.25">
      <c r="B9" s="2" t="s">
        <v>15</v>
      </c>
      <c r="C9" s="2"/>
    </row>
    <row r="10" spans="2:3" x14ac:dyDescent="0.25">
      <c r="B10" s="2" t="s">
        <v>16</v>
      </c>
      <c r="C10" s="2"/>
    </row>
    <row r="11" spans="2:3" x14ac:dyDescent="0.25">
      <c r="B11" s="2" t="s">
        <v>17</v>
      </c>
      <c r="C11" s="2"/>
    </row>
    <row r="12" spans="2:3" x14ac:dyDescent="0.25">
      <c r="B12" s="2" t="s">
        <v>18</v>
      </c>
      <c r="C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A38C8-93A6-42D4-A47C-5A19E27B9856}">
  <sheetPr codeName="Sheet2"/>
  <dimension ref="B1:R37"/>
  <sheetViews>
    <sheetView showGridLines="0" topLeftCell="A5" workbookViewId="0">
      <selection activeCell="C30" sqref="C30"/>
    </sheetView>
  </sheetViews>
  <sheetFormatPr defaultRowHeight="15" outlineLevelRow="1" x14ac:dyDescent="0.25"/>
  <cols>
    <col min="1" max="1" width="3.85546875" customWidth="1"/>
    <col min="2" max="4" width="16.5703125" customWidth="1"/>
    <col min="5" max="5" width="9" customWidth="1"/>
    <col min="6" max="6" width="18" bestFit="1" customWidth="1"/>
    <col min="7" max="7" width="1" customWidth="1"/>
    <col min="8" max="17" width="16.140625" customWidth="1"/>
    <col min="18" max="18" width="19" customWidth="1"/>
    <col min="19" max="19" width="14.5703125" customWidth="1"/>
  </cols>
  <sheetData>
    <row r="1" spans="2:18" ht="30" hidden="1" outlineLevel="1" x14ac:dyDescent="0.25">
      <c r="B1" s="265" t="s">
        <v>19</v>
      </c>
      <c r="C1" s="266"/>
      <c r="D1" s="18" cm="1">
        <f t="array" aca="1" ref="D1" ca="1">SUMPRODUCT((C20:C36=TRUE)*N(INDIRECT("'"&amp;B20:B36&amp;"'!k3")))</f>
        <v>1162634</v>
      </c>
      <c r="F1" s="135"/>
      <c r="H1" s="136" t="s">
        <v>2</v>
      </c>
      <c r="I1" s="136" t="s">
        <v>4</v>
      </c>
      <c r="J1" s="136" t="s">
        <v>6</v>
      </c>
      <c r="K1" s="136" t="s">
        <v>8</v>
      </c>
      <c r="L1" s="136" t="s">
        <v>10</v>
      </c>
      <c r="M1" s="136" t="s">
        <v>12</v>
      </c>
      <c r="N1" s="136" t="s">
        <v>14</v>
      </c>
      <c r="O1" s="136" t="s">
        <v>15</v>
      </c>
      <c r="P1" s="136" t="s">
        <v>16</v>
      </c>
      <c r="Q1" s="136" t="s">
        <v>17</v>
      </c>
      <c r="R1" s="136" t="s">
        <v>18</v>
      </c>
    </row>
    <row r="2" spans="2:18" hidden="1" outlineLevel="1" x14ac:dyDescent="0.25"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</row>
    <row r="3" spans="2:18" hidden="1" outlineLevel="1" x14ac:dyDescent="0.25">
      <c r="B3" s="151" t="s">
        <v>20</v>
      </c>
      <c r="C3" s="152"/>
      <c r="D3" s="161" t="s">
        <v>21</v>
      </c>
      <c r="F3" s="138" t="s">
        <v>22</v>
      </c>
      <c r="H3" s="2"/>
      <c r="I3" s="137"/>
      <c r="J3" s="2"/>
      <c r="K3" s="137"/>
      <c r="L3" s="2"/>
      <c r="M3" s="137"/>
      <c r="N3" s="2"/>
      <c r="O3" s="137"/>
      <c r="P3" s="2"/>
      <c r="Q3" s="137"/>
      <c r="R3" s="2"/>
    </row>
    <row r="4" spans="2:18" hidden="1" outlineLevel="1" x14ac:dyDescent="0.25">
      <c r="B4" s="22" t="s">
        <v>23</v>
      </c>
      <c r="C4" s="23"/>
      <c r="D4" s="162" cm="1">
        <f t="array" aca="1" ref="D4" ca="1">SUMPRODUCT((C20:C36=TRUE)*N(INDIRECT("'"&amp;B20:B36&amp;"'!S4")))</f>
        <v>5640999863.3000002</v>
      </c>
      <c r="E4" s="159"/>
      <c r="F4" s="138" t="s">
        <v>24</v>
      </c>
      <c r="H4" s="2"/>
      <c r="I4" s="137"/>
      <c r="J4" s="2"/>
      <c r="K4" s="137"/>
      <c r="L4" s="2"/>
      <c r="M4" s="137"/>
      <c r="N4" s="2"/>
      <c r="O4" s="137"/>
      <c r="P4" s="2"/>
      <c r="Q4" s="137"/>
      <c r="R4" s="2"/>
    </row>
    <row r="5" spans="2:18" collapsed="1" x14ac:dyDescent="0.25">
      <c r="B5" s="22" t="s">
        <v>25</v>
      </c>
      <c r="C5" s="23"/>
      <c r="D5" s="163" cm="1">
        <f t="array" aca="1" ref="D5" ca="1">SUMPRODUCT((C20:C36=TRUE)*N(INDIRECT("'"&amp;B20:B36&amp;"'!X2")))</f>
        <v>1907706780.7</v>
      </c>
      <c r="E5" s="164">
        <f ca="1">D5/(D4-D6)</f>
        <v>0.33993608988300655</v>
      </c>
      <c r="F5" s="138" t="s">
        <v>26</v>
      </c>
      <c r="H5" s="2"/>
      <c r="I5" s="137"/>
      <c r="J5" s="2"/>
      <c r="K5" s="137"/>
      <c r="L5" s="2"/>
      <c r="M5" s="137"/>
      <c r="N5" s="2"/>
      <c r="O5" s="137"/>
      <c r="P5" s="2"/>
      <c r="Q5" s="137"/>
      <c r="R5" s="2"/>
    </row>
    <row r="6" spans="2:18" x14ac:dyDescent="0.25">
      <c r="B6" s="22" t="s">
        <v>27</v>
      </c>
      <c r="C6" s="23"/>
      <c r="D6" s="163" cm="1">
        <f t="array" aca="1" ref="D6" ca="1">SUMPRODUCT((C20:C36=TRUE)*N(INDIRECT("'"&amp;B20:B36&amp;"'!X5")))</f>
        <v>29042682.299999982</v>
      </c>
      <c r="E6" s="164">
        <f ca="1">D6/D4</f>
        <v>5.1484990256691716E-3</v>
      </c>
      <c r="F6" s="138" t="s">
        <v>28</v>
      </c>
      <c r="H6" s="2"/>
      <c r="I6" s="137"/>
      <c r="J6" s="2"/>
      <c r="K6" s="137"/>
      <c r="L6" s="2"/>
      <c r="M6" s="137"/>
      <c r="N6" s="2"/>
      <c r="O6" s="137"/>
      <c r="P6" s="2"/>
      <c r="Q6" s="137"/>
      <c r="R6" s="2"/>
    </row>
    <row r="7" spans="2:18" s="134" customFormat="1" ht="5.25" x14ac:dyDescent="0.15"/>
    <row r="8" spans="2:18" x14ac:dyDescent="0.25">
      <c r="B8" s="27" t="s">
        <v>29</v>
      </c>
      <c r="C8" s="152"/>
      <c r="D8" s="26"/>
      <c r="F8" s="138" t="s">
        <v>22</v>
      </c>
      <c r="H8" s="2"/>
      <c r="I8" s="137"/>
      <c r="J8" s="2"/>
      <c r="K8" s="137"/>
      <c r="L8" s="2"/>
      <c r="M8" s="137"/>
      <c r="N8" s="2"/>
      <c r="O8" s="137"/>
      <c r="P8" s="2"/>
      <c r="Q8" s="137"/>
      <c r="R8" s="2"/>
    </row>
    <row r="9" spans="2:18" x14ac:dyDescent="0.25">
      <c r="B9" s="24" t="s">
        <v>30</v>
      </c>
      <c r="C9" s="23"/>
      <c r="D9" s="12" cm="1">
        <f t="array" aca="1" ref="D9" ca="1">SUMPRODUCT((C20:C36=TRUE)*N(INDIRECT("'"&amp;B20:B36&amp;"'!AD2")))</f>
        <v>334</v>
      </c>
      <c r="F9" s="138" t="s">
        <v>24</v>
      </c>
      <c r="H9" s="2"/>
      <c r="I9" s="137"/>
      <c r="J9" s="2"/>
      <c r="K9" s="137"/>
      <c r="L9" s="2"/>
      <c r="M9" s="137"/>
      <c r="N9" s="2"/>
      <c r="O9" s="137"/>
      <c r="P9" s="2"/>
      <c r="Q9" s="137"/>
      <c r="R9" s="2"/>
    </row>
    <row r="10" spans="2:18" x14ac:dyDescent="0.25">
      <c r="B10" s="22" t="s">
        <v>31</v>
      </c>
      <c r="C10" s="23"/>
      <c r="D10" s="13" cm="1">
        <f t="array" aca="1" ref="D10" ca="1">SUMPRODUCT((C20:C36=TRUE)*N(INDIRECT("'"&amp;B20:B36&amp;"'!AD3")))</f>
        <v>34</v>
      </c>
      <c r="F10" s="138" t="s">
        <v>26</v>
      </c>
      <c r="H10" s="2"/>
      <c r="I10" s="137"/>
      <c r="J10" s="2"/>
      <c r="K10" s="137"/>
      <c r="L10" s="2"/>
      <c r="M10" s="137"/>
      <c r="N10" s="2"/>
      <c r="O10" s="137"/>
      <c r="P10" s="2"/>
      <c r="Q10" s="137"/>
      <c r="R10" s="2"/>
    </row>
    <row r="11" spans="2:18" x14ac:dyDescent="0.25">
      <c r="B11" s="24" t="s">
        <v>32</v>
      </c>
      <c r="C11" s="23"/>
      <c r="D11" s="158">
        <f ca="1">D10/D9</f>
        <v>0.10179640718562874</v>
      </c>
      <c r="F11" s="138" t="s">
        <v>28</v>
      </c>
      <c r="H11" s="2"/>
      <c r="I11" s="137"/>
      <c r="J11" s="2"/>
      <c r="K11" s="137"/>
      <c r="L11" s="2"/>
      <c r="M11" s="137"/>
      <c r="N11" s="2"/>
      <c r="O11" s="137"/>
      <c r="P11" s="2"/>
      <c r="Q11" s="137"/>
      <c r="R11" s="2"/>
    </row>
    <row r="12" spans="2:18" s="134" customFormat="1" x14ac:dyDescent="0.25">
      <c r="E12"/>
    </row>
    <row r="13" spans="2:18" x14ac:dyDescent="0.25">
      <c r="B13" s="27" t="s">
        <v>33</v>
      </c>
      <c r="C13" s="39" t="s">
        <v>34</v>
      </c>
      <c r="D13" s="40" t="s">
        <v>35</v>
      </c>
      <c r="F13" s="138" t="s">
        <v>22</v>
      </c>
      <c r="H13" s="2"/>
      <c r="I13" s="137"/>
      <c r="J13" s="2"/>
      <c r="K13" s="137"/>
      <c r="L13" s="2"/>
      <c r="M13" s="137"/>
      <c r="N13" s="2"/>
      <c r="O13" s="137"/>
      <c r="P13" s="2"/>
      <c r="Q13" s="137"/>
      <c r="R13" s="2"/>
    </row>
    <row r="14" spans="2:18" x14ac:dyDescent="0.25">
      <c r="B14" s="22" t="s">
        <v>444</v>
      </c>
      <c r="C14" s="13" cm="1">
        <f t="array" aca="1" ref="C14" ca="1">SUMPRODUCT((C20:C36=TRUE)*N(INDIRECT("'"&amp;B20:B36&amp;"'!AH2")))</f>
        <v>67</v>
      </c>
      <c r="D14" s="14" cm="1">
        <f t="array" aca="1" ref="D14" ca="1">MIN(IF(C20:C36=TRUE, N(INDIRECT("'"&amp;B20:B36&amp;"'!Ai2"))))</f>
        <v>-238</v>
      </c>
      <c r="F14" s="138" t="s">
        <v>24</v>
      </c>
      <c r="H14" s="2"/>
      <c r="I14" s="137"/>
      <c r="J14" s="2"/>
      <c r="K14" s="137"/>
      <c r="L14" s="2"/>
      <c r="M14" s="137"/>
      <c r="N14" s="2"/>
      <c r="O14" s="137"/>
      <c r="P14" s="2"/>
      <c r="Q14" s="137"/>
      <c r="R14" s="2"/>
    </row>
    <row r="15" spans="2:18" x14ac:dyDescent="0.25">
      <c r="B15" s="22" t="s">
        <v>447</v>
      </c>
      <c r="C15" s="13" cm="1">
        <f t="array" aca="1" ref="C15" ca="1">SUMPRODUCT((C20:C36=TRUE)*N(INDIRECT("'"&amp;B20:B36&amp;"'!AH3")))</f>
        <v>114</v>
      </c>
      <c r="D15" s="14" cm="1">
        <f t="array" aca="1" ref="D15" ca="1">MIN(IF(C20:C36=TRUE, N(INDIRECT("'"&amp;B20:B36&amp;"'!Ai3"))))</f>
        <v>-299</v>
      </c>
      <c r="F15" s="138" t="s">
        <v>26</v>
      </c>
      <c r="H15" s="2"/>
      <c r="I15" s="137"/>
      <c r="J15" s="2"/>
      <c r="K15" s="137"/>
      <c r="L15" s="2"/>
      <c r="M15" s="137"/>
      <c r="N15" s="2"/>
      <c r="O15" s="137"/>
      <c r="P15" s="2"/>
      <c r="Q15" s="137"/>
      <c r="R15" s="2"/>
    </row>
    <row r="16" spans="2:18" x14ac:dyDescent="0.25">
      <c r="B16" s="22" t="s">
        <v>448</v>
      </c>
      <c r="C16" s="13" cm="1">
        <f t="array" aca="1" ref="C16" ca="1">SUMPRODUCT((C20:C36=TRUE)*N(INDIRECT("'"&amp;B20:B36&amp;"'!AH4")))</f>
        <v>135</v>
      </c>
      <c r="D16" s="14" cm="1">
        <f t="array" aca="1" ref="D16" ca="1">MIN(IF(C20:C36=TRUE, N(INDIRECT("'"&amp;B20:B36&amp;"'!Ai4"))))</f>
        <v>-341</v>
      </c>
      <c r="F16" s="138" t="s">
        <v>28</v>
      </c>
      <c r="H16" s="2"/>
      <c r="I16" s="137"/>
      <c r="J16" s="2"/>
      <c r="K16" s="137"/>
      <c r="L16" s="2"/>
      <c r="M16" s="137"/>
      <c r="N16" s="2"/>
      <c r="O16" s="137"/>
      <c r="P16" s="2"/>
      <c r="Q16" s="137"/>
      <c r="R16" s="2"/>
    </row>
    <row r="17" spans="2:18" s="134" customFormat="1" x14ac:dyDescent="0.25">
      <c r="E17"/>
    </row>
    <row r="18" spans="2:18" x14ac:dyDescent="0.25">
      <c r="B18" s="154" t="s">
        <v>37</v>
      </c>
      <c r="C18" s="156"/>
      <c r="F18" s="138" t="s">
        <v>22</v>
      </c>
      <c r="H18" s="2"/>
      <c r="I18" s="137"/>
      <c r="J18" s="2"/>
      <c r="K18" s="137"/>
      <c r="L18" s="2"/>
      <c r="M18" s="137"/>
      <c r="N18" s="2"/>
      <c r="O18" s="137"/>
      <c r="P18" s="2"/>
      <c r="Q18" s="137"/>
      <c r="R18" s="2"/>
    </row>
    <row r="19" spans="2:18" x14ac:dyDescent="0.25">
      <c r="B19" s="157" t="s">
        <v>38</v>
      </c>
      <c r="C19" s="155" t="s">
        <v>39</v>
      </c>
      <c r="F19" s="138" t="s">
        <v>24</v>
      </c>
      <c r="H19" s="2"/>
      <c r="I19" s="137"/>
      <c r="J19" s="2"/>
      <c r="K19" s="137"/>
      <c r="L19" s="2"/>
      <c r="M19" s="137"/>
      <c r="N19" s="2"/>
      <c r="O19" s="137"/>
      <c r="P19" s="2"/>
      <c r="Q19" s="137"/>
      <c r="R19" s="2"/>
    </row>
    <row r="20" spans="2:18" x14ac:dyDescent="0.25">
      <c r="B20" s="2" t="s">
        <v>40</v>
      </c>
      <c r="C20" s="2" t="b">
        <v>0</v>
      </c>
      <c r="F20" s="138" t="s">
        <v>26</v>
      </c>
      <c r="H20" s="2"/>
      <c r="I20" s="137"/>
      <c r="J20" s="2"/>
      <c r="K20" s="137"/>
      <c r="L20" s="2"/>
      <c r="M20" s="137"/>
      <c r="N20" s="2"/>
      <c r="O20" s="137"/>
      <c r="P20" s="2"/>
      <c r="Q20" s="137"/>
      <c r="R20" s="2"/>
    </row>
    <row r="21" spans="2:18" x14ac:dyDescent="0.25">
      <c r="B21" s="2" t="s">
        <v>41</v>
      </c>
      <c r="C21" s="2" t="b">
        <v>0</v>
      </c>
      <c r="F21" s="138" t="s">
        <v>28</v>
      </c>
      <c r="H21" s="2"/>
      <c r="I21" s="137"/>
      <c r="J21" s="2"/>
      <c r="K21" s="137"/>
      <c r="L21" s="2"/>
      <c r="M21" s="137"/>
      <c r="N21" s="2"/>
      <c r="O21" s="137"/>
      <c r="P21" s="2"/>
      <c r="Q21" s="137"/>
      <c r="R21" s="2"/>
    </row>
    <row r="22" spans="2:18" s="134" customFormat="1" x14ac:dyDescent="0.25">
      <c r="B22" s="2" t="s">
        <v>42</v>
      </c>
      <c r="C22" s="2" t="b">
        <v>1</v>
      </c>
      <c r="D22"/>
      <c r="E22"/>
    </row>
    <row r="23" spans="2:18" x14ac:dyDescent="0.25">
      <c r="B23" s="2" t="s">
        <v>43</v>
      </c>
      <c r="C23" s="2" t="b">
        <v>1</v>
      </c>
      <c r="F23" s="138" t="s">
        <v>22</v>
      </c>
      <c r="H23" s="2"/>
      <c r="I23" s="137"/>
      <c r="J23" s="2"/>
      <c r="K23" s="137"/>
      <c r="L23" s="2"/>
      <c r="M23" s="137"/>
      <c r="N23" s="2"/>
      <c r="O23" s="137"/>
      <c r="P23" s="2"/>
      <c r="Q23" s="137"/>
      <c r="R23" s="2"/>
    </row>
    <row r="24" spans="2:18" x14ac:dyDescent="0.25">
      <c r="B24" s="2" t="s">
        <v>44</v>
      </c>
      <c r="C24" s="2" t="b">
        <v>1</v>
      </c>
      <c r="F24" s="138" t="s">
        <v>24</v>
      </c>
      <c r="H24" s="2"/>
      <c r="I24" s="137"/>
      <c r="J24" s="2"/>
      <c r="K24" s="137"/>
      <c r="L24" s="2"/>
      <c r="M24" s="137"/>
      <c r="N24" s="2"/>
      <c r="O24" s="137"/>
      <c r="P24" s="2"/>
      <c r="Q24" s="137"/>
      <c r="R24" s="2"/>
    </row>
    <row r="25" spans="2:18" x14ac:dyDescent="0.25">
      <c r="B25" s="2" t="s">
        <v>45</v>
      </c>
      <c r="C25" s="2" t="b">
        <v>1</v>
      </c>
      <c r="F25" s="138" t="s">
        <v>26</v>
      </c>
      <c r="H25" s="2"/>
      <c r="I25" s="137"/>
      <c r="J25" s="2"/>
      <c r="K25" s="137"/>
      <c r="L25" s="2"/>
      <c r="M25" s="137"/>
      <c r="N25" s="2"/>
      <c r="O25" s="137"/>
      <c r="P25" s="2"/>
      <c r="Q25" s="137"/>
      <c r="R25" s="2"/>
    </row>
    <row r="26" spans="2:18" x14ac:dyDescent="0.25">
      <c r="B26" s="2" t="s">
        <v>46</v>
      </c>
      <c r="C26" s="2" t="b">
        <v>1</v>
      </c>
      <c r="F26" s="138" t="s">
        <v>28</v>
      </c>
      <c r="H26" s="2"/>
      <c r="I26" s="137"/>
      <c r="J26" s="2"/>
      <c r="K26" s="137"/>
      <c r="L26" s="2"/>
      <c r="M26" s="137"/>
      <c r="N26" s="2"/>
      <c r="O26" s="137"/>
      <c r="P26" s="2"/>
      <c r="Q26" s="137"/>
      <c r="R26" s="2"/>
    </row>
    <row r="27" spans="2:18" s="134" customFormat="1" x14ac:dyDescent="0.25">
      <c r="B27" s="2" t="s">
        <v>47</v>
      </c>
      <c r="C27" s="2" t="b">
        <v>0</v>
      </c>
      <c r="D27"/>
      <c r="E27"/>
    </row>
    <row r="28" spans="2:18" x14ac:dyDescent="0.25">
      <c r="B28" s="2" t="s">
        <v>48</v>
      </c>
      <c r="C28" s="2" t="b">
        <v>1</v>
      </c>
      <c r="F28" s="138" t="s">
        <v>22</v>
      </c>
      <c r="H28" s="2"/>
      <c r="I28" s="137"/>
      <c r="J28" s="2"/>
      <c r="K28" s="137"/>
      <c r="L28" s="2"/>
      <c r="M28" s="137"/>
      <c r="N28" s="2"/>
      <c r="O28" s="137"/>
      <c r="P28" s="2"/>
      <c r="Q28" s="137"/>
      <c r="R28" s="2"/>
    </row>
    <row r="29" spans="2:18" x14ac:dyDescent="0.25">
      <c r="B29" s="2" t="s">
        <v>49</v>
      </c>
      <c r="C29" s="2" t="b">
        <v>1</v>
      </c>
      <c r="F29" s="138" t="s">
        <v>24</v>
      </c>
      <c r="H29" s="2"/>
      <c r="I29" s="137"/>
      <c r="J29" s="2"/>
      <c r="K29" s="137"/>
      <c r="L29" s="2"/>
      <c r="M29" s="137"/>
      <c r="N29" s="2"/>
      <c r="O29" s="137"/>
      <c r="P29" s="2"/>
      <c r="Q29" s="137"/>
      <c r="R29" s="2"/>
    </row>
    <row r="30" spans="2:18" x14ac:dyDescent="0.25">
      <c r="B30" s="2" t="s">
        <v>50</v>
      </c>
      <c r="C30" s="2" t="b">
        <v>1</v>
      </c>
      <c r="F30" s="138" t="s">
        <v>26</v>
      </c>
      <c r="H30" s="2"/>
      <c r="I30" s="137"/>
      <c r="J30" s="2"/>
      <c r="K30" s="137"/>
      <c r="L30" s="2"/>
      <c r="M30" s="137"/>
      <c r="N30" s="2"/>
      <c r="O30" s="137"/>
      <c r="P30" s="2"/>
      <c r="Q30" s="137"/>
      <c r="R30" s="2"/>
    </row>
    <row r="31" spans="2:18" x14ac:dyDescent="0.25">
      <c r="B31" s="2" t="s">
        <v>51</v>
      </c>
      <c r="C31" s="2" t="b">
        <v>1</v>
      </c>
      <c r="F31" s="138" t="s">
        <v>28</v>
      </c>
      <c r="H31" s="2"/>
      <c r="I31" s="137"/>
      <c r="J31" s="2"/>
      <c r="K31" s="137"/>
      <c r="L31" s="2"/>
      <c r="M31" s="137"/>
      <c r="N31" s="2"/>
      <c r="O31" s="137"/>
      <c r="P31" s="2"/>
      <c r="Q31" s="137"/>
      <c r="R31" s="2"/>
    </row>
    <row r="32" spans="2:18" s="134" customFormat="1" x14ac:dyDescent="0.25">
      <c r="B32" s="2" t="s">
        <v>52</v>
      </c>
      <c r="C32" s="2" t="b">
        <v>1</v>
      </c>
    </row>
    <row r="33" spans="2:18" x14ac:dyDescent="0.25">
      <c r="B33" s="2" t="s">
        <v>53</v>
      </c>
      <c r="C33" s="2" t="b">
        <v>1</v>
      </c>
      <c r="F33" s="138" t="s">
        <v>22</v>
      </c>
      <c r="H33" s="2"/>
      <c r="I33" s="137"/>
      <c r="J33" s="2"/>
      <c r="K33" s="137"/>
      <c r="L33" s="2"/>
      <c r="M33" s="137"/>
      <c r="N33" s="2"/>
      <c r="O33" s="137"/>
      <c r="P33" s="2"/>
      <c r="Q33" s="137"/>
      <c r="R33" s="2"/>
    </row>
    <row r="34" spans="2:18" x14ac:dyDescent="0.25">
      <c r="B34" s="2" t="s">
        <v>54</v>
      </c>
      <c r="C34" s="2" t="b">
        <v>1</v>
      </c>
      <c r="F34" s="138" t="s">
        <v>24</v>
      </c>
      <c r="H34" s="2"/>
      <c r="I34" s="137"/>
      <c r="J34" s="2"/>
      <c r="K34" s="137"/>
      <c r="L34" s="2"/>
      <c r="M34" s="137"/>
      <c r="N34" s="2"/>
      <c r="O34" s="137"/>
      <c r="P34" s="2"/>
      <c r="Q34" s="137"/>
      <c r="R34" s="2"/>
    </row>
    <row r="35" spans="2:18" x14ac:dyDescent="0.25">
      <c r="B35" s="2" t="s">
        <v>55</v>
      </c>
      <c r="C35" s="2" t="b">
        <v>1</v>
      </c>
      <c r="F35" s="138" t="s">
        <v>26</v>
      </c>
      <c r="H35" s="2"/>
      <c r="I35" s="137"/>
      <c r="J35" s="2"/>
      <c r="K35" s="137"/>
      <c r="L35" s="2"/>
      <c r="M35" s="137"/>
      <c r="N35" s="2"/>
      <c r="O35" s="137"/>
      <c r="P35" s="2"/>
      <c r="Q35" s="137"/>
      <c r="R35" s="2"/>
    </row>
    <row r="36" spans="2:18" x14ac:dyDescent="0.25">
      <c r="B36" s="2" t="s">
        <v>56</v>
      </c>
      <c r="C36" s="2" t="b">
        <v>0</v>
      </c>
      <c r="F36" s="138" t="s">
        <v>28</v>
      </c>
      <c r="H36" s="2"/>
      <c r="I36" s="137"/>
      <c r="J36" s="2"/>
      <c r="K36" s="137"/>
      <c r="L36" s="2"/>
      <c r="M36" s="137"/>
      <c r="N36" s="2"/>
      <c r="O36" s="137"/>
      <c r="P36" s="2"/>
      <c r="Q36" s="137"/>
      <c r="R36" s="2"/>
    </row>
    <row r="37" spans="2:18" s="134" customFormat="1" x14ac:dyDescent="0.25">
      <c r="B37"/>
      <c r="C37"/>
      <c r="F37"/>
      <c r="G37"/>
      <c r="H37"/>
      <c r="I37"/>
      <c r="J37"/>
      <c r="K37"/>
      <c r="L37"/>
      <c r="M37"/>
      <c r="N37"/>
      <c r="O37"/>
      <c r="P37"/>
      <c r="Q37"/>
      <c r="R37"/>
    </row>
  </sheetData>
  <mergeCells count="1">
    <mergeCell ref="B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064A4-DFEB-4114-893B-C05A6CFEF828}">
  <sheetPr codeName="Sheet3">
    <tabColor theme="9" tint="0.59999389629810485"/>
    <pageSetUpPr fitToPage="1"/>
  </sheetPr>
  <dimension ref="A1:BH74"/>
  <sheetViews>
    <sheetView showGridLines="0" zoomScale="70" zoomScaleNormal="70" zoomScalePageLayoutView="55" workbookViewId="0">
      <pane xSplit="3" ySplit="9" topLeftCell="D32" activePane="bottomRight" state="frozen"/>
      <selection pane="topRight" activeCell="AI6" sqref="AI6:AI8"/>
      <selection pane="bottomLeft" activeCell="AI6" sqref="AI6:AI8"/>
      <selection pane="bottomRight" activeCell="D50" sqref="D50"/>
    </sheetView>
  </sheetViews>
  <sheetFormatPr defaultColWidth="9.140625" defaultRowHeight="12.75" outlineLevelRow="1" outlineLevelCol="1" x14ac:dyDescent="0.25"/>
  <cols>
    <col min="1" max="2" width="7.42578125" style="3" customWidth="1"/>
    <col min="3" max="3" width="39.140625" style="7" customWidth="1"/>
    <col min="4" max="4" width="14.5703125" style="5" hidden="1" customWidth="1" outlineLevel="1"/>
    <col min="5" max="5" width="1.140625" style="3" hidden="1" customWidth="1" outlineLevel="1"/>
    <col min="6" max="27" width="11.85546875" style="4" hidden="1" customWidth="1" outlineLevel="1"/>
    <col min="28" max="28" width="11.85546875" style="5" hidden="1" customWidth="1" outlineLevel="1"/>
    <col min="29" max="29" width="1" style="3" hidden="1" customWidth="1" outlineLevel="1"/>
    <col min="30" max="30" width="14.42578125" style="5" hidden="1" customWidth="1" outlineLevel="1"/>
    <col min="31" max="31" width="1.140625" style="3" hidden="1" customWidth="1" outlineLevel="1"/>
    <col min="32" max="32" width="14.85546875" style="3" customWidth="1" collapsed="1"/>
    <col min="33" max="35" width="14.85546875" style="3" customWidth="1"/>
    <col min="36" max="36" width="15.5703125" style="3" customWidth="1" outlineLevel="1"/>
    <col min="37" max="37" width="23.5703125" style="3" customWidth="1"/>
    <col min="38" max="38" width="0.85546875" style="3" customWidth="1"/>
    <col min="39" max="39" width="7.42578125" style="3" customWidth="1"/>
    <col min="40" max="40" width="13.5703125" style="3" customWidth="1"/>
    <col min="41" max="41" width="7.140625" style="5" customWidth="1"/>
    <col min="42" max="42" width="0.85546875" style="3" customWidth="1"/>
    <col min="43" max="43" width="10.5703125" style="5" customWidth="1"/>
    <col min="44" max="44" width="16.85546875" style="3" customWidth="1"/>
    <col min="45" max="45" width="7.140625" style="5" customWidth="1"/>
    <col min="46" max="46" width="0.85546875" style="3" customWidth="1"/>
    <col min="47" max="47" width="12" style="3" customWidth="1"/>
    <col min="48" max="48" width="35" style="3" bestFit="1" customWidth="1"/>
    <col min="49" max="59" width="4.140625" style="6" customWidth="1"/>
    <col min="60" max="60" width="21.140625" style="3" customWidth="1"/>
    <col min="61" max="16384" width="9.140625" style="3"/>
  </cols>
  <sheetData>
    <row r="1" spans="1:60" s="11" customFormat="1" ht="15" customHeight="1" outlineLevel="1" x14ac:dyDescent="0.25">
      <c r="A1" s="208" t="s">
        <v>57</v>
      </c>
      <c r="B1" s="209"/>
      <c r="C1" s="206" t="s">
        <v>58</v>
      </c>
      <c r="D1" s="211" t="s">
        <v>59</v>
      </c>
      <c r="F1" s="206" t="s">
        <v>60</v>
      </c>
      <c r="G1" s="206" t="s">
        <v>61</v>
      </c>
      <c r="H1" s="206" t="s">
        <v>62</v>
      </c>
      <c r="I1" s="206" t="s">
        <v>63</v>
      </c>
      <c r="J1" s="206" t="s">
        <v>64</v>
      </c>
      <c r="K1" s="206" t="s">
        <v>19</v>
      </c>
      <c r="L1" s="206" t="s">
        <v>65</v>
      </c>
      <c r="M1" s="211" t="s">
        <v>66</v>
      </c>
      <c r="N1" s="224"/>
      <c r="P1" s="27" t="s">
        <v>67</v>
      </c>
      <c r="Q1" s="26"/>
      <c r="R1" s="26"/>
      <c r="S1" s="26"/>
      <c r="U1" s="26" t="s">
        <v>20</v>
      </c>
      <c r="V1" s="26"/>
      <c r="W1" s="26"/>
      <c r="X1" s="26"/>
      <c r="Y1" s="26"/>
      <c r="AA1" s="27" t="s">
        <v>68</v>
      </c>
      <c r="AB1" s="26"/>
      <c r="AC1" s="26"/>
      <c r="AD1" s="28"/>
      <c r="AF1" s="27" t="s">
        <v>33</v>
      </c>
      <c r="AG1" s="26"/>
      <c r="AH1" s="39" t="s">
        <v>34</v>
      </c>
      <c r="AI1" s="40" t="s">
        <v>35</v>
      </c>
      <c r="AY1" s="33"/>
      <c r="AZ1" s="33"/>
      <c r="BA1" s="33"/>
      <c r="BB1" s="33"/>
      <c r="BC1" s="33"/>
      <c r="BD1" s="33"/>
      <c r="BE1" s="33"/>
      <c r="BF1" s="33"/>
      <c r="BG1" s="33"/>
    </row>
    <row r="2" spans="1:60" s="11" customFormat="1" ht="15" outlineLevel="1" x14ac:dyDescent="0.25">
      <c r="A2" s="208"/>
      <c r="B2" s="209"/>
      <c r="C2" s="210"/>
      <c r="D2" s="208"/>
      <c r="E2" s="15"/>
      <c r="F2" s="207"/>
      <c r="G2" s="207"/>
      <c r="H2" s="207"/>
      <c r="I2" s="207"/>
      <c r="J2" s="207"/>
      <c r="K2" s="207"/>
      <c r="L2" s="207"/>
      <c r="M2" s="225"/>
      <c r="N2" s="226"/>
      <c r="P2" s="22" t="s">
        <v>69</v>
      </c>
      <c r="Q2" s="23"/>
      <c r="R2" s="23"/>
      <c r="S2" s="147">
        <v>999000000</v>
      </c>
      <c r="U2" s="22" t="s">
        <v>25</v>
      </c>
      <c r="V2" s="23"/>
      <c r="W2" s="23"/>
      <c r="X2" s="35">
        <f>AI56</f>
        <v>270410508.69999999</v>
      </c>
      <c r="Y2" s="37">
        <f>X2/(SUM(AH10:$AH$55)+SUM(AI10:$AI$55)-SUMIFS(AH10:$AH$55,$AI$10:$AI$55,"&lt;&gt;"))</f>
        <v>0.93319106833903742</v>
      </c>
      <c r="AA2" s="24" t="s">
        <v>70</v>
      </c>
      <c r="AB2" s="25"/>
      <c r="AC2" s="25"/>
      <c r="AD2" s="12" cm="1">
        <f t="array" ref="AD2">SUM(ISNUMBER($AO$10:AO55)*1)</f>
        <v>39</v>
      </c>
      <c r="AF2" s="22" t="s">
        <v>448</v>
      </c>
      <c r="AG2" s="23"/>
      <c r="AH2" s="13">
        <f>COUNTIFS($AS$10:AS55,"&lt;0")</f>
        <v>29</v>
      </c>
      <c r="AI2" s="14">
        <f>MIN(AS10:AS55)</f>
        <v>-238</v>
      </c>
    </row>
    <row r="3" spans="1:60" s="11" customFormat="1" ht="15" customHeight="1" outlineLevel="1" x14ac:dyDescent="0.25">
      <c r="A3" s="212" t="s">
        <v>71</v>
      </c>
      <c r="B3" s="213"/>
      <c r="C3" s="216" t="s">
        <v>72</v>
      </c>
      <c r="D3" s="218" t="s">
        <v>73</v>
      </c>
      <c r="E3" s="122"/>
      <c r="F3" s="218" t="s">
        <v>74</v>
      </c>
      <c r="G3" s="218" t="s">
        <v>75</v>
      </c>
      <c r="H3" s="218" t="s">
        <v>74</v>
      </c>
      <c r="I3" s="227" t="s">
        <v>76</v>
      </c>
      <c r="J3" s="227">
        <v>169598</v>
      </c>
      <c r="K3" s="227">
        <v>88020</v>
      </c>
      <c r="L3" s="218">
        <v>45596</v>
      </c>
      <c r="M3" s="220">
        <v>45717</v>
      </c>
      <c r="N3" s="221"/>
      <c r="P3" s="22" t="s">
        <v>77</v>
      </c>
      <c r="Q3" s="23"/>
      <c r="R3" s="23"/>
      <c r="S3" s="148">
        <f>AF56</f>
        <v>487533181</v>
      </c>
      <c r="U3" s="22" t="s">
        <v>78</v>
      </c>
      <c r="V3" s="23"/>
      <c r="W3" s="23"/>
      <c r="X3" s="36">
        <f>S4-SUMIFS(AH10:$AH$55,$AI$10:$AI$55,"&lt;&gt;")</f>
        <v>19359205</v>
      </c>
      <c r="Y3" s="153">
        <f>X3/(X2+X3)</f>
        <v>6.6808931660962606E-2</v>
      </c>
      <c r="AA3" s="22" t="s">
        <v>79</v>
      </c>
      <c r="AB3" s="23"/>
      <c r="AC3" s="23"/>
      <c r="AD3" s="13">
        <f>COUNTIFS($AV$10:AV55,Z8)</f>
        <v>19</v>
      </c>
      <c r="AF3" s="22" t="s">
        <v>444</v>
      </c>
      <c r="AG3" s="23"/>
      <c r="AH3" s="13">
        <f>COUNTIFS($AB$10:AB55,"&lt;0")</f>
        <v>15</v>
      </c>
      <c r="AI3" s="13">
        <f>MIN(AB10:AB55)</f>
        <v>-159</v>
      </c>
    </row>
    <row r="4" spans="1:60" s="11" customFormat="1" ht="15" outlineLevel="1" x14ac:dyDescent="0.25">
      <c r="A4" s="214"/>
      <c r="B4" s="215"/>
      <c r="C4" s="217"/>
      <c r="D4" s="219"/>
      <c r="E4" s="122"/>
      <c r="F4" s="219"/>
      <c r="G4" s="219"/>
      <c r="H4" s="219"/>
      <c r="I4" s="228"/>
      <c r="J4" s="228"/>
      <c r="K4" s="228"/>
      <c r="L4" s="219"/>
      <c r="M4" s="222"/>
      <c r="N4" s="223"/>
      <c r="P4" s="22" t="s">
        <v>23</v>
      </c>
      <c r="Q4" s="23"/>
      <c r="R4" s="23"/>
      <c r="S4" s="148">
        <f>AH56</f>
        <v>253929721</v>
      </c>
      <c r="U4" s="22" t="s">
        <v>80</v>
      </c>
      <c r="V4" s="23"/>
      <c r="W4" s="23"/>
      <c r="X4" s="36">
        <f>SUMIFS(AF10:$AF$55,$AI$10:$AI$55,"&lt;&gt;")-X2</f>
        <v>168459424.30000001</v>
      </c>
      <c r="Y4" s="38">
        <f>X4/$S$2</f>
        <v>0.16862805235235237</v>
      </c>
      <c r="AA4" s="22" t="s">
        <v>81</v>
      </c>
      <c r="AB4" s="23"/>
      <c r="AC4" s="23"/>
      <c r="AD4" s="13">
        <f>C6-L3</f>
        <v>516</v>
      </c>
      <c r="AF4" s="22" t="s">
        <v>447</v>
      </c>
      <c r="AG4" s="23"/>
      <c r="AH4" s="13">
        <f>COUNTIFS($AO$10:AO55,"&lt;0")</f>
        <v>38</v>
      </c>
      <c r="AI4" s="14">
        <f>MIN(AO10:AO55)</f>
        <v>-341</v>
      </c>
    </row>
    <row r="5" spans="1:60" s="11" customFormat="1" ht="15" outlineLevel="1" x14ac:dyDescent="0.25">
      <c r="U5" s="22" t="s">
        <v>82</v>
      </c>
      <c r="V5" s="23"/>
      <c r="W5" s="23"/>
      <c r="X5" s="36">
        <f>SUMIFS(AH10:$AH$55,$AI$10:$AI$55,"&lt;&gt;")-X2</f>
        <v>-35839992.699999988</v>
      </c>
      <c r="Y5" s="38">
        <f>X5/$S$2</f>
        <v>-3.5875868568568559E-2</v>
      </c>
      <c r="Z5" s="160"/>
      <c r="AA5" s="160"/>
      <c r="AB5" s="160"/>
      <c r="AC5" s="160"/>
      <c r="AD5" s="160"/>
      <c r="AE5" s="160"/>
      <c r="AF5" s="160"/>
      <c r="AG5" s="160"/>
      <c r="AH5" s="160"/>
      <c r="AI5" s="160"/>
    </row>
    <row r="6" spans="1:60" ht="23.25" outlineLevel="1" x14ac:dyDescent="0.25">
      <c r="A6" s="127" t="s">
        <v>83</v>
      </c>
      <c r="B6" s="128"/>
      <c r="C6" s="129">
        <v>46112</v>
      </c>
      <c r="D6" s="19"/>
      <c r="E6" s="16"/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5"/>
      <c r="AB6" s="126"/>
      <c r="AC6" s="19"/>
      <c r="AD6" s="19"/>
      <c r="AE6" s="19"/>
      <c r="AF6" s="19"/>
      <c r="AG6" s="19"/>
      <c r="AH6" s="19"/>
      <c r="AI6" s="19"/>
      <c r="AJ6" s="19"/>
      <c r="AK6" s="19"/>
      <c r="AL6" s="16"/>
      <c r="AM6" s="19"/>
      <c r="AN6" s="16"/>
      <c r="AO6" s="16"/>
      <c r="AP6" s="16"/>
      <c r="AQ6" s="16"/>
      <c r="AR6" s="16"/>
      <c r="AS6" s="16"/>
      <c r="AT6" s="16"/>
      <c r="AU6" s="16"/>
      <c r="AV6" s="16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6"/>
    </row>
    <row r="7" spans="1:60" ht="18.75" customHeight="1" x14ac:dyDescent="0.25">
      <c r="A7" s="233" t="s">
        <v>84</v>
      </c>
      <c r="B7" s="236" t="s">
        <v>85</v>
      </c>
      <c r="C7" s="236" t="s">
        <v>86</v>
      </c>
      <c r="D7" s="238" t="s">
        <v>1</v>
      </c>
      <c r="F7" s="229">
        <v>15</v>
      </c>
      <c r="G7" s="230"/>
      <c r="H7" s="229">
        <v>7</v>
      </c>
      <c r="I7" s="230"/>
      <c r="J7" s="229">
        <v>6</v>
      </c>
      <c r="K7" s="230"/>
      <c r="L7" s="229">
        <v>3</v>
      </c>
      <c r="M7" s="230"/>
      <c r="N7" s="229">
        <v>30</v>
      </c>
      <c r="O7" s="230"/>
      <c r="P7" s="229">
        <v>10</v>
      </c>
      <c r="Q7" s="230"/>
      <c r="R7" s="229">
        <v>20</v>
      </c>
      <c r="S7" s="230"/>
      <c r="T7" s="229">
        <v>7</v>
      </c>
      <c r="U7" s="230"/>
      <c r="V7" s="229">
        <v>7</v>
      </c>
      <c r="W7" s="230"/>
      <c r="X7" s="229">
        <v>5</v>
      </c>
      <c r="Y7" s="230"/>
      <c r="Z7" s="229">
        <v>10</v>
      </c>
      <c r="AA7" s="230"/>
      <c r="AB7" s="243" t="s">
        <v>87</v>
      </c>
      <c r="AC7" s="16"/>
      <c r="AD7" s="244" t="s">
        <v>88</v>
      </c>
      <c r="AE7" s="16"/>
      <c r="AF7" s="241" t="s">
        <v>77</v>
      </c>
      <c r="AG7" s="257" t="s">
        <v>89</v>
      </c>
      <c r="AH7" s="257" t="s">
        <v>23</v>
      </c>
      <c r="AI7" s="257" t="s">
        <v>90</v>
      </c>
      <c r="AJ7" s="257" t="s">
        <v>91</v>
      </c>
      <c r="AK7" s="258" t="s">
        <v>92</v>
      </c>
      <c r="AL7" s="86"/>
      <c r="AM7" s="255" t="s">
        <v>93</v>
      </c>
      <c r="AN7" s="257" t="s">
        <v>94</v>
      </c>
      <c r="AO7" s="259" t="s">
        <v>95</v>
      </c>
      <c r="AP7" s="86"/>
      <c r="AQ7" s="261" t="s">
        <v>96</v>
      </c>
      <c r="AR7" s="252" t="s">
        <v>97</v>
      </c>
      <c r="AS7" s="259" t="s">
        <v>95</v>
      </c>
      <c r="AT7" s="86"/>
      <c r="AU7" s="255" t="s">
        <v>98</v>
      </c>
      <c r="AV7" s="252" t="s">
        <v>99</v>
      </c>
      <c r="AW7" s="246" t="s">
        <v>2</v>
      </c>
      <c r="AX7" s="246" t="s">
        <v>4</v>
      </c>
      <c r="AY7" s="246" t="s">
        <v>6</v>
      </c>
      <c r="AZ7" s="246" t="s">
        <v>100</v>
      </c>
      <c r="BA7" s="246" t="s">
        <v>10</v>
      </c>
      <c r="BB7" s="246" t="s">
        <v>12</v>
      </c>
      <c r="BC7" s="246" t="s">
        <v>14</v>
      </c>
      <c r="BD7" s="246" t="s">
        <v>15</v>
      </c>
      <c r="BE7" s="246" t="s">
        <v>16</v>
      </c>
      <c r="BF7" s="246" t="s">
        <v>17</v>
      </c>
      <c r="BG7" s="249" t="s">
        <v>101</v>
      </c>
      <c r="BH7" s="86"/>
    </row>
    <row r="8" spans="1:60" ht="26.25" x14ac:dyDescent="0.25">
      <c r="A8" s="234"/>
      <c r="B8" s="237"/>
      <c r="C8" s="237"/>
      <c r="D8" s="239"/>
      <c r="E8" s="16"/>
      <c r="F8" s="231" t="s">
        <v>2</v>
      </c>
      <c r="G8" s="232"/>
      <c r="H8" s="231" t="s">
        <v>4</v>
      </c>
      <c r="I8" s="232"/>
      <c r="J8" s="231" t="s">
        <v>6</v>
      </c>
      <c r="K8" s="232"/>
      <c r="L8" s="231" t="s">
        <v>8</v>
      </c>
      <c r="M8" s="232"/>
      <c r="N8" s="231" t="s">
        <v>10</v>
      </c>
      <c r="O8" s="232"/>
      <c r="P8" s="231" t="s">
        <v>12</v>
      </c>
      <c r="Q8" s="232"/>
      <c r="R8" s="231" t="s">
        <v>14</v>
      </c>
      <c r="S8" s="232"/>
      <c r="T8" s="231" t="s">
        <v>15</v>
      </c>
      <c r="U8" s="232"/>
      <c r="V8" s="231" t="s">
        <v>16</v>
      </c>
      <c r="W8" s="232"/>
      <c r="X8" s="231" t="s">
        <v>17</v>
      </c>
      <c r="Y8" s="232"/>
      <c r="Z8" s="231" t="s">
        <v>18</v>
      </c>
      <c r="AA8" s="232"/>
      <c r="AB8" s="243"/>
      <c r="AC8" s="16"/>
      <c r="AD8" s="245"/>
      <c r="AE8" s="16"/>
      <c r="AF8" s="242"/>
      <c r="AG8" s="237"/>
      <c r="AH8" s="237"/>
      <c r="AI8" s="237"/>
      <c r="AJ8" s="237"/>
      <c r="AK8" s="239"/>
      <c r="AL8" s="48"/>
      <c r="AM8" s="234"/>
      <c r="AN8" s="237"/>
      <c r="AO8" s="260"/>
      <c r="AP8" s="48"/>
      <c r="AQ8" s="262"/>
      <c r="AR8" s="253"/>
      <c r="AS8" s="260"/>
      <c r="AT8" s="48"/>
      <c r="AU8" s="234"/>
      <c r="AV8" s="253"/>
      <c r="AW8" s="247"/>
      <c r="AX8" s="247"/>
      <c r="AY8" s="247"/>
      <c r="AZ8" s="247"/>
      <c r="BA8" s="247"/>
      <c r="BB8" s="247"/>
      <c r="BC8" s="247"/>
      <c r="BD8" s="247"/>
      <c r="BE8" s="247"/>
      <c r="BF8" s="247"/>
      <c r="BG8" s="250"/>
      <c r="BH8" s="146"/>
    </row>
    <row r="9" spans="1:60" s="7" customFormat="1" ht="22.5" x14ac:dyDescent="0.25">
      <c r="A9" s="235"/>
      <c r="B9" s="237"/>
      <c r="C9" s="237"/>
      <c r="D9" s="240"/>
      <c r="E9" s="20"/>
      <c r="F9" s="65" t="s">
        <v>102</v>
      </c>
      <c r="G9" s="66" t="s">
        <v>103</v>
      </c>
      <c r="H9" s="65" t="s">
        <v>102</v>
      </c>
      <c r="I9" s="66" t="s">
        <v>103</v>
      </c>
      <c r="J9" s="65" t="s">
        <v>102</v>
      </c>
      <c r="K9" s="66" t="s">
        <v>103</v>
      </c>
      <c r="L9" s="65" t="s">
        <v>102</v>
      </c>
      <c r="M9" s="66" t="s">
        <v>103</v>
      </c>
      <c r="N9" s="65" t="s">
        <v>102</v>
      </c>
      <c r="O9" s="66" t="s">
        <v>103</v>
      </c>
      <c r="P9" s="65" t="s">
        <v>102</v>
      </c>
      <c r="Q9" s="66" t="s">
        <v>103</v>
      </c>
      <c r="R9" s="65" t="s">
        <v>102</v>
      </c>
      <c r="S9" s="66" t="s">
        <v>103</v>
      </c>
      <c r="T9" s="65" t="s">
        <v>102</v>
      </c>
      <c r="U9" s="66" t="s">
        <v>103</v>
      </c>
      <c r="V9" s="65" t="s">
        <v>102</v>
      </c>
      <c r="W9" s="66" t="s">
        <v>103</v>
      </c>
      <c r="X9" s="65" t="s">
        <v>102</v>
      </c>
      <c r="Y9" s="66" t="s">
        <v>103</v>
      </c>
      <c r="Z9" s="65" t="s">
        <v>102</v>
      </c>
      <c r="AA9" s="66" t="s">
        <v>103</v>
      </c>
      <c r="AB9" s="243"/>
      <c r="AC9" s="20"/>
      <c r="AD9" s="245"/>
      <c r="AE9" s="20"/>
      <c r="AF9" s="242"/>
      <c r="AG9" s="237"/>
      <c r="AH9" s="237"/>
      <c r="AI9" s="237"/>
      <c r="AJ9" s="237"/>
      <c r="AK9" s="239"/>
      <c r="AL9" s="87"/>
      <c r="AM9" s="234"/>
      <c r="AN9" s="237"/>
      <c r="AO9" s="260"/>
      <c r="AP9" s="87"/>
      <c r="AQ9" s="263"/>
      <c r="AR9" s="254"/>
      <c r="AS9" s="264"/>
      <c r="AT9" s="87"/>
      <c r="AU9" s="256"/>
      <c r="AV9" s="254"/>
      <c r="AW9" s="248"/>
      <c r="AX9" s="248"/>
      <c r="AY9" s="248"/>
      <c r="AZ9" s="248"/>
      <c r="BA9" s="248"/>
      <c r="BB9" s="248"/>
      <c r="BC9" s="248"/>
      <c r="BD9" s="248"/>
      <c r="BE9" s="248"/>
      <c r="BF9" s="248"/>
      <c r="BG9" s="251"/>
      <c r="BH9" s="87"/>
    </row>
    <row r="10" spans="1:60" ht="23.25" x14ac:dyDescent="0.25">
      <c r="A10" s="53"/>
      <c r="B10" s="49"/>
      <c r="C10" s="50" t="s">
        <v>104</v>
      </c>
      <c r="D10" s="61"/>
      <c r="E10" s="51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1"/>
      <c r="BF10" s="51"/>
      <c r="BG10" s="88"/>
      <c r="BH10" s="146"/>
    </row>
    <row r="11" spans="1:60" ht="26.25" x14ac:dyDescent="0.25">
      <c r="A11" s="56" cm="1">
        <f t="array" ref="A11">SUMPRODUCT(($AV$10:$AV$55&lt;&gt;"")*(ROW($AV$10:$AV$55)&lt;=ROW()))</f>
        <v>1</v>
      </c>
      <c r="B11" s="57" t="s">
        <v>105</v>
      </c>
      <c r="C11" s="58" t="s">
        <v>106</v>
      </c>
      <c r="D11" s="93" t="s">
        <v>107</v>
      </c>
      <c r="E11" s="16"/>
      <c r="F11" s="29">
        <f>H11-$H$7</f>
        <v>45771</v>
      </c>
      <c r="G11" s="42">
        <v>45849</v>
      </c>
      <c r="H11" s="29">
        <f>J11-$J$7</f>
        <v>45778</v>
      </c>
      <c r="I11" s="42">
        <v>45868</v>
      </c>
      <c r="J11" s="29">
        <f>L11-$L$7</f>
        <v>45784</v>
      </c>
      <c r="K11" s="42">
        <v>45868</v>
      </c>
      <c r="L11" s="29">
        <f>N11-$N$7</f>
        <v>45787</v>
      </c>
      <c r="M11" s="42">
        <v>45881</v>
      </c>
      <c r="N11" s="29">
        <f>P11-$P$7</f>
        <v>45817</v>
      </c>
      <c r="O11" s="42">
        <v>45938</v>
      </c>
      <c r="P11" s="29">
        <f>R11-$R$7</f>
        <v>45827</v>
      </c>
      <c r="Q11" s="42">
        <v>45938</v>
      </c>
      <c r="R11" s="29">
        <f>T11-$T$7</f>
        <v>45847</v>
      </c>
      <c r="S11" s="42">
        <v>45938</v>
      </c>
      <c r="T11" s="29">
        <f>V11-$V$7</f>
        <v>45854</v>
      </c>
      <c r="U11" s="42">
        <v>45957</v>
      </c>
      <c r="V11" s="29">
        <f>X11-$X$7</f>
        <v>45861</v>
      </c>
      <c r="W11" s="42">
        <v>45959</v>
      </c>
      <c r="X11" s="29">
        <f>AN11</f>
        <v>45866</v>
      </c>
      <c r="Y11" s="42">
        <v>45966</v>
      </c>
      <c r="Z11" s="30">
        <f>X11+$Z$7</f>
        <v>45876</v>
      </c>
      <c r="AA11" s="42"/>
      <c r="AB11" s="31" t="str">
        <f>IF(AV11="10. Issued to Contractor","-",IF(AV11="11. Subcontract Agreement signed","-",MAX(AN11,AR11)-$C$6))</f>
        <v>-</v>
      </c>
      <c r="AC11" s="16"/>
      <c r="AD11" s="131">
        <f>SUM($H$7:$Y$7)</f>
        <v>95</v>
      </c>
      <c r="AE11" s="16"/>
      <c r="AF11" s="95">
        <v>14843058</v>
      </c>
      <c r="AG11" s="67"/>
      <c r="AH11" s="67">
        <v>12869152</v>
      </c>
      <c r="AI11" s="194">
        <f>4900000*1.11</f>
        <v>5439000.0000000009</v>
      </c>
      <c r="AJ11" s="68">
        <f>IF(AI11&gt;0,SUM(AH11)-SUM(AI11),"")</f>
        <v>7430151.9999999991</v>
      </c>
      <c r="AK11" s="102" t="s">
        <v>108</v>
      </c>
      <c r="AL11" s="48"/>
      <c r="AM11" s="105">
        <v>150</v>
      </c>
      <c r="AN11" s="69">
        <f>$M$3+AM11-1</f>
        <v>45866</v>
      </c>
      <c r="AO11" s="107">
        <f>AN11-AU11</f>
        <v>-100</v>
      </c>
      <c r="AP11" s="48"/>
      <c r="AQ11" s="111">
        <v>10</v>
      </c>
      <c r="AR11" s="70">
        <f>IFERROR(WORKDAY.INTL(AN11,AQ11,11),"")</f>
        <v>45877</v>
      </c>
      <c r="AS11" s="107">
        <f>AR11-AU11</f>
        <v>-89</v>
      </c>
      <c r="AT11" s="48"/>
      <c r="AU11" s="113">
        <f>IF(Y11&gt;0,Y11,IFERROR(MAX(_xlfn.XLOOKUP($AV11,$H$8:$Z$8,$G11:$Y11),$C$6)+(AN11-_xlfn.XLOOKUP($AV11,$H$8:$Z$8,$F11:$X11))*AD11/SUM($H$7:$Y$7),$C$6+SUM(AD11)))</f>
        <v>45966</v>
      </c>
      <c r="AV11" s="119" t="str" cm="1">
        <f t="array" ref="AV11">IF(OR(G11&gt;$C$6,G11=""),$F$8,INDEX($E$8:$Z$8,MATCH(TRUE,(F11:AA11=""),0)))</f>
        <v>11. Subcontract Agreement signed</v>
      </c>
      <c r="AW11" s="116" t="b">
        <f>IF(AND(G11&gt;0,G11&lt;$C$6),TRUE,FALSE)</f>
        <v>1</v>
      </c>
      <c r="AX11" s="71" t="b">
        <f>IF(AND(I11&gt;0,I11&lt;$C$6),TRUE,FALSE)</f>
        <v>1</v>
      </c>
      <c r="AY11" s="71" t="b">
        <f>IF(AND(K11&gt;0,K11&lt;$C$6),TRUE,FALSE)</f>
        <v>1</v>
      </c>
      <c r="AZ11" s="71" t="b">
        <f>IF(AND(M11&gt;0,M11&lt;$C$6),TRUE,FALSE)</f>
        <v>1</v>
      </c>
      <c r="BA11" s="71" t="b">
        <f>IF(AND(O11&gt;0,O11&lt;$C$6),TRUE,FALSE)</f>
        <v>1</v>
      </c>
      <c r="BB11" s="71" t="b">
        <f>IF(AND(Q11&gt;0,Q11&lt;$C$6),TRUE,FALSE)</f>
        <v>1</v>
      </c>
      <c r="BC11" s="71" t="b">
        <f>IF(AND(S11&gt;0,S11&lt;$C$6),TRUE,FALSE)</f>
        <v>1</v>
      </c>
      <c r="BD11" s="71" t="b">
        <f>IF(AND(U11&gt;0,U11&lt;$C$6),TRUE,FALSE)</f>
        <v>1</v>
      </c>
      <c r="BE11" s="71" t="b">
        <f>IF(AND(W11&gt;0,W11&lt;$C$6),TRUE,FALSE)</f>
        <v>1</v>
      </c>
      <c r="BF11" s="71" t="b">
        <f>IF(AND(Y11&gt;0,Y11&lt;$C$6),TRUE,FALSE)</f>
        <v>1</v>
      </c>
      <c r="BG11" s="89" t="b">
        <f>IF(AND(AA11&gt;0,AA11&lt;$C$6),TRUE,FALSE)</f>
        <v>0</v>
      </c>
      <c r="BH11" s="146"/>
    </row>
    <row r="12" spans="1:60" ht="75" x14ac:dyDescent="0.25">
      <c r="A12" s="56" cm="1">
        <f t="array" ref="A12">SUMPRODUCT(($AV$10:$AV$55&lt;&gt;"")*(ROW($AV$10:$AV$55)&lt;=ROW()))</f>
        <v>2</v>
      </c>
      <c r="B12" s="59" t="s">
        <v>109</v>
      </c>
      <c r="C12" s="60" t="s">
        <v>110</v>
      </c>
      <c r="D12" s="59" t="s">
        <v>107</v>
      </c>
      <c r="E12" s="43"/>
      <c r="F12" s="44">
        <f>H12-$H$7</f>
        <v>45771</v>
      </c>
      <c r="G12" s="45">
        <v>45832</v>
      </c>
      <c r="H12" s="44">
        <f>J12-$J$7</f>
        <v>45778</v>
      </c>
      <c r="I12" s="45">
        <v>45838</v>
      </c>
      <c r="J12" s="44">
        <f>L12-$L$7</f>
        <v>45784</v>
      </c>
      <c r="K12" s="45">
        <v>45840</v>
      </c>
      <c r="L12" s="44">
        <f>N12-$N$7</f>
        <v>45787</v>
      </c>
      <c r="M12" s="45">
        <v>45845</v>
      </c>
      <c r="N12" s="44">
        <f>P12-$P$7</f>
        <v>45817</v>
      </c>
      <c r="O12" s="45">
        <v>45896</v>
      </c>
      <c r="P12" s="44">
        <f>R12-$R$7</f>
        <v>45827</v>
      </c>
      <c r="Q12" s="45">
        <v>45896</v>
      </c>
      <c r="R12" s="44">
        <f>T12-$T$7</f>
        <v>45847</v>
      </c>
      <c r="S12" s="45">
        <v>45896</v>
      </c>
      <c r="T12" s="44">
        <f>V12-$V$7</f>
        <v>45854</v>
      </c>
      <c r="U12" s="45">
        <v>45929</v>
      </c>
      <c r="V12" s="44">
        <f>X12-$X$7</f>
        <v>45861</v>
      </c>
      <c r="W12" s="45">
        <v>45945</v>
      </c>
      <c r="X12" s="44">
        <f t="shared" ref="X12:X55" si="0">AN12</f>
        <v>45866</v>
      </c>
      <c r="Y12" s="45">
        <v>45945</v>
      </c>
      <c r="Z12" s="46">
        <f>X12+$Z$7</f>
        <v>45876</v>
      </c>
      <c r="AA12" s="45"/>
      <c r="AB12" s="47" t="str">
        <f>IF(AV12="10. Issued to Contractor","-",IF(AV12="11. Subcontract Agreement signed","-",MAX(AN12,AR12)-$C$6))</f>
        <v>-</v>
      </c>
      <c r="AC12" s="16"/>
      <c r="AD12" s="131">
        <f t="shared" ref="AD12:AD13" si="1">SUM($H$7:$Y$7)</f>
        <v>95</v>
      </c>
      <c r="AE12" s="16"/>
      <c r="AF12" s="96">
        <v>15333199</v>
      </c>
      <c r="AG12" s="72"/>
      <c r="AH12" s="72">
        <v>11468672</v>
      </c>
      <c r="AI12" s="195">
        <v>7773699</v>
      </c>
      <c r="AJ12" s="73">
        <f>IF(AI12&gt;0,SUM(AH12)-SUM(AI12),"")</f>
        <v>3694973</v>
      </c>
      <c r="AK12" s="140" t="s">
        <v>111</v>
      </c>
      <c r="AL12" s="48"/>
      <c r="AM12" s="104">
        <v>150</v>
      </c>
      <c r="AN12" s="74">
        <f>$M$3+AM12-1</f>
        <v>45866</v>
      </c>
      <c r="AO12" s="108">
        <f>AN12-AU12</f>
        <v>-79</v>
      </c>
      <c r="AP12" s="48"/>
      <c r="AQ12" s="110">
        <v>9</v>
      </c>
      <c r="AR12" s="75">
        <f>IFERROR(WORKDAY.INTL(AN12,AQ12,11),"")</f>
        <v>45876</v>
      </c>
      <c r="AS12" s="108">
        <f>AR12-AU12</f>
        <v>-69</v>
      </c>
      <c r="AT12" s="48"/>
      <c r="AU12" s="114">
        <f t="shared" ref="AU12:AU13" si="2">IF(Y12&gt;0,Y12,IFERROR(MAX(_xlfn.XLOOKUP($AV12,$H$8:$Z$8,$G12:$Y12),$C$6)+(AN12-_xlfn.XLOOKUP($AV12,$H$8:$Z$8,$F12:$X12))*AD12/SUM($H$7:$Y$7),$C$6+SUM(AD12)))</f>
        <v>45945</v>
      </c>
      <c r="AV12" s="120" t="str" cm="1">
        <f t="array" ref="AV12">IF(OR(G12&gt;$C$6,G12=""),$F$8,INDEX($E$8:$Z$8,MATCH(TRUE,(F12:AA12=""),0)))</f>
        <v>11. Subcontract Agreement signed</v>
      </c>
      <c r="AW12" s="117" t="b">
        <f>IF(AND(G12&gt;0,G12&lt;$C$6),TRUE,FALSE)</f>
        <v>1</v>
      </c>
      <c r="AX12" s="76" t="b">
        <f>IF(AND(I12&gt;0,I12&lt;$C$6),TRUE,FALSE)</f>
        <v>1</v>
      </c>
      <c r="AY12" s="76" t="b">
        <f>IF(AND(K12&gt;0,K12&lt;$C$6),TRUE,FALSE)</f>
        <v>1</v>
      </c>
      <c r="AZ12" s="76" t="b">
        <f>IF(AND(M12&gt;0,M12&lt;$C$6),TRUE,FALSE)</f>
        <v>1</v>
      </c>
      <c r="BA12" s="76" t="b">
        <f>IF(AND(O12&gt;0,O12&lt;$C$6),TRUE,FALSE)</f>
        <v>1</v>
      </c>
      <c r="BB12" s="76" t="b">
        <f>IF(AND(Q12&gt;0,Q12&lt;$C$6),TRUE,FALSE)</f>
        <v>1</v>
      </c>
      <c r="BC12" s="76" t="b">
        <f>IF(AND(S12&gt;0,S12&lt;$C$6),TRUE,FALSE)</f>
        <v>1</v>
      </c>
      <c r="BD12" s="76" t="b">
        <f>IF(AND(U12&gt;0,U12&lt;$C$6),TRUE,FALSE)</f>
        <v>1</v>
      </c>
      <c r="BE12" s="76" t="b">
        <f>IF(AND(W12&gt;0,W12&lt;$C$6),TRUE,FALSE)</f>
        <v>1</v>
      </c>
      <c r="BF12" s="76" t="b">
        <f>IF(AND(Y12&gt;0,Y12&lt;$C$6),TRUE,FALSE)</f>
        <v>1</v>
      </c>
      <c r="BG12" s="90" t="b">
        <f>IF(AND(AA12&gt;0,AA12&lt;$C$6),TRUE,FALSE)</f>
        <v>0</v>
      </c>
      <c r="BH12" s="146"/>
    </row>
    <row r="13" spans="1:60" ht="26.25" x14ac:dyDescent="0.25">
      <c r="A13" s="56" cm="1">
        <f t="array" ref="A13">SUMPRODUCT(($AV$10:$AV$55&lt;&gt;"")*(ROW($AV$10:$AV$55)&lt;=ROW()))</f>
        <v>3</v>
      </c>
      <c r="B13" s="57" t="s">
        <v>112</v>
      </c>
      <c r="C13" s="58" t="s">
        <v>113</v>
      </c>
      <c r="D13" s="93" t="s">
        <v>11</v>
      </c>
      <c r="E13" s="16"/>
      <c r="F13" s="29">
        <f>H13-$H$7</f>
        <v>45771</v>
      </c>
      <c r="G13" s="42">
        <v>45832</v>
      </c>
      <c r="H13" s="29">
        <f>J13-$J$7</f>
        <v>45778</v>
      </c>
      <c r="I13" s="42">
        <v>45838</v>
      </c>
      <c r="J13" s="29">
        <f>L13-$L$7</f>
        <v>45784</v>
      </c>
      <c r="K13" s="42">
        <v>45840</v>
      </c>
      <c r="L13" s="29">
        <f>N13-$N$7</f>
        <v>45787</v>
      </c>
      <c r="M13" s="42">
        <v>45848</v>
      </c>
      <c r="N13" s="29">
        <f>P13-$P$7</f>
        <v>45817</v>
      </c>
      <c r="O13" s="42">
        <v>45897</v>
      </c>
      <c r="P13" s="29">
        <f>R13-$R$7</f>
        <v>45827</v>
      </c>
      <c r="Q13" s="42">
        <v>45897</v>
      </c>
      <c r="R13" s="29">
        <f>T13-$T$7</f>
        <v>45847</v>
      </c>
      <c r="S13" s="42">
        <v>45897</v>
      </c>
      <c r="T13" s="29">
        <f>V13-$V$7</f>
        <v>45854</v>
      </c>
      <c r="U13" s="42">
        <v>45912</v>
      </c>
      <c r="V13" s="29">
        <f>X13-$X$7</f>
        <v>45861</v>
      </c>
      <c r="W13" s="42">
        <v>45958</v>
      </c>
      <c r="X13" s="29">
        <f t="shared" si="0"/>
        <v>45866</v>
      </c>
      <c r="Y13" s="42">
        <v>45958</v>
      </c>
      <c r="Z13" s="30">
        <f>X13+$Z$7</f>
        <v>45876</v>
      </c>
      <c r="AA13" s="42"/>
      <c r="AB13" s="31" t="str">
        <f>IF(AV13="10. Issued to Contractor","-",IF(AV13="11. Subcontract Agreement signed","-",MAX(AN13,AR13)-$C$6))</f>
        <v>-</v>
      </c>
      <c r="AC13" s="16"/>
      <c r="AD13" s="131">
        <f t="shared" si="1"/>
        <v>95</v>
      </c>
      <c r="AE13" s="16"/>
      <c r="AF13" s="95">
        <v>13038915</v>
      </c>
      <c r="AG13" s="67"/>
      <c r="AH13" s="67">
        <v>7813237</v>
      </c>
      <c r="AI13" s="194">
        <v>4377403</v>
      </c>
      <c r="AJ13" s="68">
        <f>IF(AI13&gt;0,SUM(AH13)-SUM(AI13),"")</f>
        <v>3435834</v>
      </c>
      <c r="AK13" s="102" t="s">
        <v>114</v>
      </c>
      <c r="AL13" s="48"/>
      <c r="AM13" s="105">
        <v>150</v>
      </c>
      <c r="AN13" s="69">
        <f>$M$3+AM13-1</f>
        <v>45866</v>
      </c>
      <c r="AO13" s="107">
        <f>AN13-AU13</f>
        <v>-92</v>
      </c>
      <c r="AP13" s="48"/>
      <c r="AQ13" s="111">
        <v>23</v>
      </c>
      <c r="AR13" s="70">
        <f>IFERROR(WORKDAY.INTL(AN13,AQ13,11),"")</f>
        <v>45892</v>
      </c>
      <c r="AS13" s="107">
        <f>AR13-AU13</f>
        <v>-66</v>
      </c>
      <c r="AT13" s="48"/>
      <c r="AU13" s="113">
        <f t="shared" si="2"/>
        <v>45958</v>
      </c>
      <c r="AV13" s="119" t="str" cm="1">
        <f t="array" ref="AV13">IF(OR(G13&gt;$C$6,G13=""),$F$8,INDEX($E$8:$Z$8,MATCH(TRUE,(F13:AA13=""),0)))</f>
        <v>11. Subcontract Agreement signed</v>
      </c>
      <c r="AW13" s="116" t="b">
        <f>IF(AND(G13&gt;0,G13&lt;$C$6),TRUE,FALSE)</f>
        <v>1</v>
      </c>
      <c r="AX13" s="71" t="b">
        <f>IF(AND(I13&gt;0,I13&lt;$C$6),TRUE,FALSE)</f>
        <v>1</v>
      </c>
      <c r="AY13" s="71" t="b">
        <f>IF(AND(K13&gt;0,K13&lt;$C$6),TRUE,FALSE)</f>
        <v>1</v>
      </c>
      <c r="AZ13" s="71" t="b">
        <f>IF(AND(M13&gt;0,M13&lt;$C$6),TRUE,FALSE)</f>
        <v>1</v>
      </c>
      <c r="BA13" s="71" t="b">
        <f>IF(AND(O13&gt;0,O13&lt;$C$6),TRUE,FALSE)</f>
        <v>1</v>
      </c>
      <c r="BB13" s="71" t="b">
        <f>IF(AND(Q13&gt;0,Q13&lt;$C$6),TRUE,FALSE)</f>
        <v>1</v>
      </c>
      <c r="BC13" s="71" t="b">
        <f>IF(AND(S13&gt;0,S13&lt;$C$6),TRUE,FALSE)</f>
        <v>1</v>
      </c>
      <c r="BD13" s="71" t="b">
        <f>IF(AND(U13&gt;0,U13&lt;$C$6),TRUE,FALSE)</f>
        <v>1</v>
      </c>
      <c r="BE13" s="71" t="b">
        <f>IF(AND(W13&gt;0,W13&lt;$C$6),TRUE,FALSE)</f>
        <v>1</v>
      </c>
      <c r="BF13" s="71" t="b">
        <f>IF(AND(Y13&gt;0,Y13&lt;$C$6),TRUE,FALSE)</f>
        <v>1</v>
      </c>
      <c r="BG13" s="89" t="b">
        <f>IF(AND(AA13&gt;0,AA13&lt;$C$6),TRUE,FALSE)</f>
        <v>0</v>
      </c>
      <c r="BH13" s="146"/>
    </row>
    <row r="14" spans="1:60" ht="23.25" x14ac:dyDescent="0.25">
      <c r="A14" s="55"/>
      <c r="B14" s="49"/>
      <c r="C14" s="50" t="s">
        <v>115</v>
      </c>
      <c r="D14" s="51"/>
      <c r="E14" s="51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1"/>
      <c r="AC14" s="51"/>
      <c r="AD14" s="132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1"/>
      <c r="BF14" s="51"/>
      <c r="BG14" s="88"/>
      <c r="BH14" s="146"/>
    </row>
    <row r="15" spans="1:60" ht="23.25" x14ac:dyDescent="0.25">
      <c r="A15" s="53"/>
      <c r="B15" s="49"/>
      <c r="C15" s="50" t="s">
        <v>445</v>
      </c>
      <c r="D15" s="51"/>
      <c r="E15" s="51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1"/>
      <c r="AC15" s="51"/>
      <c r="AD15" s="132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51"/>
      <c r="BD15" s="51"/>
      <c r="BE15" s="51"/>
      <c r="BF15" s="51"/>
      <c r="BG15" s="88"/>
      <c r="BH15" s="146"/>
    </row>
    <row r="16" spans="1:60" ht="26.25" x14ac:dyDescent="0.25">
      <c r="A16" s="56" cm="1">
        <f t="array" ref="A16">SUMPRODUCT(($AV$10:$AV$55&lt;&gt;"")*(ROW($AV$10:$AV$55)&lt;=ROW()))</f>
        <v>4</v>
      </c>
      <c r="B16" s="57" t="s">
        <v>116</v>
      </c>
      <c r="C16" s="58" t="s">
        <v>117</v>
      </c>
      <c r="D16" s="93" t="s">
        <v>7</v>
      </c>
      <c r="E16" s="16"/>
      <c r="F16" s="29">
        <f>H16-$H$7</f>
        <v>45741</v>
      </c>
      <c r="G16" s="42">
        <v>45720</v>
      </c>
      <c r="H16" s="29">
        <f>J16-$J$7</f>
        <v>45748</v>
      </c>
      <c r="I16" s="42">
        <v>45730</v>
      </c>
      <c r="J16" s="29">
        <f>L16-$L$7</f>
        <v>45754</v>
      </c>
      <c r="K16" s="42">
        <v>45737</v>
      </c>
      <c r="L16" s="29">
        <f>N16-$N$7</f>
        <v>45757</v>
      </c>
      <c r="M16" s="42">
        <v>45751</v>
      </c>
      <c r="N16" s="29">
        <f>P16-$P$7</f>
        <v>45787</v>
      </c>
      <c r="O16" s="42">
        <v>45786</v>
      </c>
      <c r="P16" s="29">
        <f>R16-$R$7</f>
        <v>45797</v>
      </c>
      <c r="Q16" s="42">
        <v>45786</v>
      </c>
      <c r="R16" s="29">
        <f>T16-$T$7</f>
        <v>45817</v>
      </c>
      <c r="S16" s="42">
        <v>45786</v>
      </c>
      <c r="T16" s="29">
        <f>V16-$V$7</f>
        <v>45824</v>
      </c>
      <c r="U16" s="42">
        <v>45800</v>
      </c>
      <c r="V16" s="29">
        <f>X16-$X$7</f>
        <v>45831</v>
      </c>
      <c r="W16" s="42">
        <v>45818</v>
      </c>
      <c r="X16" s="29">
        <f t="shared" si="0"/>
        <v>45836</v>
      </c>
      <c r="Y16" s="42">
        <v>45839</v>
      </c>
      <c r="Z16" s="30">
        <f>X16+$Z$7</f>
        <v>45846</v>
      </c>
      <c r="AA16" s="42"/>
      <c r="AB16" s="31" t="str">
        <f>IF(AV16="10. Issued to Contractor","-",IF(AV16="11. Subcontract Agreement signed","-",MAX(AN16,AR16)-$C$6))</f>
        <v>-</v>
      </c>
      <c r="AC16" s="16"/>
      <c r="AD16" s="131">
        <f t="shared" ref="AD16:AD20" si="3">SUM($H$7:$Y$7)</f>
        <v>95</v>
      </c>
      <c r="AE16" s="16"/>
      <c r="AF16" s="95">
        <v>125192292</v>
      </c>
      <c r="AG16" s="67"/>
      <c r="AH16" s="67">
        <v>73292888</v>
      </c>
      <c r="AI16" s="194">
        <v>94419020</v>
      </c>
      <c r="AJ16" s="68">
        <f>IF(AI16&gt;0,SUM(AH16)-SUM(AI16),"")</f>
        <v>-21126132</v>
      </c>
      <c r="AK16" s="102" t="s">
        <v>118</v>
      </c>
      <c r="AL16" s="48"/>
      <c r="AM16" s="105">
        <v>120</v>
      </c>
      <c r="AN16" s="69">
        <f>$M$3+AM16-1</f>
        <v>45836</v>
      </c>
      <c r="AO16" s="107">
        <f>AN16-AU16</f>
        <v>-3</v>
      </c>
      <c r="AP16" s="48"/>
      <c r="AQ16" s="111">
        <v>25</v>
      </c>
      <c r="AR16" s="70">
        <f>IFERROR(WORKDAY.INTL(AN16,AQ16,11),"")</f>
        <v>45866</v>
      </c>
      <c r="AS16" s="107">
        <f>AR16-AU16</f>
        <v>27</v>
      </c>
      <c r="AT16" s="48"/>
      <c r="AU16" s="113">
        <f t="shared" ref="AU16:AU20" si="4">IF(Y16&gt;0,Y16,IFERROR(MAX(_xlfn.XLOOKUP($AV16,$H$8:$Z$8,$G16:$Y16),$C$6)+(AN16-_xlfn.XLOOKUP($AV16,$H$8:$Z$8,$F16:$X16))*AD16/SUM($H$7:$Y$7),$C$6+SUM(AD16)))</f>
        <v>45839</v>
      </c>
      <c r="AV16" s="119" t="str" cm="1">
        <f t="array" ref="AV16">IF(OR(G16&gt;$C$6,G16=""),$F$8,INDEX($E$8:$Z$8,MATCH(TRUE,(F16:AA16=""),0)))</f>
        <v>11. Subcontract Agreement signed</v>
      </c>
      <c r="AW16" s="116" t="b">
        <f>IF(AND(G16&gt;0,G16&lt;$C$6),TRUE,FALSE)</f>
        <v>1</v>
      </c>
      <c r="AX16" s="71" t="b">
        <f>IF(AND(I16&gt;0,I16&lt;$C$6),TRUE,FALSE)</f>
        <v>1</v>
      </c>
      <c r="AY16" s="71" t="b">
        <f>IF(AND(K16&gt;0,K16&lt;$C$6),TRUE,FALSE)</f>
        <v>1</v>
      </c>
      <c r="AZ16" s="71" t="b">
        <f>IF(AND(M16&gt;0,M16&lt;$C$6),TRUE,FALSE)</f>
        <v>1</v>
      </c>
      <c r="BA16" s="71" t="b">
        <f>IF(AND(O16&gt;0,O16&lt;$C$6),TRUE,FALSE)</f>
        <v>1</v>
      </c>
      <c r="BB16" s="71" t="b">
        <f>IF(AND(Q16&gt;0,Q16&lt;$C$6),TRUE,FALSE)</f>
        <v>1</v>
      </c>
      <c r="BC16" s="71" t="b">
        <f>IF(AND(S16&gt;0,S16&lt;$C$6),TRUE,FALSE)</f>
        <v>1</v>
      </c>
      <c r="BD16" s="71" t="b">
        <f>IF(AND(U16&gt;0,U16&lt;$C$6),TRUE,FALSE)</f>
        <v>1</v>
      </c>
      <c r="BE16" s="71" t="b">
        <f>IF(AND(W16&gt;0,W16&lt;$C$6),TRUE,FALSE)</f>
        <v>1</v>
      </c>
      <c r="BF16" s="71" t="b">
        <f>IF(AND(Y16&gt;0,Y16&lt;$C$6),TRUE,FALSE)</f>
        <v>1</v>
      </c>
      <c r="BG16" s="89" t="b">
        <f>IF(AND(AA16&gt;0,AA16&lt;$C$6),TRUE,FALSE)</f>
        <v>0</v>
      </c>
      <c r="BH16" s="146"/>
    </row>
    <row r="17" spans="1:60" ht="30" x14ac:dyDescent="0.25">
      <c r="A17" s="56" cm="1">
        <f t="array" ref="A17">SUMPRODUCT(($AV$10:$AV$55&lt;&gt;"")*(ROW($AV$10:$AV$55)&lt;=ROW()))</f>
        <v>5</v>
      </c>
      <c r="B17" s="59" t="s">
        <v>119</v>
      </c>
      <c r="C17" s="60" t="s">
        <v>120</v>
      </c>
      <c r="D17" s="59" t="s">
        <v>7</v>
      </c>
      <c r="E17" s="43"/>
      <c r="F17" s="44">
        <f>H17-$H$7</f>
        <v>45741</v>
      </c>
      <c r="G17" s="45">
        <v>45720</v>
      </c>
      <c r="H17" s="44">
        <f>J17-$J$7</f>
        <v>45748</v>
      </c>
      <c r="I17" s="45">
        <v>45730</v>
      </c>
      <c r="J17" s="44">
        <f>L17-$L$7</f>
        <v>45754</v>
      </c>
      <c r="K17" s="45">
        <v>45737</v>
      </c>
      <c r="L17" s="44">
        <f>N17-$N$7</f>
        <v>45757</v>
      </c>
      <c r="M17" s="45">
        <v>45751</v>
      </c>
      <c r="N17" s="44">
        <f>P17-$P$7</f>
        <v>45787</v>
      </c>
      <c r="O17" s="45">
        <v>45829</v>
      </c>
      <c r="P17" s="44">
        <f>R17-$R$7</f>
        <v>45797</v>
      </c>
      <c r="Q17" s="45">
        <v>45829</v>
      </c>
      <c r="R17" s="44">
        <f>T17-$T$7</f>
        <v>45817</v>
      </c>
      <c r="S17" s="45">
        <v>45829</v>
      </c>
      <c r="T17" s="44">
        <f>V17-$V$7</f>
        <v>45824</v>
      </c>
      <c r="U17" s="45">
        <v>45829</v>
      </c>
      <c r="V17" s="44">
        <f>X17-$X$7</f>
        <v>45831</v>
      </c>
      <c r="W17" s="45">
        <v>45854</v>
      </c>
      <c r="X17" s="44">
        <f t="shared" si="0"/>
        <v>45836</v>
      </c>
      <c r="Y17" s="45">
        <v>45866</v>
      </c>
      <c r="Z17" s="46">
        <f>X17+$Z$7</f>
        <v>45846</v>
      </c>
      <c r="AA17" s="45"/>
      <c r="AB17" s="32" t="str">
        <f>IF(AV17="10. Issued to Contractor","-",IF(AV17="11. Subcontract Agreement signed","-",MAX(AN17,AR17)-$C$6))</f>
        <v>-</v>
      </c>
      <c r="AC17" s="16"/>
      <c r="AD17" s="131">
        <f t="shared" si="3"/>
        <v>95</v>
      </c>
      <c r="AE17" s="16"/>
      <c r="AF17" s="96">
        <v>45216205</v>
      </c>
      <c r="AG17" s="72"/>
      <c r="AH17" s="72">
        <v>15382618</v>
      </c>
      <c r="AI17" s="195">
        <v>24397800</v>
      </c>
      <c r="AJ17" s="73">
        <f>IF(AI17&gt;0,SUM(AH17)-SUM(AI17),"")</f>
        <v>-9015182</v>
      </c>
      <c r="AK17" s="101" t="s">
        <v>121</v>
      </c>
      <c r="AL17" s="48"/>
      <c r="AM17" s="104">
        <v>120</v>
      </c>
      <c r="AN17" s="74">
        <f>$M$3+AM17-1</f>
        <v>45836</v>
      </c>
      <c r="AO17" s="108">
        <f>AN17-AU17</f>
        <v>-30</v>
      </c>
      <c r="AP17" s="48"/>
      <c r="AQ17" s="110">
        <v>25</v>
      </c>
      <c r="AR17" s="75">
        <f>IFERROR(WORKDAY.INTL(AN17,AQ17,11),"")</f>
        <v>45866</v>
      </c>
      <c r="AS17" s="108">
        <f>AR17-AU17</f>
        <v>0</v>
      </c>
      <c r="AT17" s="48"/>
      <c r="AU17" s="114">
        <f t="shared" si="4"/>
        <v>45866</v>
      </c>
      <c r="AV17" s="120" t="str" cm="1">
        <f t="array" ref="AV17">IF(OR(G17&gt;$C$6,G17=""),$F$8,INDEX($E$8:$Z$8,MATCH(TRUE,(F17:AA17=""),0)))</f>
        <v>11. Subcontract Agreement signed</v>
      </c>
      <c r="AW17" s="117" t="b">
        <f>IF(AND(G17&gt;0,G17&lt;$C$6),TRUE,FALSE)</f>
        <v>1</v>
      </c>
      <c r="AX17" s="76" t="b">
        <f>IF(AND(I17&gt;0,I17&lt;$C$6),TRUE,FALSE)</f>
        <v>1</v>
      </c>
      <c r="AY17" s="76" t="b">
        <f>IF(AND(K17&gt;0,K17&lt;$C$6),TRUE,FALSE)</f>
        <v>1</v>
      </c>
      <c r="AZ17" s="76" t="b">
        <f>IF(AND(M17&gt;0,M17&lt;$C$6),TRUE,FALSE)</f>
        <v>1</v>
      </c>
      <c r="BA17" s="76" t="b">
        <f>IF(AND(O17&gt;0,O17&lt;$C$6),TRUE,FALSE)</f>
        <v>1</v>
      </c>
      <c r="BB17" s="76" t="b">
        <f>IF(AND(Q17&gt;0,Q17&lt;$C$6),TRUE,FALSE)</f>
        <v>1</v>
      </c>
      <c r="BC17" s="76" t="b">
        <f>IF(AND(S17&gt;0,S17&lt;$C$6),TRUE,FALSE)</f>
        <v>1</v>
      </c>
      <c r="BD17" s="76" t="b">
        <f>IF(AND(U17&gt;0,U17&lt;$C$6),TRUE,FALSE)</f>
        <v>1</v>
      </c>
      <c r="BE17" s="76" t="b">
        <f>IF(AND(W17&gt;0,W17&lt;$C$6),TRUE,FALSE)</f>
        <v>1</v>
      </c>
      <c r="BF17" s="76" t="b">
        <f>IF(AND(Y17&gt;0,Y17&lt;$C$6),TRUE,FALSE)</f>
        <v>1</v>
      </c>
      <c r="BG17" s="90" t="b">
        <f>IF(AND(AA17&gt;0,AA17&lt;$C$6),TRUE,FALSE)</f>
        <v>0</v>
      </c>
      <c r="BH17" s="146"/>
    </row>
    <row r="18" spans="1:60" ht="26.25" x14ac:dyDescent="0.25">
      <c r="A18" s="56" cm="1">
        <f t="array" ref="A18">SUMPRODUCT(($AV$10:$AV$55&lt;&gt;"")*(ROW($AV$10:$AV$55)&lt;=ROW()))</f>
        <v>6</v>
      </c>
      <c r="B18" s="57" t="s">
        <v>122</v>
      </c>
      <c r="C18" s="58" t="s">
        <v>123</v>
      </c>
      <c r="D18" s="93" t="s">
        <v>7</v>
      </c>
      <c r="E18" s="16"/>
      <c r="F18" s="29">
        <f>H18-$H$7</f>
        <v>45741</v>
      </c>
      <c r="G18" s="42">
        <v>45720</v>
      </c>
      <c r="H18" s="29">
        <f>J18-$J$7</f>
        <v>45748</v>
      </c>
      <c r="I18" s="42">
        <v>45730</v>
      </c>
      <c r="J18" s="29">
        <f>L18-$L$7</f>
        <v>45754</v>
      </c>
      <c r="K18" s="42">
        <v>45737</v>
      </c>
      <c r="L18" s="29">
        <f>N18-$N$7</f>
        <v>45757</v>
      </c>
      <c r="M18" s="42">
        <v>45751</v>
      </c>
      <c r="N18" s="29">
        <f>P18-$P$7</f>
        <v>45787</v>
      </c>
      <c r="O18" s="42">
        <v>45829</v>
      </c>
      <c r="P18" s="29">
        <f>R18-$R$7</f>
        <v>45797</v>
      </c>
      <c r="Q18" s="42">
        <v>45829</v>
      </c>
      <c r="R18" s="29">
        <f>T18-$T$7</f>
        <v>45817</v>
      </c>
      <c r="S18" s="42">
        <v>45829</v>
      </c>
      <c r="T18" s="29">
        <f>V18-$V$7</f>
        <v>45824</v>
      </c>
      <c r="U18" s="42">
        <v>45829</v>
      </c>
      <c r="V18" s="29">
        <f>X18-$X$7</f>
        <v>45831</v>
      </c>
      <c r="W18" s="42">
        <v>45854</v>
      </c>
      <c r="X18" s="29">
        <f t="shared" si="0"/>
        <v>45836</v>
      </c>
      <c r="Y18" s="42">
        <v>45866</v>
      </c>
      <c r="Z18" s="30">
        <f>X18+$Z$7</f>
        <v>45846</v>
      </c>
      <c r="AA18" s="42"/>
      <c r="AB18" s="31" t="str">
        <f>IF(AV18="10. Issued to Contractor","-",IF(AV18="11. Subcontract Agreement signed","-",MAX(AN18,AR18)-$C$6))</f>
        <v>-</v>
      </c>
      <c r="AC18" s="16"/>
      <c r="AD18" s="131">
        <f t="shared" si="3"/>
        <v>95</v>
      </c>
      <c r="AE18" s="16"/>
      <c r="AF18" s="95">
        <v>10400471</v>
      </c>
      <c r="AG18" s="67"/>
      <c r="AH18" s="67">
        <v>5641252</v>
      </c>
      <c r="AI18" s="194">
        <v>2919723</v>
      </c>
      <c r="AJ18" s="68">
        <f>IF(AI18&gt;0,SUM(AH18)-SUM(AI18),"")</f>
        <v>2721529</v>
      </c>
      <c r="AK18" s="102" t="s">
        <v>124</v>
      </c>
      <c r="AL18" s="48"/>
      <c r="AM18" s="105">
        <v>120</v>
      </c>
      <c r="AN18" s="69">
        <f>$M$3+AM18-1</f>
        <v>45836</v>
      </c>
      <c r="AO18" s="107">
        <f>AN18-AU18</f>
        <v>-30</v>
      </c>
      <c r="AP18" s="48"/>
      <c r="AQ18" s="111">
        <v>25</v>
      </c>
      <c r="AR18" s="70">
        <f>IFERROR(WORKDAY.INTL(AN18,AQ18,11),"")</f>
        <v>45866</v>
      </c>
      <c r="AS18" s="107">
        <f>AR18-AU18</f>
        <v>0</v>
      </c>
      <c r="AT18" s="48"/>
      <c r="AU18" s="113">
        <f t="shared" si="4"/>
        <v>45866</v>
      </c>
      <c r="AV18" s="119" t="str" cm="1">
        <f t="array" ref="AV18">IF(OR(G18&gt;$C$6,G18=""),$F$8,INDEX($E$8:$Z$8,MATCH(TRUE,(F18:AA18=""),0)))</f>
        <v>11. Subcontract Agreement signed</v>
      </c>
      <c r="AW18" s="116" t="b">
        <f>IF(AND(G18&gt;0,G18&lt;$C$6),TRUE,FALSE)</f>
        <v>1</v>
      </c>
      <c r="AX18" s="71" t="b">
        <f>IF(AND(I18&gt;0,I18&lt;$C$6),TRUE,FALSE)</f>
        <v>1</v>
      </c>
      <c r="AY18" s="71" t="b">
        <f>IF(AND(K18&gt;0,K18&lt;$C$6),TRUE,FALSE)</f>
        <v>1</v>
      </c>
      <c r="AZ18" s="71" t="b">
        <f>IF(AND(M18&gt;0,M18&lt;$C$6),TRUE,FALSE)</f>
        <v>1</v>
      </c>
      <c r="BA18" s="71" t="b">
        <f>IF(AND(O18&gt;0,O18&lt;$C$6),TRUE,FALSE)</f>
        <v>1</v>
      </c>
      <c r="BB18" s="71" t="b">
        <f>IF(AND(Q18&gt;0,Q18&lt;$C$6),TRUE,FALSE)</f>
        <v>1</v>
      </c>
      <c r="BC18" s="71" t="b">
        <f>IF(AND(S18&gt;0,S18&lt;$C$6),TRUE,FALSE)</f>
        <v>1</v>
      </c>
      <c r="BD18" s="71" t="b">
        <f>IF(AND(U18&gt;0,U18&lt;$C$6),TRUE,FALSE)</f>
        <v>1</v>
      </c>
      <c r="BE18" s="71" t="b">
        <f>IF(AND(W18&gt;0,W18&lt;$C$6),TRUE,FALSE)</f>
        <v>1</v>
      </c>
      <c r="BF18" s="71" t="b">
        <f>IF(AND(Y18&gt;0,Y18&lt;$C$6),TRUE,FALSE)</f>
        <v>1</v>
      </c>
      <c r="BG18" s="89" t="b">
        <f>IF(AND(AA18&gt;0,AA18&lt;$C$6),TRUE,FALSE)</f>
        <v>0</v>
      </c>
      <c r="BH18" s="146"/>
    </row>
    <row r="19" spans="1:60" ht="30" x14ac:dyDescent="0.25">
      <c r="A19" s="56" cm="1">
        <f t="array" ref="A19">SUMPRODUCT(($AV$10:$AV$55&lt;&gt;"")*(ROW($AV$10:$AV$55)&lt;=ROW()))</f>
        <v>7</v>
      </c>
      <c r="B19" s="59" t="s">
        <v>125</v>
      </c>
      <c r="C19" s="60" t="s">
        <v>126</v>
      </c>
      <c r="D19" s="59" t="s">
        <v>7</v>
      </c>
      <c r="E19" s="43"/>
      <c r="F19" s="44">
        <f>H19-$H$7</f>
        <v>45801</v>
      </c>
      <c r="G19" s="45">
        <v>45940</v>
      </c>
      <c r="H19" s="44">
        <f>J19-$J$7</f>
        <v>45808</v>
      </c>
      <c r="I19" s="45">
        <v>45950</v>
      </c>
      <c r="J19" s="44">
        <f>L19-$L$7</f>
        <v>45814</v>
      </c>
      <c r="K19" s="45">
        <v>45950</v>
      </c>
      <c r="L19" s="44">
        <f>N19-$N$7</f>
        <v>45817</v>
      </c>
      <c r="M19" s="45">
        <v>45987</v>
      </c>
      <c r="N19" s="44">
        <f>P19-$P$7</f>
        <v>45847</v>
      </c>
      <c r="O19" s="45">
        <v>46038</v>
      </c>
      <c r="P19" s="44">
        <f>R19-$R$7</f>
        <v>45857</v>
      </c>
      <c r="Q19" s="45">
        <v>46038</v>
      </c>
      <c r="R19" s="44">
        <f>T19-$T$7</f>
        <v>45877</v>
      </c>
      <c r="S19" s="45">
        <v>46038</v>
      </c>
      <c r="T19" s="44">
        <f>V19-$V$7</f>
        <v>45884</v>
      </c>
      <c r="U19" s="45">
        <v>46040</v>
      </c>
      <c r="V19" s="44">
        <f>X19-$X$7</f>
        <v>45891</v>
      </c>
      <c r="W19" s="45">
        <v>46092</v>
      </c>
      <c r="X19" s="44">
        <f t="shared" si="0"/>
        <v>45896</v>
      </c>
      <c r="Y19" s="45">
        <v>46096</v>
      </c>
      <c r="Z19" s="46">
        <f>X19+$Z$7</f>
        <v>45906</v>
      </c>
      <c r="AA19" s="45"/>
      <c r="AB19" s="32" t="str">
        <f>IF(AV19="10. Issued to Contractor","-",IF(AV19="11. Subcontract Agreement signed","-",MAX(AN19,AR19)-$C$6))</f>
        <v>-</v>
      </c>
      <c r="AC19" s="16"/>
      <c r="AD19" s="131">
        <f t="shared" si="3"/>
        <v>95</v>
      </c>
      <c r="AE19" s="16"/>
      <c r="AF19" s="96">
        <v>19573678</v>
      </c>
      <c r="AG19" s="72"/>
      <c r="AH19" s="72">
        <v>10607053</v>
      </c>
      <c r="AI19" s="195">
        <v>18688510</v>
      </c>
      <c r="AJ19" s="73">
        <f>IF(AI19&gt;0,SUM(AH19)-SUM(AI19),"")</f>
        <v>-8081457</v>
      </c>
      <c r="AK19" s="101" t="s">
        <v>198</v>
      </c>
      <c r="AL19" s="48"/>
      <c r="AM19" s="104">
        <v>180</v>
      </c>
      <c r="AN19" s="74">
        <f>$M$3+AM19-1</f>
        <v>45896</v>
      </c>
      <c r="AO19" s="108">
        <f>AN19-AU19</f>
        <v>-200</v>
      </c>
      <c r="AP19" s="48"/>
      <c r="AQ19" s="110">
        <v>0</v>
      </c>
      <c r="AR19" s="75">
        <f>IFERROR(WORKDAY.INTL(AN19,AQ19,11),"")</f>
        <v>45896</v>
      </c>
      <c r="AS19" s="108">
        <f>AR19-AU19</f>
        <v>-200</v>
      </c>
      <c r="AT19" s="48"/>
      <c r="AU19" s="114">
        <f t="shared" si="4"/>
        <v>46096</v>
      </c>
      <c r="AV19" s="120" t="str" cm="1">
        <f t="array" ref="AV19">IF(OR(G19&gt;$C$6,G19=""),$F$8,INDEX($E$8:$Z$8,MATCH(TRUE,(F19:AA19=""),0)))</f>
        <v>11. Subcontract Agreement signed</v>
      </c>
      <c r="AW19" s="117" t="b">
        <f>IF(AND(G19&gt;0,G19&lt;$C$6),TRUE,FALSE)</f>
        <v>1</v>
      </c>
      <c r="AX19" s="76" t="b">
        <f>IF(AND(I19&gt;0,I19&lt;$C$6),TRUE,FALSE)</f>
        <v>1</v>
      </c>
      <c r="AY19" s="76" t="b">
        <f>IF(AND(K19&gt;0,K19&lt;$C$6),TRUE,FALSE)</f>
        <v>1</v>
      </c>
      <c r="AZ19" s="76" t="b">
        <f>IF(AND(M19&gt;0,M19&lt;$C$6),TRUE,FALSE)</f>
        <v>1</v>
      </c>
      <c r="BA19" s="76" t="b">
        <f>IF(AND(O19&gt;0,O19&lt;$C$6),TRUE,FALSE)</f>
        <v>1</v>
      </c>
      <c r="BB19" s="76" t="b">
        <f>IF(AND(Q19&gt;0,Q19&lt;$C$6),TRUE,FALSE)</f>
        <v>1</v>
      </c>
      <c r="BC19" s="76" t="b">
        <f>IF(AND(S19&gt;0,S19&lt;$C$6),TRUE,FALSE)</f>
        <v>1</v>
      </c>
      <c r="BD19" s="76" t="b">
        <f>IF(AND(U19&gt;0,U19&lt;$C$6),TRUE,FALSE)</f>
        <v>1</v>
      </c>
      <c r="BE19" s="76" t="b">
        <f>IF(AND(W19&gt;0,W19&lt;$C$6),TRUE,FALSE)</f>
        <v>1</v>
      </c>
      <c r="BF19" s="76" t="b">
        <f>IF(AND(Y19&gt;0,Y19&lt;$C$6),TRUE,FALSE)</f>
        <v>1</v>
      </c>
      <c r="BG19" s="90" t="b">
        <f>IF(AND(AA19&gt;0,AA19&lt;$C$6),TRUE,FALSE)</f>
        <v>0</v>
      </c>
      <c r="BH19" s="146"/>
    </row>
    <row r="20" spans="1:60" ht="26.25" x14ac:dyDescent="0.25">
      <c r="A20" s="56" cm="1">
        <f t="array" ref="A20">SUMPRODUCT(($AV$10:$AV$55&lt;&gt;"")*(ROW($AV$10:$AV$55)&lt;=ROW()))</f>
        <v>8</v>
      </c>
      <c r="B20" s="57" t="s">
        <v>125</v>
      </c>
      <c r="C20" s="58" t="s">
        <v>127</v>
      </c>
      <c r="D20" s="93" t="s">
        <v>7</v>
      </c>
      <c r="E20" s="16"/>
      <c r="F20" s="29">
        <f>H20-$H$7</f>
        <v>45801</v>
      </c>
      <c r="G20" s="42">
        <v>45940</v>
      </c>
      <c r="H20" s="29">
        <f>J20-$J$7</f>
        <v>45808</v>
      </c>
      <c r="I20" s="42">
        <v>45950</v>
      </c>
      <c r="J20" s="29">
        <f>L20-$L$7</f>
        <v>45814</v>
      </c>
      <c r="K20" s="42">
        <v>45950</v>
      </c>
      <c r="L20" s="29">
        <f>N20-$N$7</f>
        <v>45817</v>
      </c>
      <c r="M20" s="42">
        <v>45987</v>
      </c>
      <c r="N20" s="29">
        <f>P20-$P$7</f>
        <v>45847</v>
      </c>
      <c r="O20" s="42"/>
      <c r="P20" s="29">
        <f>R20-$R$7</f>
        <v>45857</v>
      </c>
      <c r="Q20" s="42"/>
      <c r="R20" s="29">
        <f>T20-$T$7</f>
        <v>45877</v>
      </c>
      <c r="S20" s="42"/>
      <c r="T20" s="29">
        <f>V20-$V$7</f>
        <v>45884</v>
      </c>
      <c r="U20" s="42">
        <v>46040</v>
      </c>
      <c r="V20" s="29">
        <f>X20-$X$7</f>
        <v>45891</v>
      </c>
      <c r="W20" s="42">
        <v>46093</v>
      </c>
      <c r="X20" s="29">
        <f t="shared" si="0"/>
        <v>45896</v>
      </c>
      <c r="Y20" s="42">
        <v>46098</v>
      </c>
      <c r="Z20" s="30">
        <f>X20+$Z$7</f>
        <v>45906</v>
      </c>
      <c r="AA20" s="42"/>
      <c r="AB20" s="31">
        <f>IF(AV20="10. Issued to Contractor","-",IF(AV20="11. Subcontract Agreement signed","-",MAX(AN20,AR20)-$C$6))</f>
        <v>-131</v>
      </c>
      <c r="AC20" s="16"/>
      <c r="AD20" s="131">
        <f t="shared" si="3"/>
        <v>95</v>
      </c>
      <c r="AE20" s="16"/>
      <c r="AF20" s="95">
        <v>4583155</v>
      </c>
      <c r="AG20" s="67"/>
      <c r="AH20" s="67">
        <v>2122484</v>
      </c>
      <c r="AI20" s="67" t="s">
        <v>435</v>
      </c>
      <c r="AJ20" s="73">
        <f>IF(AI20&gt;0,SUM(AH20)-SUM(AI20),"")</f>
        <v>2122484</v>
      </c>
      <c r="AK20" s="102" t="s">
        <v>198</v>
      </c>
      <c r="AL20" s="48"/>
      <c r="AM20" s="105">
        <v>180</v>
      </c>
      <c r="AN20" s="69">
        <f>$M$3+AM20-1</f>
        <v>45896</v>
      </c>
      <c r="AO20" s="107">
        <f>AN20-AU20</f>
        <v>-202</v>
      </c>
      <c r="AP20" s="48"/>
      <c r="AQ20" s="111">
        <v>73</v>
      </c>
      <c r="AR20" s="70">
        <f>IFERROR(WORKDAY.INTL(AN20,AQ20,11),"")</f>
        <v>45981</v>
      </c>
      <c r="AS20" s="107">
        <f>AR20-AU20</f>
        <v>-117</v>
      </c>
      <c r="AT20" s="48"/>
      <c r="AU20" s="113">
        <f t="shared" si="4"/>
        <v>46098</v>
      </c>
      <c r="AV20" s="119" t="str" cm="1">
        <f t="array" ref="AV20">IF(OR(G20&gt;$C$6,G20=""),$F$8,INDEX($E$8:$Z$8,MATCH(TRUE,(F20:AA20=""),0)))</f>
        <v>5. Initial submission</v>
      </c>
      <c r="AW20" s="116" t="b">
        <f>IF(AND(G20&gt;0,G20&lt;$C$6),TRUE,FALSE)</f>
        <v>1</v>
      </c>
      <c r="AX20" s="71" t="b">
        <f>IF(AND(I20&gt;0,I20&lt;$C$6),TRUE,FALSE)</f>
        <v>1</v>
      </c>
      <c r="AY20" s="71" t="b">
        <f>IF(AND(K20&gt;0,K20&lt;$C$6),TRUE,FALSE)</f>
        <v>1</v>
      </c>
      <c r="AZ20" s="71" t="b">
        <f>IF(AND(M20&gt;0,M20&lt;$C$6),TRUE,FALSE)</f>
        <v>1</v>
      </c>
      <c r="BA20" s="71" t="b">
        <f>IF(AND(O20&gt;0,O20&lt;$C$6),TRUE,FALSE)</f>
        <v>0</v>
      </c>
      <c r="BB20" s="71" t="b">
        <f>IF(AND(Q20&gt;0,Q20&lt;$C$6),TRUE,FALSE)</f>
        <v>0</v>
      </c>
      <c r="BC20" s="71" t="b">
        <f>IF(AND(S20&gt;0,S20&lt;$C$6),TRUE,FALSE)</f>
        <v>0</v>
      </c>
      <c r="BD20" s="71" t="b">
        <f>IF(AND(U20&gt;0,U20&lt;$C$6),TRUE,FALSE)</f>
        <v>1</v>
      </c>
      <c r="BE20" s="71" t="b">
        <f>IF(AND(W20&gt;0,W20&lt;$C$6),TRUE,FALSE)</f>
        <v>1</v>
      </c>
      <c r="BF20" s="71" t="b">
        <f>IF(AND(Y20&gt;0,Y20&lt;$C$6),TRUE,FALSE)</f>
        <v>1</v>
      </c>
      <c r="BG20" s="89" t="b">
        <f>IF(AND(AA20&gt;0,AA20&lt;$C$6),TRUE,FALSE)</f>
        <v>0</v>
      </c>
      <c r="BH20" s="146"/>
    </row>
    <row r="21" spans="1:60" ht="23.25" x14ac:dyDescent="0.25">
      <c r="A21" s="54"/>
      <c r="B21" s="49"/>
      <c r="C21" s="50" t="s">
        <v>128</v>
      </c>
      <c r="D21" s="51"/>
      <c r="E21" s="51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1"/>
      <c r="AC21" s="51"/>
      <c r="AD21" s="132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  <c r="BC21" s="51"/>
      <c r="BD21" s="51"/>
      <c r="BE21" s="51"/>
      <c r="BF21" s="51"/>
      <c r="BG21" s="88"/>
      <c r="BH21" s="146"/>
    </row>
    <row r="22" spans="1:60" ht="26.25" x14ac:dyDescent="0.25">
      <c r="A22" s="56" cm="1">
        <f t="array" ref="A22">SUMPRODUCT(($AV$10:$AV$55&lt;&gt;"")*(ROW($AV$10:$AV$55)&lt;=ROW()))</f>
        <v>9</v>
      </c>
      <c r="B22" s="59" t="s">
        <v>129</v>
      </c>
      <c r="C22" s="60" t="s">
        <v>130</v>
      </c>
      <c r="D22" s="59" t="s">
        <v>131</v>
      </c>
      <c r="E22" s="43"/>
      <c r="F22" s="44">
        <f>H22-$H$7</f>
        <v>45801</v>
      </c>
      <c r="G22" s="45">
        <v>45780</v>
      </c>
      <c r="H22" s="44">
        <f>J22-$J$7</f>
        <v>45808</v>
      </c>
      <c r="I22" s="45">
        <v>45817</v>
      </c>
      <c r="J22" s="44">
        <f>L22-$L$7</f>
        <v>45814</v>
      </c>
      <c r="K22" s="45">
        <v>45817</v>
      </c>
      <c r="L22" s="44">
        <f>N22-$N$7</f>
        <v>45817</v>
      </c>
      <c r="M22" s="45">
        <v>45850</v>
      </c>
      <c r="N22" s="44">
        <f>P22-$P$7</f>
        <v>45847</v>
      </c>
      <c r="O22" s="45">
        <v>45890</v>
      </c>
      <c r="P22" s="44">
        <f>R22-$R$7</f>
        <v>45857</v>
      </c>
      <c r="Q22" s="45">
        <v>45890</v>
      </c>
      <c r="R22" s="44">
        <f>T22-$T$7</f>
        <v>45877</v>
      </c>
      <c r="S22" s="45">
        <v>45890</v>
      </c>
      <c r="T22" s="44">
        <f>V22-$V$7</f>
        <v>45884</v>
      </c>
      <c r="U22" s="45">
        <v>45940</v>
      </c>
      <c r="V22" s="44">
        <f>X22-$X$7</f>
        <v>45891</v>
      </c>
      <c r="W22" s="45">
        <v>45981</v>
      </c>
      <c r="X22" s="44">
        <f t="shared" si="0"/>
        <v>45896</v>
      </c>
      <c r="Y22" s="45">
        <v>45987</v>
      </c>
      <c r="Z22" s="46">
        <f>X22+$Z$7</f>
        <v>45906</v>
      </c>
      <c r="AA22" s="45"/>
      <c r="AB22" s="32" t="str">
        <f>IF(AV22="10. Issued to Contractor","-",IF(AV22="11. Subcontract Agreement signed","-",MAX(AN22,AR22)-$C$6))</f>
        <v>-</v>
      </c>
      <c r="AC22" s="16"/>
      <c r="AD22" s="131">
        <f t="shared" ref="AD22:AD25" si="5">SUM($H$7:$Y$7)</f>
        <v>95</v>
      </c>
      <c r="AE22" s="16"/>
      <c r="AF22" s="96">
        <v>48184481</v>
      </c>
      <c r="AG22" s="72"/>
      <c r="AH22" s="72">
        <v>25523887</v>
      </c>
      <c r="AI22" s="195">
        <v>27477022</v>
      </c>
      <c r="AJ22" s="73">
        <f>IF(AI22&gt;0,SUM(AH22)-SUM(AI22),"")</f>
        <v>-1953135</v>
      </c>
      <c r="AK22" s="101" t="s">
        <v>132</v>
      </c>
      <c r="AL22" s="48"/>
      <c r="AM22" s="104">
        <v>180</v>
      </c>
      <c r="AN22" s="74">
        <f>$M$3+AM22-1</f>
        <v>45896</v>
      </c>
      <c r="AO22" s="108">
        <f>AN22-AU22</f>
        <v>-91</v>
      </c>
      <c r="AP22" s="48"/>
      <c r="AQ22" s="110">
        <v>23</v>
      </c>
      <c r="AR22" s="75">
        <f>IFERROR(WORKDAY.INTL(AN22,AQ22,11),"")</f>
        <v>45923</v>
      </c>
      <c r="AS22" s="108">
        <f>AR22-AU22</f>
        <v>-64</v>
      </c>
      <c r="AT22" s="48"/>
      <c r="AU22" s="114">
        <f t="shared" ref="AU22:AU25" si="6">IF(Y22&gt;0,Y22,IFERROR(MAX(_xlfn.XLOOKUP($AV22,$H$8:$Z$8,$G22:$Y22),$C$6)+(AN22-_xlfn.XLOOKUP($AV22,$H$8:$Z$8,$F22:$X22))*AD22/SUM($H$7:$Y$7),$C$6+SUM(AD22)))</f>
        <v>45987</v>
      </c>
      <c r="AV22" s="120" t="str" cm="1">
        <f t="array" ref="AV22">IF(OR(G22&gt;$C$6,G22=""),$F$8,INDEX($E$8:$Z$8,MATCH(TRUE,(F22:AA22=""),0)))</f>
        <v>11. Subcontract Agreement signed</v>
      </c>
      <c r="AW22" s="117" t="b">
        <f>IF(AND(G22&gt;0,G22&lt;$C$6),TRUE,FALSE)</f>
        <v>1</v>
      </c>
      <c r="AX22" s="76" t="b">
        <f>IF(AND(I22&gt;0,I22&lt;$C$6),TRUE,FALSE)</f>
        <v>1</v>
      </c>
      <c r="AY22" s="76" t="b">
        <f>IF(AND(K22&gt;0,K22&lt;$C$6),TRUE,FALSE)</f>
        <v>1</v>
      </c>
      <c r="AZ22" s="76" t="b">
        <f>IF(AND(M22&gt;0,M22&lt;$C$6),TRUE,FALSE)</f>
        <v>1</v>
      </c>
      <c r="BA22" s="76" t="b">
        <f>IF(AND(O22&gt;0,O22&lt;$C$6),TRUE,FALSE)</f>
        <v>1</v>
      </c>
      <c r="BB22" s="76" t="b">
        <f>IF(AND(Q22&gt;0,Q22&lt;$C$6),TRUE,FALSE)</f>
        <v>1</v>
      </c>
      <c r="BC22" s="76" t="b">
        <f>IF(AND(S22&gt;0,S22&lt;$C$6),TRUE,FALSE)</f>
        <v>1</v>
      </c>
      <c r="BD22" s="76" t="b">
        <f>IF(AND(U22&gt;0,U22&lt;$C$6),TRUE,FALSE)</f>
        <v>1</v>
      </c>
      <c r="BE22" s="76" t="b">
        <f>IF(AND(W22&gt;0,W22&lt;$C$6),TRUE,FALSE)</f>
        <v>1</v>
      </c>
      <c r="BF22" s="76" t="b">
        <f>IF(AND(Y22&gt;0,Y22&lt;$C$6),TRUE,FALSE)</f>
        <v>1</v>
      </c>
      <c r="BG22" s="90" t="b">
        <f>IF(AND(AA22&gt;0,AA22&lt;$C$6),TRUE,FALSE)</f>
        <v>0</v>
      </c>
      <c r="BH22" s="146"/>
    </row>
    <row r="23" spans="1:60" ht="26.25" x14ac:dyDescent="0.25">
      <c r="A23" s="56" cm="1">
        <f t="array" ref="A23">SUMPRODUCT(($AV$10:$AV$55&lt;&gt;"")*(ROW($AV$10:$AV$55)&lt;=ROW()))</f>
        <v>10</v>
      </c>
      <c r="B23" s="57" t="s">
        <v>125</v>
      </c>
      <c r="C23" s="58" t="s">
        <v>133</v>
      </c>
      <c r="D23" s="93" t="s">
        <v>131</v>
      </c>
      <c r="E23" s="16"/>
      <c r="F23" s="29">
        <f>H23-$H$7</f>
        <v>45801</v>
      </c>
      <c r="G23" s="42">
        <v>45940</v>
      </c>
      <c r="H23" s="29">
        <f>J23-$J$7</f>
        <v>45808</v>
      </c>
      <c r="I23" s="42">
        <v>45950</v>
      </c>
      <c r="J23" s="29">
        <f>L23-$L$7</f>
        <v>45814</v>
      </c>
      <c r="K23" s="42">
        <v>45950</v>
      </c>
      <c r="L23" s="29">
        <f>N23-$N$7</f>
        <v>45817</v>
      </c>
      <c r="M23" s="42">
        <v>45987</v>
      </c>
      <c r="N23" s="29">
        <f>P23-$P$7</f>
        <v>45847</v>
      </c>
      <c r="O23" s="42">
        <v>46038</v>
      </c>
      <c r="P23" s="29">
        <f>R23-$R$7</f>
        <v>45857</v>
      </c>
      <c r="Q23" s="42">
        <v>46038</v>
      </c>
      <c r="R23" s="29">
        <f>T23-$T$7</f>
        <v>45877</v>
      </c>
      <c r="S23" s="42">
        <v>46038</v>
      </c>
      <c r="T23" s="29">
        <f>V23-$V$7</f>
        <v>45884</v>
      </c>
      <c r="U23" s="42">
        <v>46040</v>
      </c>
      <c r="V23" s="29">
        <f>X23-$X$7</f>
        <v>45891</v>
      </c>
      <c r="W23" s="42">
        <v>46091</v>
      </c>
      <c r="X23" s="29">
        <f t="shared" si="0"/>
        <v>45896</v>
      </c>
      <c r="Y23" s="42">
        <v>46096</v>
      </c>
      <c r="Z23" s="30">
        <f>X23+$Z$7</f>
        <v>45906</v>
      </c>
      <c r="AA23" s="42"/>
      <c r="AB23" s="31" t="str">
        <f>IF(AV23="10. Issued to Contractor","-",IF(AV23="11. Subcontract Agreement signed","-",MAX(AN23,AR23)-$C$6))</f>
        <v>-</v>
      </c>
      <c r="AC23" s="16"/>
      <c r="AD23" s="131">
        <f t="shared" si="5"/>
        <v>95</v>
      </c>
      <c r="AE23" s="16"/>
      <c r="AF23" s="95">
        <v>4800000</v>
      </c>
      <c r="AG23" s="67"/>
      <c r="AH23" s="67">
        <v>2603711</v>
      </c>
      <c r="AI23" s="67" t="s">
        <v>134</v>
      </c>
      <c r="AJ23" s="68">
        <f>IF(AI23&gt;0,SUM(AH23)-SUM(AI23),"")</f>
        <v>2603711</v>
      </c>
      <c r="AK23" s="102" t="s">
        <v>132</v>
      </c>
      <c r="AL23" s="48"/>
      <c r="AM23" s="105">
        <v>180</v>
      </c>
      <c r="AN23" s="69">
        <f>$M$3+AM23-1</f>
        <v>45896</v>
      </c>
      <c r="AO23" s="107">
        <f t="shared" ref="AO23" si="7">AN23-AU23</f>
        <v>-200</v>
      </c>
      <c r="AP23" s="48"/>
      <c r="AQ23" s="111">
        <v>147</v>
      </c>
      <c r="AR23" s="70">
        <f t="shared" ref="AR23" si="8">IFERROR(WORKDAY.INTL(AN23,AQ23,11),"")</f>
        <v>46067</v>
      </c>
      <c r="AS23" s="107">
        <f t="shared" ref="AS23" si="9">AR23-AU23</f>
        <v>-29</v>
      </c>
      <c r="AT23" s="48"/>
      <c r="AU23" s="113">
        <f t="shared" si="6"/>
        <v>46096</v>
      </c>
      <c r="AV23" s="119" t="str" cm="1">
        <f t="array" ref="AV23">IF(OR(G23&gt;$C$6,G23=""),$F$8,INDEX($E$8:$Z$8,MATCH(TRUE,(F23:AA23=""),0)))</f>
        <v>11. Subcontract Agreement signed</v>
      </c>
      <c r="AW23" s="116" t="b">
        <f>IF(AND(G23&gt;0,G23&lt;$C$6),TRUE,FALSE)</f>
        <v>1</v>
      </c>
      <c r="AX23" s="71" t="b">
        <f>IF(AND(I23&gt;0,I23&lt;$C$6),TRUE,FALSE)</f>
        <v>1</v>
      </c>
      <c r="AY23" s="71" t="b">
        <f>IF(AND(K23&gt;0,K23&lt;$C$6),TRUE,FALSE)</f>
        <v>1</v>
      </c>
      <c r="AZ23" s="71" t="b">
        <f>IF(AND(M23&gt;0,M23&lt;$C$6),TRUE,FALSE)</f>
        <v>1</v>
      </c>
      <c r="BA23" s="71" t="b">
        <f>IF(AND(O23&gt;0,O23&lt;$C$6),TRUE,FALSE)</f>
        <v>1</v>
      </c>
      <c r="BB23" s="71" t="b">
        <f>IF(AND(Q23&gt;0,Q23&lt;$C$6),TRUE,FALSE)</f>
        <v>1</v>
      </c>
      <c r="BC23" s="71" t="b">
        <f>IF(AND(S23&gt;0,S23&lt;$C$6),TRUE,FALSE)</f>
        <v>1</v>
      </c>
      <c r="BD23" s="71" t="b">
        <f>IF(AND(U23&gt;0,U23&lt;$C$6),TRUE,FALSE)</f>
        <v>1</v>
      </c>
      <c r="BE23" s="71" t="b">
        <f>IF(AND(W23&gt;0,W23&lt;$C$6),TRUE,FALSE)</f>
        <v>1</v>
      </c>
      <c r="BF23" s="71" t="b">
        <f>IF(AND(Y23&gt;0,Y23&lt;$C$6),TRUE,FALSE)</f>
        <v>1</v>
      </c>
      <c r="BG23" s="89" t="b">
        <f>IF(AND(AA23&gt;0,AA23&lt;$C$6),TRUE,FALSE)</f>
        <v>0</v>
      </c>
      <c r="BH23" s="146"/>
    </row>
    <row r="24" spans="1:60" ht="26.25" x14ac:dyDescent="0.25">
      <c r="A24" s="56" cm="1">
        <f t="array" ref="A24">SUMPRODUCT(($AV$10:$AV$55&lt;&gt;"")*(ROW($AV$10:$AV$55)&lt;=ROW()))</f>
        <v>11</v>
      </c>
      <c r="B24" s="59" t="s">
        <v>125</v>
      </c>
      <c r="C24" s="60" t="s">
        <v>135</v>
      </c>
      <c r="D24" s="59" t="s">
        <v>131</v>
      </c>
      <c r="E24" s="43"/>
      <c r="F24" s="44">
        <f>H24-$H$7</f>
        <v>45801</v>
      </c>
      <c r="G24" s="45">
        <v>45940</v>
      </c>
      <c r="H24" s="44">
        <f>J24-$J$7</f>
        <v>45808</v>
      </c>
      <c r="I24" s="45">
        <v>45950</v>
      </c>
      <c r="J24" s="44">
        <f>L24-$L$7</f>
        <v>45814</v>
      </c>
      <c r="K24" s="45">
        <v>45950</v>
      </c>
      <c r="L24" s="44">
        <f>N24-$N$7</f>
        <v>45817</v>
      </c>
      <c r="M24" s="45">
        <v>45987</v>
      </c>
      <c r="N24" s="44">
        <f>P24-$P$7</f>
        <v>45847</v>
      </c>
      <c r="O24" s="45">
        <v>46038</v>
      </c>
      <c r="P24" s="44">
        <f>R24-$R$7</f>
        <v>45857</v>
      </c>
      <c r="Q24" s="45">
        <v>46038</v>
      </c>
      <c r="R24" s="44">
        <f>T24-$T$7</f>
        <v>45877</v>
      </c>
      <c r="S24" s="45">
        <v>46038</v>
      </c>
      <c r="T24" s="44">
        <f>V24-$V$7</f>
        <v>45884</v>
      </c>
      <c r="U24" s="45">
        <v>46040</v>
      </c>
      <c r="V24" s="44">
        <f>X24-$X$7</f>
        <v>45891</v>
      </c>
      <c r="W24" s="45">
        <v>46051</v>
      </c>
      <c r="X24" s="44">
        <f t="shared" si="0"/>
        <v>45896</v>
      </c>
      <c r="Y24" s="45">
        <v>46073</v>
      </c>
      <c r="Z24" s="46">
        <f>X24+$Z$7</f>
        <v>45906</v>
      </c>
      <c r="AA24" s="45"/>
      <c r="AB24" s="32" t="str">
        <f>IF(AV24="10. Issued to Contractor","-",IF(AV24="11. Subcontract Agreement signed","-",MAX(AN24,AR24)-$C$6))</f>
        <v>-</v>
      </c>
      <c r="AC24" s="16"/>
      <c r="AD24" s="131">
        <f t="shared" si="5"/>
        <v>95</v>
      </c>
      <c r="AE24" s="16"/>
      <c r="AF24" s="96">
        <v>8366393</v>
      </c>
      <c r="AG24" s="72"/>
      <c r="AH24" s="72">
        <v>5321931</v>
      </c>
      <c r="AI24" s="72" t="s">
        <v>134</v>
      </c>
      <c r="AJ24" s="68">
        <f>IF(AI24&gt;0,SUM(AH24)-SUM(AI24),"")</f>
        <v>5321931</v>
      </c>
      <c r="AK24" s="101" t="s">
        <v>132</v>
      </c>
      <c r="AL24" s="48"/>
      <c r="AM24" s="104">
        <v>180</v>
      </c>
      <c r="AN24" s="74">
        <f>$M$3+AM24-1</f>
        <v>45896</v>
      </c>
      <c r="AO24" s="108">
        <f>AN24-AU24</f>
        <v>-177</v>
      </c>
      <c r="AP24" s="48"/>
      <c r="AQ24" s="110">
        <v>39</v>
      </c>
      <c r="AR24" s="75">
        <f>IFERROR(WORKDAY.INTL(AN24,AQ24,11),"")</f>
        <v>45941</v>
      </c>
      <c r="AS24" s="108">
        <f>AR24-AU24</f>
        <v>-132</v>
      </c>
      <c r="AT24" s="48"/>
      <c r="AU24" s="114">
        <f t="shared" si="6"/>
        <v>46073</v>
      </c>
      <c r="AV24" s="120" t="str" cm="1">
        <f t="array" ref="AV24">IF(OR(G24&gt;$C$6,G24=""),$F$8,INDEX($E$8:$Z$8,MATCH(TRUE,(F24:AA24=""),0)))</f>
        <v>11. Subcontract Agreement signed</v>
      </c>
      <c r="AW24" s="117" t="b">
        <f>IF(AND(G24&gt;0,G24&lt;$C$6),TRUE,FALSE)</f>
        <v>1</v>
      </c>
      <c r="AX24" s="76" t="b">
        <f>IF(AND(I24&gt;0,I24&lt;$C$6),TRUE,FALSE)</f>
        <v>1</v>
      </c>
      <c r="AY24" s="76" t="b">
        <f>IF(AND(K24&gt;0,K24&lt;$C$6),TRUE,FALSE)</f>
        <v>1</v>
      </c>
      <c r="AZ24" s="76" t="b">
        <f>IF(AND(M24&gt;0,M24&lt;$C$6),TRUE,FALSE)</f>
        <v>1</v>
      </c>
      <c r="BA24" s="76" t="b">
        <f>IF(AND(O24&gt;0,O24&lt;$C$6),TRUE,FALSE)</f>
        <v>1</v>
      </c>
      <c r="BB24" s="76" t="b">
        <f>IF(AND(Q24&gt;0,Q24&lt;$C$6),TRUE,FALSE)</f>
        <v>1</v>
      </c>
      <c r="BC24" s="76" t="b">
        <f>IF(AND(S24&gt;0,S24&lt;$C$6),TRUE,FALSE)</f>
        <v>1</v>
      </c>
      <c r="BD24" s="76" t="b">
        <f>IF(AND(U24&gt;0,U24&lt;$C$6),TRUE,FALSE)</f>
        <v>1</v>
      </c>
      <c r="BE24" s="76" t="b">
        <f>IF(AND(W24&gt;0,W24&lt;$C$6),TRUE,FALSE)</f>
        <v>1</v>
      </c>
      <c r="BF24" s="76" t="b">
        <f>IF(AND(Y24&gt;0,Y24&lt;$C$6),TRUE,FALSE)</f>
        <v>1</v>
      </c>
      <c r="BG24" s="90" t="b">
        <f>IF(AND(AA24&gt;0,AA24&lt;$C$6),TRUE,FALSE)</f>
        <v>0</v>
      </c>
      <c r="BH24" s="146"/>
    </row>
    <row r="25" spans="1:60" ht="30" x14ac:dyDescent="0.25">
      <c r="A25" s="56" cm="1">
        <f t="array" ref="A25">SUMPRODUCT(($AV$10:$AV$55&lt;&gt;"")*(ROW($AV$10:$AV$55)&lt;=ROW()))</f>
        <v>12</v>
      </c>
      <c r="B25" s="57" t="s">
        <v>125</v>
      </c>
      <c r="C25" s="178" t="s">
        <v>136</v>
      </c>
      <c r="D25" s="93" t="s">
        <v>131</v>
      </c>
      <c r="E25" s="16"/>
      <c r="F25" s="29">
        <f>H25-$H$7</f>
        <v>45801</v>
      </c>
      <c r="G25" s="42">
        <v>45940</v>
      </c>
      <c r="H25" s="29">
        <f>J25-$J$7</f>
        <v>45808</v>
      </c>
      <c r="I25" s="42">
        <v>45950</v>
      </c>
      <c r="J25" s="29">
        <f>L25-$L$7</f>
        <v>45814</v>
      </c>
      <c r="K25" s="42">
        <v>45950</v>
      </c>
      <c r="L25" s="29">
        <f>N25-$N$7</f>
        <v>45817</v>
      </c>
      <c r="M25" s="42"/>
      <c r="N25" s="29">
        <f>P25-$P$7</f>
        <v>45847</v>
      </c>
      <c r="O25" s="42"/>
      <c r="P25" s="29">
        <f>R25-$R$7</f>
        <v>45857</v>
      </c>
      <c r="Q25" s="42"/>
      <c r="R25" s="29">
        <f>T25-$T$7</f>
        <v>45877</v>
      </c>
      <c r="S25" s="42"/>
      <c r="T25" s="29">
        <f>V25-$V$7</f>
        <v>45884</v>
      </c>
      <c r="U25" s="42"/>
      <c r="V25" s="29">
        <f>X25-$X$7</f>
        <v>45891</v>
      </c>
      <c r="W25" s="42">
        <v>46042</v>
      </c>
      <c r="X25" s="29">
        <f t="shared" si="0"/>
        <v>45896</v>
      </c>
      <c r="Y25" s="42">
        <v>46073</v>
      </c>
      <c r="Z25" s="30">
        <f>X25+$Z$7</f>
        <v>45906</v>
      </c>
      <c r="AA25" s="42"/>
      <c r="AB25" s="31">
        <f>IF(AV25="10. Issued to Contractor","-",IF(AV25="11. Subcontract Agreement signed","-",MAX(AN25,AR25)-$C$6))</f>
        <v>-131</v>
      </c>
      <c r="AC25" s="16"/>
      <c r="AD25" s="131">
        <f t="shared" si="5"/>
        <v>95</v>
      </c>
      <c r="AE25" s="16"/>
      <c r="AF25" s="95">
        <v>6000000</v>
      </c>
      <c r="AG25" s="67"/>
      <c r="AH25" s="67">
        <v>3254639</v>
      </c>
      <c r="AI25" s="67"/>
      <c r="AJ25" s="68" t="str">
        <f>IF(AI25&gt;0,SUM(AH25)-SUM(AI25),"")</f>
        <v/>
      </c>
      <c r="AK25" s="102"/>
      <c r="AL25" s="48"/>
      <c r="AM25" s="105">
        <v>180</v>
      </c>
      <c r="AN25" s="69">
        <f>$M$3+AM25-1</f>
        <v>45896</v>
      </c>
      <c r="AO25" s="107">
        <f>AN25-AU25</f>
        <v>-177</v>
      </c>
      <c r="AP25" s="48"/>
      <c r="AQ25" s="111">
        <v>73</v>
      </c>
      <c r="AR25" s="70">
        <f>IFERROR(WORKDAY.INTL(AN25,AQ25,11),"")</f>
        <v>45981</v>
      </c>
      <c r="AS25" s="107">
        <f>AR25-AU25</f>
        <v>-92</v>
      </c>
      <c r="AT25" s="48"/>
      <c r="AU25" s="113">
        <f t="shared" si="6"/>
        <v>46073</v>
      </c>
      <c r="AV25" s="119" t="str" cm="1">
        <f t="array" ref="AV25">IF(OR(G25&gt;$C$6,G25=""),$F$8,INDEX($E$8:$Z$8,MATCH(TRUE,(F25:AA25=""),0)))</f>
        <v>4. Tender Float</v>
      </c>
      <c r="AW25" s="116" t="b">
        <f>IF(AND(G25&gt;0,G25&lt;$C$6),TRUE,FALSE)</f>
        <v>1</v>
      </c>
      <c r="AX25" s="71" t="b">
        <f>IF(AND(I25&gt;0,I25&lt;$C$6),TRUE,FALSE)</f>
        <v>1</v>
      </c>
      <c r="AY25" s="71" t="b">
        <f>IF(AND(K25&gt;0,K25&lt;$C$6),TRUE,FALSE)</f>
        <v>1</v>
      </c>
      <c r="AZ25" s="71" t="b">
        <f>IF(AND(M25&gt;0,M25&lt;$C$6),TRUE,FALSE)</f>
        <v>0</v>
      </c>
      <c r="BA25" s="71" t="b">
        <f>IF(AND(O25&gt;0,O25&lt;$C$6),TRUE,FALSE)</f>
        <v>0</v>
      </c>
      <c r="BB25" s="71" t="b">
        <f>IF(AND(Q25&gt;0,Q25&lt;$C$6),TRUE,FALSE)</f>
        <v>0</v>
      </c>
      <c r="BC25" s="71" t="b">
        <f>IF(AND(S25&gt;0,S25&lt;$C$6),TRUE,FALSE)</f>
        <v>0</v>
      </c>
      <c r="BD25" s="71" t="b">
        <f>IF(AND(U25&gt;0,U25&lt;$C$6),TRUE,FALSE)</f>
        <v>0</v>
      </c>
      <c r="BE25" s="71" t="b">
        <f>IF(AND(W25&gt;0,W25&lt;$C$6),TRUE,FALSE)</f>
        <v>1</v>
      </c>
      <c r="BF25" s="71" t="b">
        <f>IF(AND(Y25&gt;0,Y25&lt;$C$6),TRUE,FALSE)</f>
        <v>1</v>
      </c>
      <c r="BG25" s="89" t="b">
        <f>IF(AND(AA25&gt;0,AA25&lt;$C$6),TRUE,FALSE)</f>
        <v>0</v>
      </c>
      <c r="BH25" s="146"/>
    </row>
    <row r="26" spans="1:60" ht="23.25" x14ac:dyDescent="0.25">
      <c r="A26" s="54"/>
      <c r="B26" s="49"/>
      <c r="C26" s="50" t="s">
        <v>137</v>
      </c>
      <c r="D26" s="51"/>
      <c r="E26" s="51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1"/>
      <c r="AC26" s="51"/>
      <c r="AD26" s="132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1"/>
      <c r="BE26" s="51"/>
      <c r="BF26" s="51"/>
      <c r="BG26" s="88"/>
      <c r="BH26" s="146"/>
    </row>
    <row r="27" spans="1:60" ht="26.25" x14ac:dyDescent="0.25">
      <c r="A27" s="56" cm="1">
        <f t="array" ref="A27">SUMPRODUCT(($AV$10:$AV$55&lt;&gt;"")*(ROW($AV$10:$AV$55)&lt;=ROW()))</f>
        <v>13</v>
      </c>
      <c r="B27" s="59" t="s">
        <v>138</v>
      </c>
      <c r="C27" s="60" t="s">
        <v>139</v>
      </c>
      <c r="D27" s="59" t="s">
        <v>11</v>
      </c>
      <c r="E27" s="43"/>
      <c r="F27" s="44">
        <f t="shared" ref="F27:F39" si="10">H27-$H$7</f>
        <v>45771</v>
      </c>
      <c r="G27" s="45">
        <v>45854</v>
      </c>
      <c r="H27" s="44">
        <f t="shared" ref="H27:H39" si="11">J27-$J$7</f>
        <v>45778</v>
      </c>
      <c r="I27" s="45">
        <v>45854</v>
      </c>
      <c r="J27" s="44">
        <f t="shared" ref="J27:J39" si="12">L27-$L$7</f>
        <v>45784</v>
      </c>
      <c r="K27" s="45">
        <v>45854</v>
      </c>
      <c r="L27" s="44">
        <f t="shared" ref="L27:L39" si="13">N27-$N$7</f>
        <v>45787</v>
      </c>
      <c r="M27" s="45">
        <v>45931</v>
      </c>
      <c r="N27" s="44">
        <f t="shared" ref="N27:N39" si="14">P27-$P$7</f>
        <v>45817</v>
      </c>
      <c r="O27" s="45">
        <v>45945</v>
      </c>
      <c r="P27" s="44">
        <f t="shared" ref="P27:P39" si="15">R27-$R$7</f>
        <v>45827</v>
      </c>
      <c r="Q27" s="45">
        <v>45945</v>
      </c>
      <c r="R27" s="44">
        <f t="shared" ref="R27:R39" si="16">T27-$T$7</f>
        <v>45847</v>
      </c>
      <c r="S27" s="45">
        <v>45945</v>
      </c>
      <c r="T27" s="44">
        <f t="shared" ref="T27:T39" si="17">V27-$V$7</f>
        <v>45854</v>
      </c>
      <c r="U27" s="45">
        <v>45957</v>
      </c>
      <c r="V27" s="44">
        <f t="shared" ref="V27:V39" si="18">X27-$X$7</f>
        <v>45861</v>
      </c>
      <c r="W27" s="45">
        <v>45985</v>
      </c>
      <c r="X27" s="44">
        <f t="shared" si="0"/>
        <v>45866</v>
      </c>
      <c r="Y27" s="45">
        <v>45987</v>
      </c>
      <c r="Z27" s="46">
        <f t="shared" ref="Z27:Z39" si="19">X27+$Z$7</f>
        <v>45876</v>
      </c>
      <c r="AA27" s="45"/>
      <c r="AB27" s="32" t="str">
        <f t="shared" ref="AB27:AB39" si="20">IF(AV27="10. Issued to Contractor","-",IF(AV27="11. Subcontract Agreement signed","-",MAX(AN27,AR27)-$C$6))</f>
        <v>-</v>
      </c>
      <c r="AC27" s="16"/>
      <c r="AD27" s="131">
        <f t="shared" ref="AD27:AD39" si="21">SUM($H$7:$Y$7)</f>
        <v>95</v>
      </c>
      <c r="AE27" s="16"/>
      <c r="AF27" s="96">
        <v>11175324</v>
      </c>
      <c r="AG27" s="72"/>
      <c r="AH27" s="72">
        <v>6583325</v>
      </c>
      <c r="AI27" s="195">
        <v>4058375</v>
      </c>
      <c r="AJ27" s="73">
        <f t="shared" ref="AJ27:AJ39" si="22">IF(AI27&gt;0,SUM(AH27)-SUM(AI27),"")</f>
        <v>2524950</v>
      </c>
      <c r="AK27" s="101" t="s">
        <v>140</v>
      </c>
      <c r="AL27" s="48"/>
      <c r="AM27" s="104">
        <v>150</v>
      </c>
      <c r="AN27" s="74">
        <f t="shared" ref="AN27:AN39" si="23">$M$3+AM27-1</f>
        <v>45866</v>
      </c>
      <c r="AO27" s="108">
        <f t="shared" ref="AO27:AO38" si="24">AN27-AU27</f>
        <v>-121</v>
      </c>
      <c r="AP27" s="48"/>
      <c r="AQ27" s="110">
        <v>123</v>
      </c>
      <c r="AR27" s="75">
        <f t="shared" ref="AR27:AR38" si="25">IFERROR(WORKDAY.INTL(AN27,AQ27,11),"")</f>
        <v>46009</v>
      </c>
      <c r="AS27" s="108">
        <f t="shared" ref="AS27:AS39" si="26">AR27-AU27</f>
        <v>22</v>
      </c>
      <c r="AT27" s="48"/>
      <c r="AU27" s="114">
        <f t="shared" ref="AU27:AU39" si="27">IF(Y27&gt;0,Y27,IFERROR(MAX(_xlfn.XLOOKUP($AV27,$H$8:$Z$8,$G27:$Y27),$C$6)+(AN27-_xlfn.XLOOKUP($AV27,$H$8:$Z$8,$F27:$X27))*AD27/SUM($H$7:$Y$7),$C$6+SUM(AD27)))</f>
        <v>45987</v>
      </c>
      <c r="AV27" s="120" t="str" cm="1">
        <f t="array" ref="AV27">IF(OR(G27&gt;$C$6,G27=""),$F$8,INDEX($E$8:$Z$8,MATCH(TRUE,(F27:AA27=""),0)))</f>
        <v>11. Subcontract Agreement signed</v>
      </c>
      <c r="AW27" s="117" t="b">
        <f t="shared" ref="AW27:AW39" si="28">IF(AND(G27&gt;0,G27&lt;$C$6),TRUE,FALSE)</f>
        <v>1</v>
      </c>
      <c r="AX27" s="76" t="b">
        <f t="shared" ref="AX27:AX39" si="29">IF(AND(I27&gt;0,I27&lt;$C$6),TRUE,FALSE)</f>
        <v>1</v>
      </c>
      <c r="AY27" s="76" t="b">
        <f t="shared" ref="AY27:AY39" si="30">IF(AND(K27&gt;0,K27&lt;$C$6),TRUE,FALSE)</f>
        <v>1</v>
      </c>
      <c r="AZ27" s="76" t="b">
        <f t="shared" ref="AZ27:AZ39" si="31">IF(AND(M27&gt;0,M27&lt;$C$6),TRUE,FALSE)</f>
        <v>1</v>
      </c>
      <c r="BA27" s="76" t="b">
        <f t="shared" ref="BA27:BA39" si="32">IF(AND(O27&gt;0,O27&lt;$C$6),TRUE,FALSE)</f>
        <v>1</v>
      </c>
      <c r="BB27" s="76" t="b">
        <f t="shared" ref="BB27:BB39" si="33">IF(AND(Q27&gt;0,Q27&lt;$C$6),TRUE,FALSE)</f>
        <v>1</v>
      </c>
      <c r="BC27" s="76" t="b">
        <f t="shared" ref="BC27:BC39" si="34">IF(AND(S27&gt;0,S27&lt;$C$6),TRUE,FALSE)</f>
        <v>1</v>
      </c>
      <c r="BD27" s="76" t="b">
        <f t="shared" ref="BD27:BD39" si="35">IF(AND(U27&gt;0,U27&lt;$C$6),TRUE,FALSE)</f>
        <v>1</v>
      </c>
      <c r="BE27" s="76" t="b">
        <f t="shared" ref="BE27:BE39" si="36">IF(AND(W27&gt;0,W27&lt;$C$6),TRUE,FALSE)</f>
        <v>1</v>
      </c>
      <c r="BF27" s="76" t="b">
        <f t="shared" ref="BF27:BF39" si="37">IF(AND(Y27&gt;0,Y27&lt;$C$6),TRUE,FALSE)</f>
        <v>1</v>
      </c>
      <c r="BG27" s="90" t="b">
        <f t="shared" ref="BG27:BG39" si="38">IF(AND(AA27&gt;0,AA27&lt;$C$6),TRUE,FALSE)</f>
        <v>0</v>
      </c>
      <c r="BH27" s="146"/>
    </row>
    <row r="28" spans="1:60" ht="26.25" x14ac:dyDescent="0.25">
      <c r="A28" s="56" cm="1">
        <f t="array" ref="A28">SUMPRODUCT(($AV$10:$AV$55&lt;&gt;"")*(ROW($AV$10:$AV$55)&lt;=ROW()))</f>
        <v>14</v>
      </c>
      <c r="B28" s="57" t="s">
        <v>125</v>
      </c>
      <c r="C28" s="178" t="s">
        <v>141</v>
      </c>
      <c r="D28" s="93" t="s">
        <v>11</v>
      </c>
      <c r="E28" s="16"/>
      <c r="F28" s="29">
        <f t="shared" si="10"/>
        <v>45801</v>
      </c>
      <c r="G28" s="42">
        <v>45940</v>
      </c>
      <c r="H28" s="29">
        <f t="shared" si="11"/>
        <v>45808</v>
      </c>
      <c r="I28" s="42">
        <v>45950</v>
      </c>
      <c r="J28" s="29">
        <f t="shared" si="12"/>
        <v>45814</v>
      </c>
      <c r="K28" s="42">
        <v>45950</v>
      </c>
      <c r="L28" s="29">
        <f t="shared" si="13"/>
        <v>45817</v>
      </c>
      <c r="M28" s="42">
        <v>45987</v>
      </c>
      <c r="N28" s="29">
        <f t="shared" si="14"/>
        <v>45847</v>
      </c>
      <c r="O28" s="42"/>
      <c r="P28" s="29">
        <f t="shared" si="15"/>
        <v>45857</v>
      </c>
      <c r="Q28" s="42"/>
      <c r="R28" s="29">
        <f t="shared" si="16"/>
        <v>45877</v>
      </c>
      <c r="S28" s="42"/>
      <c r="T28" s="29">
        <f t="shared" si="17"/>
        <v>45884</v>
      </c>
      <c r="U28" s="42">
        <v>46040</v>
      </c>
      <c r="V28" s="29">
        <f t="shared" si="18"/>
        <v>45891</v>
      </c>
      <c r="W28" s="42">
        <v>46089</v>
      </c>
      <c r="X28" s="29">
        <f t="shared" si="0"/>
        <v>45896</v>
      </c>
      <c r="Y28" s="42">
        <v>46093</v>
      </c>
      <c r="Z28" s="30">
        <f t="shared" si="19"/>
        <v>45906</v>
      </c>
      <c r="AA28" s="42"/>
      <c r="AB28" s="31">
        <f t="shared" si="20"/>
        <v>-131</v>
      </c>
      <c r="AC28" s="16"/>
      <c r="AD28" s="131">
        <f t="shared" si="21"/>
        <v>95</v>
      </c>
      <c r="AE28" s="16"/>
      <c r="AF28" s="95">
        <v>14932946</v>
      </c>
      <c r="AG28" s="67"/>
      <c r="AH28" s="67">
        <v>8288395</v>
      </c>
      <c r="AI28" s="67"/>
      <c r="AJ28" s="68" t="str">
        <f t="shared" si="22"/>
        <v/>
      </c>
      <c r="AK28" s="102"/>
      <c r="AL28" s="48"/>
      <c r="AM28" s="105">
        <v>180</v>
      </c>
      <c r="AN28" s="69">
        <f t="shared" si="23"/>
        <v>45896</v>
      </c>
      <c r="AO28" s="107">
        <f t="shared" si="24"/>
        <v>-197</v>
      </c>
      <c r="AP28" s="48"/>
      <c r="AQ28" s="111">
        <v>73</v>
      </c>
      <c r="AR28" s="70">
        <f t="shared" si="25"/>
        <v>45981</v>
      </c>
      <c r="AS28" s="107">
        <f t="shared" si="26"/>
        <v>-112</v>
      </c>
      <c r="AT28" s="48"/>
      <c r="AU28" s="113">
        <f t="shared" si="27"/>
        <v>46093</v>
      </c>
      <c r="AV28" s="119" t="str" cm="1">
        <f t="array" ref="AV28">IF(OR(G28&gt;$C$6,G28=""),$F$8,INDEX($E$8:$Z$8,MATCH(TRUE,(F28:AA28=""),0)))</f>
        <v>5. Initial submission</v>
      </c>
      <c r="AW28" s="116" t="b">
        <f t="shared" si="28"/>
        <v>1</v>
      </c>
      <c r="AX28" s="71" t="b">
        <f t="shared" si="29"/>
        <v>1</v>
      </c>
      <c r="AY28" s="71" t="b">
        <f t="shared" si="30"/>
        <v>1</v>
      </c>
      <c r="AZ28" s="71" t="b">
        <f t="shared" si="31"/>
        <v>1</v>
      </c>
      <c r="BA28" s="71" t="b">
        <f t="shared" si="32"/>
        <v>0</v>
      </c>
      <c r="BB28" s="71" t="b">
        <f t="shared" si="33"/>
        <v>0</v>
      </c>
      <c r="BC28" s="71" t="b">
        <f t="shared" si="34"/>
        <v>0</v>
      </c>
      <c r="BD28" s="71" t="b">
        <f t="shared" si="35"/>
        <v>1</v>
      </c>
      <c r="BE28" s="71" t="b">
        <f t="shared" si="36"/>
        <v>1</v>
      </c>
      <c r="BF28" s="71" t="b">
        <f t="shared" si="37"/>
        <v>1</v>
      </c>
      <c r="BG28" s="89" t="b">
        <f t="shared" si="38"/>
        <v>0</v>
      </c>
      <c r="BH28" s="146"/>
    </row>
    <row r="29" spans="1:60" ht="26.25" x14ac:dyDescent="0.25">
      <c r="A29" s="56" cm="1">
        <f t="array" ref="A29">SUMPRODUCT(($AV$10:$AV$55&lt;&gt;"")*(ROW($AV$10:$AV$55)&lt;=ROW()))</f>
        <v>15</v>
      </c>
      <c r="B29" s="59" t="s">
        <v>125</v>
      </c>
      <c r="C29" s="60" t="s">
        <v>142</v>
      </c>
      <c r="D29" s="59" t="s">
        <v>11</v>
      </c>
      <c r="E29" s="43"/>
      <c r="F29" s="44">
        <f t="shared" si="10"/>
        <v>45801</v>
      </c>
      <c r="G29" s="45">
        <v>45940</v>
      </c>
      <c r="H29" s="44">
        <f t="shared" si="11"/>
        <v>45808</v>
      </c>
      <c r="I29" s="45">
        <v>45950</v>
      </c>
      <c r="J29" s="44">
        <f t="shared" si="12"/>
        <v>45814</v>
      </c>
      <c r="K29" s="45">
        <v>45950</v>
      </c>
      <c r="L29" s="44">
        <f t="shared" si="13"/>
        <v>45817</v>
      </c>
      <c r="M29" s="45">
        <v>46055</v>
      </c>
      <c r="N29" s="44">
        <f t="shared" si="14"/>
        <v>45847</v>
      </c>
      <c r="O29" s="45"/>
      <c r="P29" s="44">
        <f t="shared" si="15"/>
        <v>45857</v>
      </c>
      <c r="Q29" s="45"/>
      <c r="R29" s="44">
        <f t="shared" si="16"/>
        <v>45877</v>
      </c>
      <c r="S29" s="45"/>
      <c r="T29" s="44">
        <f t="shared" si="17"/>
        <v>45884</v>
      </c>
      <c r="U29" s="45">
        <v>46040</v>
      </c>
      <c r="V29" s="44">
        <f t="shared" si="18"/>
        <v>45891</v>
      </c>
      <c r="W29" s="45"/>
      <c r="X29" s="44">
        <f t="shared" si="0"/>
        <v>45896</v>
      </c>
      <c r="Y29" s="45"/>
      <c r="Z29" s="46">
        <f t="shared" si="19"/>
        <v>45906</v>
      </c>
      <c r="AA29" s="45"/>
      <c r="AB29" s="32">
        <f t="shared" si="20"/>
        <v>-91</v>
      </c>
      <c r="AC29" s="16"/>
      <c r="AD29" s="131">
        <f t="shared" si="21"/>
        <v>95</v>
      </c>
      <c r="AE29" s="16"/>
      <c r="AF29" s="96">
        <v>2767418</v>
      </c>
      <c r="AG29" s="72"/>
      <c r="AH29" s="72">
        <v>1450786</v>
      </c>
      <c r="AI29" s="195">
        <v>1342120.7</v>
      </c>
      <c r="AJ29" s="73">
        <f t="shared" si="22"/>
        <v>108665.30000000005</v>
      </c>
      <c r="AK29" s="101" t="s">
        <v>143</v>
      </c>
      <c r="AL29" s="48"/>
      <c r="AM29" s="104">
        <v>180</v>
      </c>
      <c r="AN29" s="74">
        <f t="shared" si="23"/>
        <v>45896</v>
      </c>
      <c r="AO29" s="108">
        <f t="shared" si="24"/>
        <v>-295</v>
      </c>
      <c r="AP29" s="48"/>
      <c r="AQ29" s="110">
        <v>107</v>
      </c>
      <c r="AR29" s="75">
        <f t="shared" si="25"/>
        <v>46021</v>
      </c>
      <c r="AS29" s="108">
        <f t="shared" si="26"/>
        <v>-170</v>
      </c>
      <c r="AT29" s="48"/>
      <c r="AU29" s="114">
        <f t="shared" si="27"/>
        <v>46191</v>
      </c>
      <c r="AV29" s="120" t="str" cm="1">
        <f t="array" ref="AV29">IF(OR(G29&gt;$C$6,G29=""),$F$8,INDEX($E$8:$Z$8,MATCH(TRUE,(F29:AA29=""),0)))</f>
        <v>5. Initial submission</v>
      </c>
      <c r="AW29" s="117" t="b">
        <f t="shared" si="28"/>
        <v>1</v>
      </c>
      <c r="AX29" s="76" t="b">
        <f t="shared" si="29"/>
        <v>1</v>
      </c>
      <c r="AY29" s="76" t="b">
        <f t="shared" si="30"/>
        <v>1</v>
      </c>
      <c r="AZ29" s="76" t="b">
        <f t="shared" si="31"/>
        <v>1</v>
      </c>
      <c r="BA29" s="76" t="b">
        <f t="shared" si="32"/>
        <v>0</v>
      </c>
      <c r="BB29" s="76" t="b">
        <f t="shared" si="33"/>
        <v>0</v>
      </c>
      <c r="BC29" s="76" t="b">
        <f t="shared" si="34"/>
        <v>0</v>
      </c>
      <c r="BD29" s="76" t="b">
        <f t="shared" si="35"/>
        <v>1</v>
      </c>
      <c r="BE29" s="76" t="b">
        <f t="shared" si="36"/>
        <v>0</v>
      </c>
      <c r="BF29" s="76" t="b">
        <f t="shared" si="37"/>
        <v>0</v>
      </c>
      <c r="BG29" s="90" t="b">
        <f t="shared" si="38"/>
        <v>0</v>
      </c>
      <c r="BH29" s="146"/>
    </row>
    <row r="30" spans="1:60" ht="30" x14ac:dyDescent="0.25">
      <c r="A30" s="56" cm="1">
        <f t="array" ref="A30">SUMPRODUCT(($AV$10:$AV$55&lt;&gt;"")*(ROW($AV$10:$AV$55)&lt;=ROW()))</f>
        <v>16</v>
      </c>
      <c r="B30" s="57" t="s">
        <v>125</v>
      </c>
      <c r="C30" s="58" t="s">
        <v>144</v>
      </c>
      <c r="D30" s="93" t="s">
        <v>11</v>
      </c>
      <c r="E30" s="16"/>
      <c r="F30" s="29">
        <f t="shared" si="10"/>
        <v>45801</v>
      </c>
      <c r="G30" s="42">
        <v>45940</v>
      </c>
      <c r="H30" s="29">
        <f t="shared" si="11"/>
        <v>45808</v>
      </c>
      <c r="I30" s="42">
        <v>45950</v>
      </c>
      <c r="J30" s="29">
        <f t="shared" si="12"/>
        <v>45814</v>
      </c>
      <c r="K30" s="42">
        <v>45950</v>
      </c>
      <c r="L30" s="29">
        <f t="shared" si="13"/>
        <v>45817</v>
      </c>
      <c r="M30" s="42">
        <v>46008</v>
      </c>
      <c r="N30" s="29">
        <f t="shared" si="14"/>
        <v>45847</v>
      </c>
      <c r="O30" s="42"/>
      <c r="P30" s="29">
        <f t="shared" si="15"/>
        <v>45857</v>
      </c>
      <c r="Q30" s="42"/>
      <c r="R30" s="29">
        <f t="shared" si="16"/>
        <v>45877</v>
      </c>
      <c r="S30" s="42"/>
      <c r="T30" s="29">
        <f t="shared" si="17"/>
        <v>45884</v>
      </c>
      <c r="U30" s="42">
        <v>46040</v>
      </c>
      <c r="V30" s="29">
        <f t="shared" si="18"/>
        <v>45891</v>
      </c>
      <c r="W30" s="42"/>
      <c r="X30" s="29">
        <f t="shared" si="0"/>
        <v>45896</v>
      </c>
      <c r="Y30" s="42"/>
      <c r="Z30" s="30">
        <f t="shared" si="19"/>
        <v>45906</v>
      </c>
      <c r="AA30" s="42"/>
      <c r="AB30" s="31">
        <f t="shared" si="20"/>
        <v>-154</v>
      </c>
      <c r="AC30" s="16"/>
      <c r="AD30" s="131">
        <f t="shared" si="21"/>
        <v>95</v>
      </c>
      <c r="AE30" s="16"/>
      <c r="AF30" s="95">
        <v>7543646</v>
      </c>
      <c r="AG30" s="67"/>
      <c r="AH30" s="67">
        <v>9358326</v>
      </c>
      <c r="AI30" s="194">
        <v>9994515</v>
      </c>
      <c r="AJ30" s="68">
        <f t="shared" si="22"/>
        <v>-636189</v>
      </c>
      <c r="AK30" s="102" t="s">
        <v>147</v>
      </c>
      <c r="AL30" s="48"/>
      <c r="AM30" s="105">
        <v>180</v>
      </c>
      <c r="AN30" s="69">
        <f t="shared" si="23"/>
        <v>45896</v>
      </c>
      <c r="AO30" s="107">
        <f t="shared" si="24"/>
        <v>-295</v>
      </c>
      <c r="AP30" s="48"/>
      <c r="AQ30" s="111">
        <v>53</v>
      </c>
      <c r="AR30" s="70">
        <f t="shared" si="25"/>
        <v>45958</v>
      </c>
      <c r="AS30" s="107">
        <f t="shared" si="26"/>
        <v>-233</v>
      </c>
      <c r="AT30" s="48"/>
      <c r="AU30" s="113">
        <f t="shared" si="27"/>
        <v>46191</v>
      </c>
      <c r="AV30" s="119" t="str" cm="1">
        <f t="array" ref="AV30">IF(OR(G30&gt;$C$6,G30=""),$F$8,INDEX($E$8:$Z$8,MATCH(TRUE,(F30:AA30=""),0)))</f>
        <v>5. Initial submission</v>
      </c>
      <c r="AW30" s="116" t="b">
        <f t="shared" si="28"/>
        <v>1</v>
      </c>
      <c r="AX30" s="71" t="b">
        <f t="shared" si="29"/>
        <v>1</v>
      </c>
      <c r="AY30" s="71" t="b">
        <f t="shared" si="30"/>
        <v>1</v>
      </c>
      <c r="AZ30" s="71" t="b">
        <f t="shared" si="31"/>
        <v>1</v>
      </c>
      <c r="BA30" s="71" t="b">
        <f t="shared" si="32"/>
        <v>0</v>
      </c>
      <c r="BB30" s="71" t="b">
        <f t="shared" si="33"/>
        <v>0</v>
      </c>
      <c r="BC30" s="71" t="b">
        <f t="shared" si="34"/>
        <v>0</v>
      </c>
      <c r="BD30" s="71" t="b">
        <f t="shared" si="35"/>
        <v>1</v>
      </c>
      <c r="BE30" s="71" t="b">
        <f t="shared" si="36"/>
        <v>0</v>
      </c>
      <c r="BF30" s="71" t="b">
        <f t="shared" si="37"/>
        <v>0</v>
      </c>
      <c r="BG30" s="89" t="b">
        <f t="shared" si="38"/>
        <v>0</v>
      </c>
      <c r="BH30" s="146"/>
    </row>
    <row r="31" spans="1:60" ht="26.25" x14ac:dyDescent="0.25">
      <c r="A31" s="56" cm="1">
        <f t="array" ref="A31">SUMPRODUCT(($AV$10:$AV$55&lt;&gt;"")*(ROW($AV$10:$AV$55)&lt;=ROW()))</f>
        <v>17</v>
      </c>
      <c r="B31" s="59" t="s">
        <v>125</v>
      </c>
      <c r="C31" s="60" t="s">
        <v>145</v>
      </c>
      <c r="D31" s="59" t="s">
        <v>7</v>
      </c>
      <c r="E31" s="43"/>
      <c r="F31" s="44">
        <f t="shared" si="10"/>
        <v>45801</v>
      </c>
      <c r="G31" s="45">
        <v>45940</v>
      </c>
      <c r="H31" s="44">
        <f t="shared" si="11"/>
        <v>45808</v>
      </c>
      <c r="I31" s="45">
        <v>45950</v>
      </c>
      <c r="J31" s="44">
        <f t="shared" si="12"/>
        <v>45814</v>
      </c>
      <c r="K31" s="45">
        <v>45950</v>
      </c>
      <c r="L31" s="44">
        <f t="shared" si="13"/>
        <v>45817</v>
      </c>
      <c r="M31" s="45">
        <v>46008</v>
      </c>
      <c r="N31" s="44">
        <f t="shared" si="14"/>
        <v>45847</v>
      </c>
      <c r="O31" s="45"/>
      <c r="P31" s="44">
        <f t="shared" si="15"/>
        <v>45857</v>
      </c>
      <c r="Q31" s="45"/>
      <c r="R31" s="44">
        <f t="shared" si="16"/>
        <v>45877</v>
      </c>
      <c r="S31" s="45"/>
      <c r="T31" s="44">
        <f t="shared" si="17"/>
        <v>45884</v>
      </c>
      <c r="U31" s="45">
        <v>46040</v>
      </c>
      <c r="V31" s="44">
        <f t="shared" si="18"/>
        <v>45891</v>
      </c>
      <c r="W31" s="45"/>
      <c r="X31" s="44">
        <f t="shared" si="0"/>
        <v>45896</v>
      </c>
      <c r="Y31" s="45"/>
      <c r="Z31" s="46">
        <f t="shared" si="19"/>
        <v>45906</v>
      </c>
      <c r="AA31" s="45"/>
      <c r="AB31" s="32">
        <f t="shared" si="20"/>
        <v>-137</v>
      </c>
      <c r="AC31" s="16"/>
      <c r="AD31" s="131">
        <f t="shared" si="21"/>
        <v>95</v>
      </c>
      <c r="AE31" s="16"/>
      <c r="AF31" s="96">
        <v>1276486</v>
      </c>
      <c r="AG31" s="72"/>
      <c r="AH31" s="72">
        <v>691725</v>
      </c>
      <c r="AI31" s="72"/>
      <c r="AJ31" s="73" t="str">
        <f t="shared" si="22"/>
        <v/>
      </c>
      <c r="AK31" s="101"/>
      <c r="AL31" s="48"/>
      <c r="AM31" s="104">
        <v>180</v>
      </c>
      <c r="AN31" s="74">
        <f t="shared" si="23"/>
        <v>45896</v>
      </c>
      <c r="AO31" s="108">
        <f t="shared" si="24"/>
        <v>-295</v>
      </c>
      <c r="AP31" s="48"/>
      <c r="AQ31" s="110">
        <v>68</v>
      </c>
      <c r="AR31" s="75">
        <f t="shared" si="25"/>
        <v>45975</v>
      </c>
      <c r="AS31" s="108">
        <f t="shared" si="26"/>
        <v>-216</v>
      </c>
      <c r="AT31" s="48"/>
      <c r="AU31" s="114">
        <f t="shared" si="27"/>
        <v>46191</v>
      </c>
      <c r="AV31" s="120" t="str" cm="1">
        <f t="array" ref="AV31">IF(OR(G31&gt;$C$6,G31=""),$F$8,INDEX($E$8:$Z$8,MATCH(TRUE,(F31:AA31=""),0)))</f>
        <v>5. Initial submission</v>
      </c>
      <c r="AW31" s="117" t="b">
        <f t="shared" si="28"/>
        <v>1</v>
      </c>
      <c r="AX31" s="76" t="b">
        <f t="shared" si="29"/>
        <v>1</v>
      </c>
      <c r="AY31" s="76" t="b">
        <f t="shared" si="30"/>
        <v>1</v>
      </c>
      <c r="AZ31" s="76" t="b">
        <f t="shared" si="31"/>
        <v>1</v>
      </c>
      <c r="BA31" s="76" t="b">
        <f t="shared" si="32"/>
        <v>0</v>
      </c>
      <c r="BB31" s="76" t="b">
        <f t="shared" si="33"/>
        <v>0</v>
      </c>
      <c r="BC31" s="76" t="b">
        <f t="shared" si="34"/>
        <v>0</v>
      </c>
      <c r="BD31" s="76" t="b">
        <f t="shared" si="35"/>
        <v>1</v>
      </c>
      <c r="BE31" s="76" t="b">
        <f t="shared" si="36"/>
        <v>0</v>
      </c>
      <c r="BF31" s="76" t="b">
        <f t="shared" si="37"/>
        <v>0</v>
      </c>
      <c r="BG31" s="90" t="b">
        <f t="shared" si="38"/>
        <v>0</v>
      </c>
      <c r="BH31" s="146"/>
    </row>
    <row r="32" spans="1:60" ht="45" x14ac:dyDescent="0.25">
      <c r="A32" s="56" cm="1">
        <f t="array" ref="A32">SUMPRODUCT(($AV$10:$AV$55&lt;&gt;"")*(ROW($AV$10:$AV$55)&lt;=ROW()))</f>
        <v>18</v>
      </c>
      <c r="B32" s="57" t="s">
        <v>125</v>
      </c>
      <c r="C32" s="58" t="s">
        <v>146</v>
      </c>
      <c r="D32" s="93" t="s">
        <v>11</v>
      </c>
      <c r="E32" s="16"/>
      <c r="F32" s="29">
        <f t="shared" si="10"/>
        <v>45801</v>
      </c>
      <c r="G32" s="42">
        <v>45940</v>
      </c>
      <c r="H32" s="29">
        <f t="shared" si="11"/>
        <v>45808</v>
      </c>
      <c r="I32" s="42">
        <v>45950</v>
      </c>
      <c r="J32" s="29">
        <f t="shared" si="12"/>
        <v>45814</v>
      </c>
      <c r="K32" s="42">
        <v>45950</v>
      </c>
      <c r="L32" s="29">
        <f t="shared" si="13"/>
        <v>45817</v>
      </c>
      <c r="M32" s="42">
        <v>46008</v>
      </c>
      <c r="N32" s="29">
        <f t="shared" si="14"/>
        <v>45847</v>
      </c>
      <c r="O32" s="42"/>
      <c r="P32" s="29">
        <f t="shared" si="15"/>
        <v>45857</v>
      </c>
      <c r="Q32" s="42"/>
      <c r="R32" s="29">
        <f t="shared" si="16"/>
        <v>45877</v>
      </c>
      <c r="S32" s="42"/>
      <c r="T32" s="29">
        <f t="shared" si="17"/>
        <v>45884</v>
      </c>
      <c r="U32" s="42"/>
      <c r="V32" s="29">
        <f t="shared" si="18"/>
        <v>45891</v>
      </c>
      <c r="W32" s="42"/>
      <c r="X32" s="29">
        <f t="shared" si="0"/>
        <v>45896</v>
      </c>
      <c r="Y32" s="42"/>
      <c r="Z32" s="30">
        <f t="shared" si="19"/>
        <v>45906</v>
      </c>
      <c r="AA32" s="42"/>
      <c r="AB32" s="31">
        <f t="shared" si="20"/>
        <v>-159</v>
      </c>
      <c r="AC32" s="16"/>
      <c r="AD32" s="131">
        <f t="shared" si="21"/>
        <v>95</v>
      </c>
      <c r="AE32" s="16"/>
      <c r="AF32" s="95">
        <v>1444352</v>
      </c>
      <c r="AG32" s="67"/>
      <c r="AH32" s="67">
        <v>733700</v>
      </c>
      <c r="AI32" s="67" t="s">
        <v>450</v>
      </c>
      <c r="AJ32" s="68">
        <f t="shared" si="22"/>
        <v>733700</v>
      </c>
      <c r="AK32" s="102" t="s">
        <v>147</v>
      </c>
      <c r="AL32" s="48"/>
      <c r="AM32" s="105">
        <v>180</v>
      </c>
      <c r="AN32" s="69">
        <f t="shared" si="23"/>
        <v>45896</v>
      </c>
      <c r="AO32" s="107">
        <f t="shared" si="24"/>
        <v>-295</v>
      </c>
      <c r="AP32" s="48"/>
      <c r="AQ32" s="111">
        <v>49</v>
      </c>
      <c r="AR32" s="70">
        <f t="shared" si="25"/>
        <v>45953</v>
      </c>
      <c r="AS32" s="107">
        <f t="shared" si="26"/>
        <v>-238</v>
      </c>
      <c r="AT32" s="48"/>
      <c r="AU32" s="113">
        <f t="shared" si="27"/>
        <v>46191</v>
      </c>
      <c r="AV32" s="119" t="str" cm="1">
        <f t="array" ref="AV32">IF(OR(G32&gt;$C$6,G32=""),$F$8,INDEX($E$8:$Z$8,MATCH(TRUE,(F32:AA32=""),0)))</f>
        <v>5. Initial submission</v>
      </c>
      <c r="AW32" s="116" t="b">
        <f t="shared" si="28"/>
        <v>1</v>
      </c>
      <c r="AX32" s="71" t="b">
        <f t="shared" si="29"/>
        <v>1</v>
      </c>
      <c r="AY32" s="71" t="b">
        <f t="shared" si="30"/>
        <v>1</v>
      </c>
      <c r="AZ32" s="71" t="b">
        <f t="shared" si="31"/>
        <v>1</v>
      </c>
      <c r="BA32" s="71" t="b">
        <f t="shared" si="32"/>
        <v>0</v>
      </c>
      <c r="BB32" s="71" t="b">
        <f t="shared" si="33"/>
        <v>0</v>
      </c>
      <c r="BC32" s="71" t="b">
        <f t="shared" si="34"/>
        <v>0</v>
      </c>
      <c r="BD32" s="71" t="b">
        <f t="shared" si="35"/>
        <v>0</v>
      </c>
      <c r="BE32" s="71" t="b">
        <f t="shared" si="36"/>
        <v>0</v>
      </c>
      <c r="BF32" s="71" t="b">
        <f t="shared" si="37"/>
        <v>0</v>
      </c>
      <c r="BG32" s="89" t="b">
        <f t="shared" si="38"/>
        <v>0</v>
      </c>
      <c r="BH32" s="146"/>
    </row>
    <row r="33" spans="1:60" ht="26.25" x14ac:dyDescent="0.25">
      <c r="A33" s="56" cm="1">
        <f t="array" ref="A33">SUMPRODUCT(($AV$10:$AV$55&lt;&gt;"")*(ROW($AV$10:$AV$55)&lt;=ROW()))</f>
        <v>19</v>
      </c>
      <c r="B33" s="59" t="s">
        <v>125</v>
      </c>
      <c r="C33" s="60" t="s">
        <v>148</v>
      </c>
      <c r="D33" s="59" t="s">
        <v>11</v>
      </c>
      <c r="E33" s="43"/>
      <c r="F33" s="44">
        <f t="shared" si="10"/>
        <v>45801</v>
      </c>
      <c r="G33" s="45">
        <v>45940</v>
      </c>
      <c r="H33" s="44">
        <f t="shared" si="11"/>
        <v>45808</v>
      </c>
      <c r="I33" s="45">
        <v>45950</v>
      </c>
      <c r="J33" s="44">
        <f t="shared" si="12"/>
        <v>45814</v>
      </c>
      <c r="K33" s="45">
        <v>45950</v>
      </c>
      <c r="L33" s="44">
        <f t="shared" si="13"/>
        <v>45817</v>
      </c>
      <c r="M33" s="45">
        <v>46008</v>
      </c>
      <c r="N33" s="44">
        <f t="shared" si="14"/>
        <v>45847</v>
      </c>
      <c r="O33" s="45"/>
      <c r="P33" s="44">
        <f t="shared" si="15"/>
        <v>45857</v>
      </c>
      <c r="Q33" s="45"/>
      <c r="R33" s="44">
        <f t="shared" si="16"/>
        <v>45877</v>
      </c>
      <c r="S33" s="45"/>
      <c r="T33" s="44">
        <f t="shared" si="17"/>
        <v>45884</v>
      </c>
      <c r="U33" s="45">
        <v>46040</v>
      </c>
      <c r="V33" s="44">
        <f t="shared" si="18"/>
        <v>45891</v>
      </c>
      <c r="W33" s="45"/>
      <c r="X33" s="44">
        <f t="shared" si="0"/>
        <v>45896</v>
      </c>
      <c r="Y33" s="45"/>
      <c r="Z33" s="46">
        <f t="shared" si="19"/>
        <v>45906</v>
      </c>
      <c r="AA33" s="45"/>
      <c r="AB33" s="32">
        <f t="shared" si="20"/>
        <v>-148</v>
      </c>
      <c r="AC33" s="16"/>
      <c r="AD33" s="131">
        <f t="shared" si="21"/>
        <v>95</v>
      </c>
      <c r="AE33" s="16"/>
      <c r="AF33" s="96">
        <v>1145959</v>
      </c>
      <c r="AG33" s="72"/>
      <c r="AH33" s="72">
        <v>971726</v>
      </c>
      <c r="AI33" s="72" t="s">
        <v>450</v>
      </c>
      <c r="AJ33" s="72">
        <f t="shared" ref="AJ33" si="39">IF(AI33&gt;0,SUM(AH33)-SUM(AI33),"")</f>
        <v>971726</v>
      </c>
      <c r="AK33" s="171" t="s">
        <v>147</v>
      </c>
      <c r="AL33" s="48"/>
      <c r="AM33" s="104">
        <v>180</v>
      </c>
      <c r="AN33" s="74">
        <f t="shared" si="23"/>
        <v>45896</v>
      </c>
      <c r="AO33" s="108">
        <f t="shared" si="24"/>
        <v>-295</v>
      </c>
      <c r="AP33" s="48"/>
      <c r="AQ33" s="110">
        <v>58</v>
      </c>
      <c r="AR33" s="75">
        <f t="shared" si="25"/>
        <v>45964</v>
      </c>
      <c r="AS33" s="108">
        <f t="shared" si="26"/>
        <v>-227</v>
      </c>
      <c r="AT33" s="48"/>
      <c r="AU33" s="114">
        <f t="shared" si="27"/>
        <v>46191</v>
      </c>
      <c r="AV33" s="120" t="str" cm="1">
        <f t="array" ref="AV33">IF(OR(G33&gt;$C$6,G33=""),$F$8,INDEX($E$8:$Z$8,MATCH(TRUE,(F33:AA33=""),0)))</f>
        <v>5. Initial submission</v>
      </c>
      <c r="AW33" s="117" t="b">
        <f t="shared" si="28"/>
        <v>1</v>
      </c>
      <c r="AX33" s="76" t="b">
        <f t="shared" si="29"/>
        <v>1</v>
      </c>
      <c r="AY33" s="76" t="b">
        <f t="shared" si="30"/>
        <v>1</v>
      </c>
      <c r="AZ33" s="76" t="b">
        <f t="shared" si="31"/>
        <v>1</v>
      </c>
      <c r="BA33" s="76" t="b">
        <f t="shared" si="32"/>
        <v>0</v>
      </c>
      <c r="BB33" s="76" t="b">
        <f t="shared" si="33"/>
        <v>0</v>
      </c>
      <c r="BC33" s="76" t="b">
        <f t="shared" si="34"/>
        <v>0</v>
      </c>
      <c r="BD33" s="76" t="b">
        <f t="shared" si="35"/>
        <v>1</v>
      </c>
      <c r="BE33" s="76" t="b">
        <f t="shared" si="36"/>
        <v>0</v>
      </c>
      <c r="BF33" s="76" t="b">
        <f t="shared" si="37"/>
        <v>0</v>
      </c>
      <c r="BG33" s="90" t="b">
        <f t="shared" si="38"/>
        <v>0</v>
      </c>
      <c r="BH33" s="146"/>
    </row>
    <row r="34" spans="1:60" ht="26.25" x14ac:dyDescent="0.25">
      <c r="A34" s="56" cm="1">
        <f t="array" ref="A34">SUMPRODUCT(($AV$10:$AV$55&lt;&gt;"")*(ROW($AV$10:$AV$55)&lt;=ROW()))</f>
        <v>20</v>
      </c>
      <c r="B34" s="57" t="s">
        <v>125</v>
      </c>
      <c r="C34" s="177" t="s">
        <v>149</v>
      </c>
      <c r="D34" s="93" t="s">
        <v>11</v>
      </c>
      <c r="E34" s="16"/>
      <c r="F34" s="29">
        <f t="shared" si="10"/>
        <v>45801</v>
      </c>
      <c r="G34" s="42">
        <v>45940</v>
      </c>
      <c r="H34" s="29">
        <f t="shared" si="11"/>
        <v>45808</v>
      </c>
      <c r="I34" s="42">
        <v>45950</v>
      </c>
      <c r="J34" s="29">
        <f t="shared" si="12"/>
        <v>45814</v>
      </c>
      <c r="K34" s="42">
        <v>45950</v>
      </c>
      <c r="L34" s="29">
        <f t="shared" si="13"/>
        <v>45817</v>
      </c>
      <c r="M34" s="42"/>
      <c r="N34" s="29">
        <f t="shared" si="14"/>
        <v>45847</v>
      </c>
      <c r="O34" s="42"/>
      <c r="P34" s="29">
        <f t="shared" si="15"/>
        <v>45857</v>
      </c>
      <c r="Q34" s="42"/>
      <c r="R34" s="29">
        <f t="shared" si="16"/>
        <v>45877</v>
      </c>
      <c r="S34" s="42"/>
      <c r="T34" s="29">
        <f t="shared" si="17"/>
        <v>45884</v>
      </c>
      <c r="U34" s="42"/>
      <c r="V34" s="29">
        <f t="shared" si="18"/>
        <v>45891</v>
      </c>
      <c r="W34" s="42"/>
      <c r="X34" s="29">
        <f t="shared" si="0"/>
        <v>45896</v>
      </c>
      <c r="Y34" s="42"/>
      <c r="Z34" s="30">
        <f t="shared" si="19"/>
        <v>45906</v>
      </c>
      <c r="AA34" s="42"/>
      <c r="AB34" s="31">
        <f t="shared" si="20"/>
        <v>-82</v>
      </c>
      <c r="AC34" s="16"/>
      <c r="AD34" s="131">
        <f t="shared" si="21"/>
        <v>95</v>
      </c>
      <c r="AE34" s="16"/>
      <c r="AF34" s="95">
        <v>193990</v>
      </c>
      <c r="AG34" s="67"/>
      <c r="AH34" s="67">
        <v>104120</v>
      </c>
      <c r="AI34" s="67"/>
      <c r="AJ34" s="68" t="str">
        <f t="shared" si="22"/>
        <v/>
      </c>
      <c r="AK34" s="102"/>
      <c r="AL34" s="48"/>
      <c r="AM34" s="105">
        <v>180</v>
      </c>
      <c r="AN34" s="69">
        <f t="shared" si="23"/>
        <v>45896</v>
      </c>
      <c r="AO34" s="107">
        <f t="shared" si="24"/>
        <v>-298</v>
      </c>
      <c r="AP34" s="48"/>
      <c r="AQ34" s="111">
        <v>115</v>
      </c>
      <c r="AR34" s="70">
        <f t="shared" si="25"/>
        <v>46030</v>
      </c>
      <c r="AS34" s="107">
        <f t="shared" si="26"/>
        <v>-164</v>
      </c>
      <c r="AT34" s="48"/>
      <c r="AU34" s="113">
        <f t="shared" si="27"/>
        <v>46194</v>
      </c>
      <c r="AV34" s="119" t="str" cm="1">
        <f t="array" ref="AV34">IF(OR(G34&gt;$C$6,G34=""),$F$8,INDEX($E$8:$Z$8,MATCH(TRUE,(F34:AA34=""),0)))</f>
        <v>4. Tender Float</v>
      </c>
      <c r="AW34" s="116" t="b">
        <f t="shared" si="28"/>
        <v>1</v>
      </c>
      <c r="AX34" s="71" t="b">
        <f t="shared" si="29"/>
        <v>1</v>
      </c>
      <c r="AY34" s="71" t="b">
        <f t="shared" si="30"/>
        <v>1</v>
      </c>
      <c r="AZ34" s="71" t="b">
        <f t="shared" si="31"/>
        <v>0</v>
      </c>
      <c r="BA34" s="71" t="b">
        <f t="shared" si="32"/>
        <v>0</v>
      </c>
      <c r="BB34" s="71" t="b">
        <f t="shared" si="33"/>
        <v>0</v>
      </c>
      <c r="BC34" s="71" t="b">
        <f t="shared" si="34"/>
        <v>0</v>
      </c>
      <c r="BD34" s="71" t="b">
        <f t="shared" si="35"/>
        <v>0</v>
      </c>
      <c r="BE34" s="71" t="b">
        <f t="shared" si="36"/>
        <v>0</v>
      </c>
      <c r="BF34" s="71" t="b">
        <f t="shared" si="37"/>
        <v>0</v>
      </c>
      <c r="BG34" s="89" t="b">
        <f t="shared" si="38"/>
        <v>0</v>
      </c>
      <c r="BH34" s="146"/>
    </row>
    <row r="35" spans="1:60" ht="26.25" x14ac:dyDescent="0.25">
      <c r="A35" s="56" cm="1">
        <f t="array" ref="A35">SUMPRODUCT(($AV$10:$AV$55&lt;&gt;"")*(ROW($AV$10:$AV$55)&lt;=ROW()))</f>
        <v>21</v>
      </c>
      <c r="B35" s="59" t="s">
        <v>150</v>
      </c>
      <c r="C35" s="177" t="s">
        <v>151</v>
      </c>
      <c r="D35" s="59" t="s">
        <v>11</v>
      </c>
      <c r="E35" s="43"/>
      <c r="F35" s="44">
        <f t="shared" si="10"/>
        <v>45921</v>
      </c>
      <c r="G35" s="45">
        <v>45940</v>
      </c>
      <c r="H35" s="44">
        <f t="shared" si="11"/>
        <v>45928</v>
      </c>
      <c r="I35" s="45">
        <v>45950</v>
      </c>
      <c r="J35" s="44">
        <f t="shared" si="12"/>
        <v>45934</v>
      </c>
      <c r="K35" s="45">
        <v>45950</v>
      </c>
      <c r="L35" s="44">
        <f t="shared" si="13"/>
        <v>45937</v>
      </c>
      <c r="M35" s="45">
        <v>46048</v>
      </c>
      <c r="N35" s="44">
        <f t="shared" si="14"/>
        <v>45967</v>
      </c>
      <c r="O35" s="45"/>
      <c r="P35" s="44">
        <f t="shared" si="15"/>
        <v>45977</v>
      </c>
      <c r="Q35" s="45"/>
      <c r="R35" s="44">
        <f t="shared" si="16"/>
        <v>45997</v>
      </c>
      <c r="S35" s="45"/>
      <c r="T35" s="44">
        <f t="shared" si="17"/>
        <v>46004</v>
      </c>
      <c r="U35" s="45"/>
      <c r="V35" s="44">
        <f t="shared" si="18"/>
        <v>46011</v>
      </c>
      <c r="W35" s="45"/>
      <c r="X35" s="44">
        <f t="shared" si="0"/>
        <v>46016</v>
      </c>
      <c r="Y35" s="45"/>
      <c r="Z35" s="46">
        <f t="shared" si="19"/>
        <v>46026</v>
      </c>
      <c r="AA35" s="45"/>
      <c r="AB35" s="32">
        <f t="shared" si="20"/>
        <v>-19</v>
      </c>
      <c r="AC35" s="16"/>
      <c r="AD35" s="131">
        <f t="shared" si="21"/>
        <v>95</v>
      </c>
      <c r="AE35" s="16"/>
      <c r="AF35" s="96">
        <v>168780</v>
      </c>
      <c r="AG35" s="72"/>
      <c r="AH35" s="72">
        <v>91554</v>
      </c>
      <c r="AI35" s="72"/>
      <c r="AJ35" s="73" t="str">
        <f t="shared" si="22"/>
        <v/>
      </c>
      <c r="AK35" s="101"/>
      <c r="AL35" s="48"/>
      <c r="AM35" s="104">
        <v>300</v>
      </c>
      <c r="AN35" s="74">
        <f t="shared" si="23"/>
        <v>46016</v>
      </c>
      <c r="AO35" s="108">
        <f t="shared" si="24"/>
        <v>-175</v>
      </c>
      <c r="AP35" s="48"/>
      <c r="AQ35" s="110">
        <v>66</v>
      </c>
      <c r="AR35" s="75">
        <f t="shared" si="25"/>
        <v>46093</v>
      </c>
      <c r="AS35" s="108">
        <f t="shared" si="26"/>
        <v>-98</v>
      </c>
      <c r="AT35" s="48"/>
      <c r="AU35" s="114">
        <f t="shared" si="27"/>
        <v>46191</v>
      </c>
      <c r="AV35" s="120" t="str" cm="1">
        <f t="array" ref="AV35">IF(OR(G35&gt;$C$6,G35=""),$F$8,INDEX($E$8:$Z$8,MATCH(TRUE,(F35:AA35=""),0)))</f>
        <v>5. Initial submission</v>
      </c>
      <c r="AW35" s="117" t="b">
        <f t="shared" si="28"/>
        <v>1</v>
      </c>
      <c r="AX35" s="76" t="b">
        <f t="shared" si="29"/>
        <v>1</v>
      </c>
      <c r="AY35" s="76" t="b">
        <f t="shared" si="30"/>
        <v>1</v>
      </c>
      <c r="AZ35" s="76" t="b">
        <f t="shared" si="31"/>
        <v>1</v>
      </c>
      <c r="BA35" s="76" t="b">
        <f t="shared" si="32"/>
        <v>0</v>
      </c>
      <c r="BB35" s="76" t="b">
        <f t="shared" si="33"/>
        <v>0</v>
      </c>
      <c r="BC35" s="76" t="b">
        <f t="shared" si="34"/>
        <v>0</v>
      </c>
      <c r="BD35" s="76" t="b">
        <f t="shared" si="35"/>
        <v>0</v>
      </c>
      <c r="BE35" s="76" t="b">
        <f t="shared" si="36"/>
        <v>0</v>
      </c>
      <c r="BF35" s="76" t="b">
        <f t="shared" si="37"/>
        <v>0</v>
      </c>
      <c r="BG35" s="90" t="b">
        <f t="shared" si="38"/>
        <v>0</v>
      </c>
      <c r="BH35" s="146"/>
    </row>
    <row r="36" spans="1:60" ht="30" x14ac:dyDescent="0.25">
      <c r="A36" s="56" cm="1">
        <f t="array" ref="A36">SUMPRODUCT(($AV$10:$AV$55&lt;&gt;"")*(ROW($AV$10:$AV$55)&lt;=ROW()))</f>
        <v>22</v>
      </c>
      <c r="B36" s="57" t="s">
        <v>150</v>
      </c>
      <c r="C36" s="187" t="s">
        <v>152</v>
      </c>
      <c r="D36" s="93" t="s">
        <v>11</v>
      </c>
      <c r="E36" s="16"/>
      <c r="F36" s="29">
        <f t="shared" si="10"/>
        <v>45921</v>
      </c>
      <c r="G36" s="42">
        <v>45940</v>
      </c>
      <c r="H36" s="29">
        <f t="shared" si="11"/>
        <v>45928</v>
      </c>
      <c r="I36" s="42">
        <v>45950</v>
      </c>
      <c r="J36" s="29">
        <f t="shared" si="12"/>
        <v>45934</v>
      </c>
      <c r="K36" s="42">
        <v>45950</v>
      </c>
      <c r="L36" s="29">
        <f t="shared" si="13"/>
        <v>45937</v>
      </c>
      <c r="M36" s="42">
        <v>46048</v>
      </c>
      <c r="N36" s="29">
        <f t="shared" si="14"/>
        <v>45967</v>
      </c>
      <c r="O36" s="42"/>
      <c r="P36" s="29">
        <f t="shared" si="15"/>
        <v>45977</v>
      </c>
      <c r="Q36" s="42"/>
      <c r="R36" s="29">
        <f t="shared" si="16"/>
        <v>45997</v>
      </c>
      <c r="S36" s="42"/>
      <c r="T36" s="29">
        <f t="shared" si="17"/>
        <v>46004</v>
      </c>
      <c r="U36" s="42"/>
      <c r="V36" s="29">
        <f t="shared" si="18"/>
        <v>46011</v>
      </c>
      <c r="W36" s="42"/>
      <c r="X36" s="29">
        <f t="shared" si="0"/>
        <v>46016</v>
      </c>
      <c r="Y36" s="42"/>
      <c r="Z36" s="30">
        <f t="shared" si="19"/>
        <v>46026</v>
      </c>
      <c r="AA36" s="42"/>
      <c r="AB36" s="31">
        <f t="shared" si="20"/>
        <v>4</v>
      </c>
      <c r="AC36" s="16"/>
      <c r="AD36" s="131">
        <f t="shared" si="21"/>
        <v>95</v>
      </c>
      <c r="AE36" s="16"/>
      <c r="AF36" s="95">
        <v>1077763</v>
      </c>
      <c r="AG36" s="67"/>
      <c r="AH36" s="67">
        <v>691276</v>
      </c>
      <c r="AI36" s="67"/>
      <c r="AJ36" s="68" t="str">
        <f t="shared" si="22"/>
        <v/>
      </c>
      <c r="AK36" s="102"/>
      <c r="AL36" s="48"/>
      <c r="AM36" s="105">
        <v>300</v>
      </c>
      <c r="AN36" s="69">
        <f t="shared" si="23"/>
        <v>46016</v>
      </c>
      <c r="AO36" s="107">
        <f t="shared" si="24"/>
        <v>-175</v>
      </c>
      <c r="AP36" s="48"/>
      <c r="AQ36" s="111">
        <v>86</v>
      </c>
      <c r="AR36" s="70">
        <f t="shared" si="25"/>
        <v>46116</v>
      </c>
      <c r="AS36" s="107">
        <f t="shared" si="26"/>
        <v>-75</v>
      </c>
      <c r="AT36" s="48"/>
      <c r="AU36" s="113">
        <f t="shared" si="27"/>
        <v>46191</v>
      </c>
      <c r="AV36" s="119" t="str" cm="1">
        <f t="array" ref="AV36">IF(OR(G36&gt;$C$6,G36=""),$F$8,INDEX($E$8:$Z$8,MATCH(TRUE,(F36:AA36=""),0)))</f>
        <v>5. Initial submission</v>
      </c>
      <c r="AW36" s="116" t="b">
        <f t="shared" si="28"/>
        <v>1</v>
      </c>
      <c r="AX36" s="71" t="b">
        <f t="shared" si="29"/>
        <v>1</v>
      </c>
      <c r="AY36" s="71" t="b">
        <f t="shared" si="30"/>
        <v>1</v>
      </c>
      <c r="AZ36" s="71" t="b">
        <f t="shared" si="31"/>
        <v>1</v>
      </c>
      <c r="BA36" s="71" t="b">
        <f t="shared" si="32"/>
        <v>0</v>
      </c>
      <c r="BB36" s="71" t="b">
        <f t="shared" si="33"/>
        <v>0</v>
      </c>
      <c r="BC36" s="71" t="b">
        <f t="shared" si="34"/>
        <v>0</v>
      </c>
      <c r="BD36" s="71" t="b">
        <f t="shared" si="35"/>
        <v>0</v>
      </c>
      <c r="BE36" s="71" t="b">
        <f t="shared" si="36"/>
        <v>0</v>
      </c>
      <c r="BF36" s="71" t="b">
        <f t="shared" si="37"/>
        <v>0</v>
      </c>
      <c r="BG36" s="89" t="b">
        <f t="shared" si="38"/>
        <v>0</v>
      </c>
      <c r="BH36" s="146"/>
    </row>
    <row r="37" spans="1:60" ht="26.25" x14ac:dyDescent="0.25">
      <c r="A37" s="56" cm="1">
        <f t="array" ref="A37">SUMPRODUCT(($AV$10:$AV$55&lt;&gt;"")*(ROW($AV$10:$AV$55)&lt;=ROW()))</f>
        <v>23</v>
      </c>
      <c r="B37" s="59" t="s">
        <v>150</v>
      </c>
      <c r="C37" s="177" t="s">
        <v>153</v>
      </c>
      <c r="D37" s="59" t="s">
        <v>11</v>
      </c>
      <c r="E37" s="43"/>
      <c r="F37" s="44">
        <f t="shared" si="10"/>
        <v>45921</v>
      </c>
      <c r="G37" s="45">
        <v>45940</v>
      </c>
      <c r="H37" s="44">
        <f t="shared" si="11"/>
        <v>45928</v>
      </c>
      <c r="I37" s="45">
        <v>45950</v>
      </c>
      <c r="J37" s="44">
        <f t="shared" si="12"/>
        <v>45934</v>
      </c>
      <c r="K37" s="45">
        <v>45950</v>
      </c>
      <c r="L37" s="44">
        <f t="shared" si="13"/>
        <v>45937</v>
      </c>
      <c r="M37" s="45">
        <v>46048</v>
      </c>
      <c r="N37" s="44">
        <f t="shared" si="14"/>
        <v>45967</v>
      </c>
      <c r="O37" s="45"/>
      <c r="P37" s="44">
        <f t="shared" si="15"/>
        <v>45977</v>
      </c>
      <c r="Q37" s="45"/>
      <c r="R37" s="44">
        <f t="shared" si="16"/>
        <v>45997</v>
      </c>
      <c r="S37" s="45"/>
      <c r="T37" s="44">
        <f t="shared" si="17"/>
        <v>46004</v>
      </c>
      <c r="U37" s="45"/>
      <c r="V37" s="44">
        <f t="shared" si="18"/>
        <v>46011</v>
      </c>
      <c r="W37" s="45"/>
      <c r="X37" s="44">
        <f t="shared" si="0"/>
        <v>46016</v>
      </c>
      <c r="Y37" s="45"/>
      <c r="Z37" s="46">
        <f t="shared" si="19"/>
        <v>46026</v>
      </c>
      <c r="AA37" s="45"/>
      <c r="AB37" s="32">
        <f t="shared" si="20"/>
        <v>181</v>
      </c>
      <c r="AC37" s="16"/>
      <c r="AD37" s="131">
        <f t="shared" si="21"/>
        <v>95</v>
      </c>
      <c r="AE37" s="16"/>
      <c r="AF37" s="96">
        <v>675556</v>
      </c>
      <c r="AG37" s="72"/>
      <c r="AH37" s="72">
        <v>336448</v>
      </c>
      <c r="AI37" s="72"/>
      <c r="AJ37" s="73" t="str">
        <f t="shared" si="22"/>
        <v/>
      </c>
      <c r="AK37" s="101"/>
      <c r="AL37" s="48"/>
      <c r="AM37" s="104">
        <v>300</v>
      </c>
      <c r="AN37" s="74">
        <f t="shared" si="23"/>
        <v>46016</v>
      </c>
      <c r="AO37" s="108">
        <f t="shared" si="24"/>
        <v>-175</v>
      </c>
      <c r="AP37" s="48"/>
      <c r="AQ37" s="110">
        <v>237</v>
      </c>
      <c r="AR37" s="75">
        <f t="shared" si="25"/>
        <v>46293</v>
      </c>
      <c r="AS37" s="108">
        <f t="shared" si="26"/>
        <v>102</v>
      </c>
      <c r="AT37" s="48"/>
      <c r="AU37" s="114">
        <f t="shared" si="27"/>
        <v>46191</v>
      </c>
      <c r="AV37" s="120" t="str" cm="1">
        <f t="array" ref="AV37">IF(OR(G37&gt;$C$6,G37=""),$F$8,INDEX($E$8:$Z$8,MATCH(TRUE,(F37:AA37=""),0)))</f>
        <v>5. Initial submission</v>
      </c>
      <c r="AW37" s="117" t="b">
        <f t="shared" si="28"/>
        <v>1</v>
      </c>
      <c r="AX37" s="76" t="b">
        <f t="shared" si="29"/>
        <v>1</v>
      </c>
      <c r="AY37" s="76" t="b">
        <f t="shared" si="30"/>
        <v>1</v>
      </c>
      <c r="AZ37" s="76" t="b">
        <f t="shared" si="31"/>
        <v>1</v>
      </c>
      <c r="BA37" s="76" t="b">
        <f t="shared" si="32"/>
        <v>0</v>
      </c>
      <c r="BB37" s="76" t="b">
        <f t="shared" si="33"/>
        <v>0</v>
      </c>
      <c r="BC37" s="76" t="b">
        <f t="shared" si="34"/>
        <v>0</v>
      </c>
      <c r="BD37" s="76" t="b">
        <f t="shared" si="35"/>
        <v>0</v>
      </c>
      <c r="BE37" s="76" t="b">
        <f t="shared" si="36"/>
        <v>0</v>
      </c>
      <c r="BF37" s="76" t="b">
        <f t="shared" si="37"/>
        <v>0</v>
      </c>
      <c r="BG37" s="90" t="b">
        <f t="shared" si="38"/>
        <v>0</v>
      </c>
      <c r="BH37" s="146"/>
    </row>
    <row r="38" spans="1:60" ht="26.25" x14ac:dyDescent="0.25">
      <c r="A38" s="56" cm="1">
        <f t="array" ref="A38">SUMPRODUCT(($AV$10:$AV$55&lt;&gt;"")*(ROW($AV$10:$AV$55)&lt;=ROW()))</f>
        <v>24</v>
      </c>
      <c r="B38" s="57" t="s">
        <v>150</v>
      </c>
      <c r="C38" s="58" t="s">
        <v>154</v>
      </c>
      <c r="D38" s="93" t="s">
        <v>11</v>
      </c>
      <c r="E38" s="16"/>
      <c r="F38" s="29">
        <f t="shared" si="10"/>
        <v>45921</v>
      </c>
      <c r="G38" s="42">
        <v>45940</v>
      </c>
      <c r="H38" s="29">
        <f t="shared" si="11"/>
        <v>45928</v>
      </c>
      <c r="I38" s="42">
        <v>45950</v>
      </c>
      <c r="J38" s="29">
        <f t="shared" si="12"/>
        <v>45934</v>
      </c>
      <c r="K38" s="42">
        <v>45950</v>
      </c>
      <c r="L38" s="29">
        <f t="shared" si="13"/>
        <v>45937</v>
      </c>
      <c r="M38" s="42">
        <v>46048</v>
      </c>
      <c r="N38" s="29">
        <f t="shared" si="14"/>
        <v>45967</v>
      </c>
      <c r="O38" s="42"/>
      <c r="P38" s="29">
        <f t="shared" si="15"/>
        <v>45977</v>
      </c>
      <c r="Q38" s="42"/>
      <c r="R38" s="29">
        <f t="shared" si="16"/>
        <v>45997</v>
      </c>
      <c r="S38" s="42"/>
      <c r="T38" s="29">
        <f t="shared" si="17"/>
        <v>46004</v>
      </c>
      <c r="U38" s="42"/>
      <c r="V38" s="29">
        <f t="shared" si="18"/>
        <v>46011</v>
      </c>
      <c r="W38" s="42"/>
      <c r="X38" s="29">
        <f t="shared" si="0"/>
        <v>46016</v>
      </c>
      <c r="Y38" s="42"/>
      <c r="Z38" s="30">
        <f t="shared" si="19"/>
        <v>46026</v>
      </c>
      <c r="AA38" s="42"/>
      <c r="AB38" s="31">
        <f t="shared" si="20"/>
        <v>-39</v>
      </c>
      <c r="AC38" s="16"/>
      <c r="AD38" s="131">
        <f t="shared" si="21"/>
        <v>95</v>
      </c>
      <c r="AE38" s="16"/>
      <c r="AF38" s="95">
        <v>3144970</v>
      </c>
      <c r="AG38" s="67"/>
      <c r="AH38" s="67">
        <v>1904005</v>
      </c>
      <c r="AI38" s="194">
        <v>709940</v>
      </c>
      <c r="AJ38" s="68">
        <f t="shared" si="22"/>
        <v>1194065</v>
      </c>
      <c r="AK38" s="102" t="s">
        <v>449</v>
      </c>
      <c r="AL38" s="48"/>
      <c r="AM38" s="105">
        <v>300</v>
      </c>
      <c r="AN38" s="69">
        <f t="shared" si="23"/>
        <v>46016</v>
      </c>
      <c r="AO38" s="107">
        <f t="shared" si="24"/>
        <v>-175</v>
      </c>
      <c r="AP38" s="48"/>
      <c r="AQ38" s="111">
        <v>49</v>
      </c>
      <c r="AR38" s="70">
        <f t="shared" si="25"/>
        <v>46073</v>
      </c>
      <c r="AS38" s="107">
        <f t="shared" si="26"/>
        <v>-118</v>
      </c>
      <c r="AT38" s="48"/>
      <c r="AU38" s="113">
        <f t="shared" si="27"/>
        <v>46191</v>
      </c>
      <c r="AV38" s="119" t="str" cm="1">
        <f t="array" ref="AV38">IF(OR(G38&gt;$C$6,G38=""),$F$8,INDEX($E$8:$Z$8,MATCH(TRUE,(F38:AA38=""),0)))</f>
        <v>5. Initial submission</v>
      </c>
      <c r="AW38" s="116" t="b">
        <f t="shared" si="28"/>
        <v>1</v>
      </c>
      <c r="AX38" s="71" t="b">
        <f t="shared" si="29"/>
        <v>1</v>
      </c>
      <c r="AY38" s="71" t="b">
        <f t="shared" si="30"/>
        <v>1</v>
      </c>
      <c r="AZ38" s="71" t="b">
        <f t="shared" si="31"/>
        <v>1</v>
      </c>
      <c r="BA38" s="71" t="b">
        <f t="shared" si="32"/>
        <v>0</v>
      </c>
      <c r="BB38" s="71" t="b">
        <f t="shared" si="33"/>
        <v>0</v>
      </c>
      <c r="BC38" s="71" t="b">
        <f t="shared" si="34"/>
        <v>0</v>
      </c>
      <c r="BD38" s="71" t="b">
        <f t="shared" si="35"/>
        <v>0</v>
      </c>
      <c r="BE38" s="71" t="b">
        <f t="shared" si="36"/>
        <v>0</v>
      </c>
      <c r="BF38" s="71" t="b">
        <f t="shared" si="37"/>
        <v>0</v>
      </c>
      <c r="BG38" s="89" t="b">
        <f t="shared" si="38"/>
        <v>0</v>
      </c>
      <c r="BH38" s="146"/>
    </row>
    <row r="39" spans="1:60" ht="30" x14ac:dyDescent="0.25">
      <c r="A39" s="56" cm="1">
        <f t="array" ref="A39">SUMPRODUCT(($AV$10:$AV$55&lt;&gt;"")*(ROW($AV$10:$AV$55)&lt;=ROW()))</f>
        <v>25</v>
      </c>
      <c r="B39" s="59" t="s">
        <v>112</v>
      </c>
      <c r="C39" s="60" t="s">
        <v>155</v>
      </c>
      <c r="D39" s="59" t="s">
        <v>7</v>
      </c>
      <c r="E39" s="43"/>
      <c r="F39" s="44">
        <f t="shared" si="10"/>
        <v>45771</v>
      </c>
      <c r="G39" s="45"/>
      <c r="H39" s="44">
        <f t="shared" si="11"/>
        <v>45778</v>
      </c>
      <c r="I39" s="45"/>
      <c r="J39" s="44">
        <f t="shared" si="12"/>
        <v>45784</v>
      </c>
      <c r="K39" s="45"/>
      <c r="L39" s="44">
        <f t="shared" si="13"/>
        <v>45787</v>
      </c>
      <c r="M39" s="45"/>
      <c r="N39" s="44">
        <f t="shared" si="14"/>
        <v>45817</v>
      </c>
      <c r="O39" s="45"/>
      <c r="P39" s="44">
        <f t="shared" si="15"/>
        <v>45827</v>
      </c>
      <c r="Q39" s="45"/>
      <c r="R39" s="44">
        <f t="shared" si="16"/>
        <v>45847</v>
      </c>
      <c r="S39" s="45"/>
      <c r="T39" s="44">
        <f t="shared" si="17"/>
        <v>45854</v>
      </c>
      <c r="U39" s="45"/>
      <c r="V39" s="44">
        <f t="shared" si="18"/>
        <v>45861</v>
      </c>
      <c r="W39" s="45"/>
      <c r="X39" s="44">
        <f t="shared" si="0"/>
        <v>45866</v>
      </c>
      <c r="Y39" s="45"/>
      <c r="Z39" s="46">
        <f t="shared" si="19"/>
        <v>45876</v>
      </c>
      <c r="AA39" s="45"/>
      <c r="AB39" s="32">
        <f t="shared" si="20"/>
        <v>-71</v>
      </c>
      <c r="AC39" s="16"/>
      <c r="AD39" s="131">
        <f t="shared" si="21"/>
        <v>95</v>
      </c>
      <c r="AE39" s="16"/>
      <c r="AF39" s="96">
        <v>15936451</v>
      </c>
      <c r="AG39" s="72"/>
      <c r="AH39" s="72">
        <v>6605389</v>
      </c>
      <c r="AI39" s="72" t="s">
        <v>450</v>
      </c>
      <c r="AJ39" s="73">
        <f t="shared" si="22"/>
        <v>6605389</v>
      </c>
      <c r="AK39" s="101" t="s">
        <v>76</v>
      </c>
      <c r="AL39" s="48"/>
      <c r="AM39" s="104">
        <v>150</v>
      </c>
      <c r="AN39" s="74">
        <f t="shared" si="23"/>
        <v>45866</v>
      </c>
      <c r="AO39" s="108">
        <f t="shared" ref="AO39" si="40">AN39-AU39</f>
        <v>-341</v>
      </c>
      <c r="AP39" s="48"/>
      <c r="AQ39" s="110">
        <v>150</v>
      </c>
      <c r="AR39" s="75">
        <f t="shared" ref="AR39" si="41">IFERROR(WORKDAY.INTL(AN39,AQ39,11),"")</f>
        <v>46041</v>
      </c>
      <c r="AS39" s="108">
        <f t="shared" si="26"/>
        <v>-166</v>
      </c>
      <c r="AT39" s="48"/>
      <c r="AU39" s="114">
        <f t="shared" si="27"/>
        <v>46207</v>
      </c>
      <c r="AV39" s="120" t="str" cm="1">
        <f t="array" ref="AV39">IF(OR(G39&gt;$C$6,G39=""),$F$8,INDEX($E$8:$Z$8,MATCH(TRUE,(F39:AA39=""),0)))</f>
        <v>1. Tender Docs &amp; BOQ</v>
      </c>
      <c r="AW39" s="117" t="b">
        <f t="shared" si="28"/>
        <v>0</v>
      </c>
      <c r="AX39" s="76" t="b">
        <f t="shared" si="29"/>
        <v>0</v>
      </c>
      <c r="AY39" s="76" t="b">
        <f t="shared" si="30"/>
        <v>0</v>
      </c>
      <c r="AZ39" s="76" t="b">
        <f t="shared" si="31"/>
        <v>0</v>
      </c>
      <c r="BA39" s="76" t="b">
        <f t="shared" si="32"/>
        <v>0</v>
      </c>
      <c r="BB39" s="76" t="b">
        <f t="shared" si="33"/>
        <v>0</v>
      </c>
      <c r="BC39" s="76" t="b">
        <f t="shared" si="34"/>
        <v>0</v>
      </c>
      <c r="BD39" s="76" t="b">
        <f t="shared" si="35"/>
        <v>0</v>
      </c>
      <c r="BE39" s="76" t="b">
        <f t="shared" si="36"/>
        <v>0</v>
      </c>
      <c r="BF39" s="76" t="b">
        <f t="shared" si="37"/>
        <v>0</v>
      </c>
      <c r="BG39" s="90" t="b">
        <f t="shared" si="38"/>
        <v>0</v>
      </c>
      <c r="BH39" s="146"/>
    </row>
    <row r="40" spans="1:60" ht="23.25" x14ac:dyDescent="0.25">
      <c r="A40" s="54"/>
      <c r="B40" s="49"/>
      <c r="C40" s="50" t="s">
        <v>156</v>
      </c>
      <c r="D40" s="51"/>
      <c r="E40" s="51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1"/>
      <c r="AC40" s="51"/>
      <c r="AD40" s="132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88"/>
      <c r="BH40" s="146"/>
    </row>
    <row r="41" spans="1:60" ht="26.25" x14ac:dyDescent="0.25">
      <c r="A41" s="56" cm="1">
        <f t="array" ref="A41">SUMPRODUCT(($AV$10:$AV$55&lt;&gt;"")*(ROW($AV$10:$AV$55)&lt;=ROW()))</f>
        <v>26</v>
      </c>
      <c r="B41" s="59" t="s">
        <v>157</v>
      </c>
      <c r="C41" s="60" t="s">
        <v>158</v>
      </c>
      <c r="D41" s="59" t="s">
        <v>131</v>
      </c>
      <c r="E41" s="43"/>
      <c r="F41" s="44">
        <f>H41-$H$7</f>
        <v>45741</v>
      </c>
      <c r="G41" s="45">
        <v>45768</v>
      </c>
      <c r="H41" s="44">
        <f>J41-$J$7</f>
        <v>45748</v>
      </c>
      <c r="I41" s="45">
        <v>45774</v>
      </c>
      <c r="J41" s="44">
        <f>L41-$L$7</f>
        <v>45754</v>
      </c>
      <c r="K41" s="45">
        <v>45774</v>
      </c>
      <c r="L41" s="44">
        <f>N41-$N$7</f>
        <v>45757</v>
      </c>
      <c r="M41" s="45">
        <v>45781</v>
      </c>
      <c r="N41" s="44">
        <f>P41-$P$7</f>
        <v>45787</v>
      </c>
      <c r="O41" s="45">
        <v>45821</v>
      </c>
      <c r="P41" s="44">
        <f>R41-$R$7</f>
        <v>45797</v>
      </c>
      <c r="Q41" s="45">
        <v>45821</v>
      </c>
      <c r="R41" s="44">
        <f>T41-$T$7</f>
        <v>45817</v>
      </c>
      <c r="S41" s="45">
        <v>45821</v>
      </c>
      <c r="T41" s="44">
        <f>V41-$V$7</f>
        <v>45824</v>
      </c>
      <c r="U41" s="45">
        <v>45882</v>
      </c>
      <c r="V41" s="44">
        <f>X41-$X$7</f>
        <v>45831</v>
      </c>
      <c r="W41" s="45">
        <v>45891</v>
      </c>
      <c r="X41" s="44">
        <f t="shared" si="0"/>
        <v>45836</v>
      </c>
      <c r="Y41" s="45">
        <v>45904</v>
      </c>
      <c r="Z41" s="46">
        <f>X41+$Z$7</f>
        <v>45846</v>
      </c>
      <c r="AA41" s="45"/>
      <c r="AB41" s="32" t="str">
        <f>IF(AV41="10. Issued to Contractor","-",IF(AV41="11. Subcontract Agreement signed","-",MAX(AN41,AR41)-$C$6))</f>
        <v>-</v>
      </c>
      <c r="AC41" s="16"/>
      <c r="AD41" s="131">
        <f t="shared" ref="AD41:AD42" si="42">SUM($H$7:$Y$7)</f>
        <v>95</v>
      </c>
      <c r="AE41" s="16"/>
      <c r="AF41" s="96">
        <v>13994162</v>
      </c>
      <c r="AG41" s="72"/>
      <c r="AH41" s="267">
        <v>18179645</v>
      </c>
      <c r="AI41" s="72">
        <v>13098000</v>
      </c>
      <c r="AJ41" s="73">
        <f>IF(AI41&gt;0,SUM(AH41)-SUM(AI41),"")</f>
        <v>5081645</v>
      </c>
      <c r="AK41" s="101" t="s">
        <v>159</v>
      </c>
      <c r="AL41" s="48"/>
      <c r="AM41" s="104">
        <v>120</v>
      </c>
      <c r="AN41" s="74">
        <f>$M$3+AM41-1</f>
        <v>45836</v>
      </c>
      <c r="AO41" s="108">
        <f>AN41-AU41</f>
        <v>-68</v>
      </c>
      <c r="AP41" s="48"/>
      <c r="AQ41" s="110">
        <v>13</v>
      </c>
      <c r="AR41" s="75">
        <f>IFERROR(WORKDAY.INTL(AN41,AQ41,11),"")</f>
        <v>45852</v>
      </c>
      <c r="AS41" s="108">
        <f>AR41-AU41</f>
        <v>-52</v>
      </c>
      <c r="AT41" s="48"/>
      <c r="AU41" s="114">
        <f t="shared" ref="AU41:AU42" si="43">IF(Y41&gt;0,Y41,IFERROR(MAX(_xlfn.XLOOKUP($AV41,$H$8:$Z$8,$G41:$Y41),$C$6)+(AN41-_xlfn.XLOOKUP($AV41,$H$8:$Z$8,$F41:$X41))*AD41/SUM($H$7:$Y$7),$C$6+SUM(AD41)))</f>
        <v>45904</v>
      </c>
      <c r="AV41" s="120" t="str" cm="1">
        <f t="array" ref="AV41">IF(OR(G41&gt;$C$6,G41=""),$F$8,INDEX($E$8:$Z$8,MATCH(TRUE,(F41:AA41=""),0)))</f>
        <v>11. Subcontract Agreement signed</v>
      </c>
      <c r="AW41" s="117" t="b">
        <f>IF(AND(G41&gt;0,G41&lt;$C$6),TRUE,FALSE)</f>
        <v>1</v>
      </c>
      <c r="AX41" s="76" t="b">
        <f>IF(AND(I41&gt;0,I41&lt;$C$6),TRUE,FALSE)</f>
        <v>1</v>
      </c>
      <c r="AY41" s="76" t="b">
        <f>IF(AND(K41&gt;0,K41&lt;$C$6),TRUE,FALSE)</f>
        <v>1</v>
      </c>
      <c r="AZ41" s="76" t="b">
        <f>IF(AND(M41&gt;0,M41&lt;$C$6),TRUE,FALSE)</f>
        <v>1</v>
      </c>
      <c r="BA41" s="76" t="b">
        <f>IF(AND(O41&gt;0,O41&lt;$C$6),TRUE,FALSE)</f>
        <v>1</v>
      </c>
      <c r="BB41" s="76" t="b">
        <f>IF(AND(Q41&gt;0,Q41&lt;$C$6),TRUE,FALSE)</f>
        <v>1</v>
      </c>
      <c r="BC41" s="76" t="b">
        <f>IF(AND(S41&gt;0,S41&lt;$C$6),TRUE,FALSE)</f>
        <v>1</v>
      </c>
      <c r="BD41" s="76" t="b">
        <f>IF(AND(U41&gt;0,U41&lt;$C$6),TRUE,FALSE)</f>
        <v>1</v>
      </c>
      <c r="BE41" s="76" t="b">
        <f>IF(AND(W41&gt;0,W41&lt;$C$6),TRUE,FALSE)</f>
        <v>1</v>
      </c>
      <c r="BF41" s="76" t="b">
        <f>IF(AND(Y41&gt;0,Y41&lt;$C$6),TRUE,FALSE)</f>
        <v>1</v>
      </c>
      <c r="BG41" s="90" t="b">
        <f>IF(AND(AA41&gt;0,AA41&lt;$C$6),TRUE,FALSE)</f>
        <v>0</v>
      </c>
      <c r="BH41" s="146"/>
    </row>
    <row r="42" spans="1:60" ht="26.25" x14ac:dyDescent="0.25">
      <c r="A42" s="56" cm="1">
        <f t="array" ref="A42">SUMPRODUCT(($AV$10:$AV$55&lt;&gt;"")*(ROW($AV$10:$AV$55)&lt;=ROW()))</f>
        <v>27</v>
      </c>
      <c r="B42" s="57" t="s">
        <v>160</v>
      </c>
      <c r="C42" s="58" t="s">
        <v>161</v>
      </c>
      <c r="D42" s="93" t="s">
        <v>131</v>
      </c>
      <c r="E42" s="16"/>
      <c r="F42" s="29">
        <f>H42-$H$7</f>
        <v>45741</v>
      </c>
      <c r="G42" s="42">
        <v>45768</v>
      </c>
      <c r="H42" s="29">
        <f>J42-$J$7</f>
        <v>45748</v>
      </c>
      <c r="I42" s="42">
        <v>45774</v>
      </c>
      <c r="J42" s="29">
        <f>L42-$L$7</f>
        <v>45754</v>
      </c>
      <c r="K42" s="42">
        <v>45774</v>
      </c>
      <c r="L42" s="29">
        <f>N42-$N$7</f>
        <v>45757</v>
      </c>
      <c r="M42" s="42">
        <v>45781</v>
      </c>
      <c r="N42" s="29">
        <f>P42-$P$7</f>
        <v>45787</v>
      </c>
      <c r="O42" s="42">
        <v>45821</v>
      </c>
      <c r="P42" s="29">
        <f>R42-$R$7</f>
        <v>45797</v>
      </c>
      <c r="Q42" s="42">
        <v>45821</v>
      </c>
      <c r="R42" s="29">
        <f>T42-$T$7</f>
        <v>45817</v>
      </c>
      <c r="S42" s="42">
        <v>45821</v>
      </c>
      <c r="T42" s="29">
        <f>V42-$V$7</f>
        <v>45824</v>
      </c>
      <c r="U42" s="42">
        <v>45882</v>
      </c>
      <c r="V42" s="29">
        <f>X42-$X$7</f>
        <v>45831</v>
      </c>
      <c r="W42" s="42">
        <v>45897</v>
      </c>
      <c r="X42" s="29">
        <f t="shared" si="0"/>
        <v>45836</v>
      </c>
      <c r="Y42" s="42">
        <v>45917</v>
      </c>
      <c r="Z42" s="30">
        <f>X42+$Z$7</f>
        <v>45846</v>
      </c>
      <c r="AA42" s="42"/>
      <c r="AB42" s="31" t="str">
        <f>IF(AV42="10. Issued to Contractor","-",IF(AV42="11. Subcontract Agreement signed","-",MAX(AN42,AR42)-$C$6))</f>
        <v>-</v>
      </c>
      <c r="AC42" s="16"/>
      <c r="AD42" s="131">
        <f t="shared" si="42"/>
        <v>95</v>
      </c>
      <c r="AE42" s="16"/>
      <c r="AF42" s="95">
        <v>42735000</v>
      </c>
      <c r="AG42" s="67"/>
      <c r="AH42" s="268"/>
      <c r="AI42" s="194">
        <v>38402060</v>
      </c>
      <c r="AJ42" s="68">
        <f>IF(AI42&gt;0,SUM(AH42)-SUM(AI42),"")</f>
        <v>-38402060</v>
      </c>
      <c r="AK42" s="102" t="s">
        <v>162</v>
      </c>
      <c r="AL42" s="48"/>
      <c r="AM42" s="105">
        <v>120</v>
      </c>
      <c r="AN42" s="69">
        <f>$M$3+AM42-1</f>
        <v>45836</v>
      </c>
      <c r="AO42" s="107">
        <f>AN42-AU42</f>
        <v>-81</v>
      </c>
      <c r="AP42" s="48"/>
      <c r="AQ42" s="111">
        <v>33</v>
      </c>
      <c r="AR42" s="70">
        <f>IFERROR(WORKDAY.INTL(AN42,AQ42,11),"")</f>
        <v>45875</v>
      </c>
      <c r="AS42" s="107">
        <f>AR42-AU42</f>
        <v>-42</v>
      </c>
      <c r="AT42" s="48"/>
      <c r="AU42" s="113">
        <f t="shared" si="43"/>
        <v>45917</v>
      </c>
      <c r="AV42" s="119" t="str" cm="1">
        <f t="array" ref="AV42">IF(OR(G42&gt;$C$6,G42=""),$F$8,INDEX($E$8:$Z$8,MATCH(TRUE,(F42:AA42=""),0)))</f>
        <v>11. Subcontract Agreement signed</v>
      </c>
      <c r="AW42" s="116" t="b">
        <f>IF(AND(G42&gt;0,G42&lt;$C$6),TRUE,FALSE)</f>
        <v>1</v>
      </c>
      <c r="AX42" s="71" t="b">
        <f>IF(AND(I42&gt;0,I42&lt;$C$6),TRUE,FALSE)</f>
        <v>1</v>
      </c>
      <c r="AY42" s="71" t="b">
        <f>IF(AND(K42&gt;0,K42&lt;$C$6),TRUE,FALSE)</f>
        <v>1</v>
      </c>
      <c r="AZ42" s="71" t="b">
        <f>IF(AND(M42&gt;0,M42&lt;$C$6),TRUE,FALSE)</f>
        <v>1</v>
      </c>
      <c r="BA42" s="71" t="b">
        <f>IF(AND(O42&gt;0,O42&lt;$C$6),TRUE,FALSE)</f>
        <v>1</v>
      </c>
      <c r="BB42" s="71" t="b">
        <f>IF(AND(Q42&gt;0,Q42&lt;$C$6),TRUE,FALSE)</f>
        <v>1</v>
      </c>
      <c r="BC42" s="71" t="b">
        <f>IF(AND(S42&gt;0,S42&lt;$C$6),TRUE,FALSE)</f>
        <v>1</v>
      </c>
      <c r="BD42" s="71" t="b">
        <f>IF(AND(U42&gt;0,U42&lt;$C$6),TRUE,FALSE)</f>
        <v>1</v>
      </c>
      <c r="BE42" s="71" t="b">
        <f>IF(AND(W42&gt;0,W42&lt;$C$6),TRUE,FALSE)</f>
        <v>1</v>
      </c>
      <c r="BF42" s="71" t="b">
        <f>IF(AND(Y42&gt;0,Y42&lt;$C$6),TRUE,FALSE)</f>
        <v>1</v>
      </c>
      <c r="BG42" s="89" t="b">
        <f>IF(AND(AA42&gt;0,AA42&lt;$C$6),TRUE,FALSE)</f>
        <v>0</v>
      </c>
      <c r="BH42" s="146"/>
    </row>
    <row r="43" spans="1:60" ht="23.25" x14ac:dyDescent="0.25">
      <c r="A43" s="54"/>
      <c r="B43" s="49"/>
      <c r="C43" s="50" t="s">
        <v>163</v>
      </c>
      <c r="D43" s="51"/>
      <c r="E43" s="51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1"/>
      <c r="AC43" s="51"/>
      <c r="AD43" s="132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88"/>
      <c r="BH43" s="146"/>
    </row>
    <row r="44" spans="1:60" ht="26.25" x14ac:dyDescent="0.25">
      <c r="A44" s="56" cm="1">
        <f t="array" ref="A44">SUMPRODUCT(($AV$10:$AV$55&lt;&gt;"")*(ROW($AV$10:$AV$55)&lt;=ROW()))</f>
        <v>28</v>
      </c>
      <c r="B44" s="59" t="s">
        <v>164</v>
      </c>
      <c r="C44" s="60" t="s">
        <v>165</v>
      </c>
      <c r="D44" s="59" t="s">
        <v>107</v>
      </c>
      <c r="E44" s="43"/>
      <c r="F44" s="44">
        <f t="shared" ref="F44:F55" si="44">H44-$H$7</f>
        <v>45711</v>
      </c>
      <c r="G44" s="45">
        <v>45711</v>
      </c>
      <c r="H44" s="44">
        <f t="shared" ref="H44:H55" si="45">J44-$J$7</f>
        <v>45718</v>
      </c>
      <c r="I44" s="45">
        <v>45718</v>
      </c>
      <c r="J44" s="44">
        <f t="shared" ref="J44:J55" si="46">L44-$L$7</f>
        <v>45724</v>
      </c>
      <c r="K44" s="45">
        <v>45724</v>
      </c>
      <c r="L44" s="44">
        <f t="shared" ref="L44:L55" si="47">N44-$N$7</f>
        <v>45727</v>
      </c>
      <c r="M44" s="45">
        <v>45727</v>
      </c>
      <c r="N44" s="44">
        <f t="shared" ref="N44:N55" si="48">P44-$P$7</f>
        <v>45757</v>
      </c>
      <c r="O44" s="45">
        <v>45757</v>
      </c>
      <c r="P44" s="44">
        <f t="shared" ref="P44:P55" si="49">R44-$R$7</f>
        <v>45767</v>
      </c>
      <c r="Q44" s="45">
        <v>45767</v>
      </c>
      <c r="R44" s="44">
        <f t="shared" ref="R44:R55" si="50">T44-$T$7</f>
        <v>45787</v>
      </c>
      <c r="S44" s="45">
        <v>45787</v>
      </c>
      <c r="T44" s="44">
        <f t="shared" ref="T44:T55" si="51">V44-$V$7</f>
        <v>45794</v>
      </c>
      <c r="U44" s="45">
        <v>45794</v>
      </c>
      <c r="V44" s="44">
        <f t="shared" ref="V44:V55" si="52">X44-$X$7</f>
        <v>45801</v>
      </c>
      <c r="W44" s="45">
        <v>45801</v>
      </c>
      <c r="X44" s="44">
        <f t="shared" si="0"/>
        <v>45806</v>
      </c>
      <c r="Y44" s="45">
        <v>45791</v>
      </c>
      <c r="Z44" s="46">
        <f t="shared" ref="Z44:Z55" si="53">X44+$Z$7</f>
        <v>45816</v>
      </c>
      <c r="AA44" s="45"/>
      <c r="AB44" s="32" t="str">
        <f t="shared" ref="AB44:AB55" si="54">IF(AV44="10. Issued to Contractor","-",IF(AV44="11. Subcontract Agreement signed","-",MAX(AN44,AR44)-$C$6))</f>
        <v>-</v>
      </c>
      <c r="AC44" s="16"/>
      <c r="AD44" s="131">
        <f t="shared" ref="AD44:AD55" si="55">SUM($H$7:$Y$7)</f>
        <v>95</v>
      </c>
      <c r="AE44" s="16"/>
      <c r="AF44" s="96">
        <v>11395020</v>
      </c>
      <c r="AG44" s="72"/>
      <c r="AH44" s="72">
        <v>6515893</v>
      </c>
      <c r="AI44" s="195">
        <v>8423790</v>
      </c>
      <c r="AJ44" s="73">
        <f t="shared" ref="AJ44:AJ55" si="56">IF(AI44&gt;0,SUM(AH44)-SUM(AI44),"")</f>
        <v>-1907897</v>
      </c>
      <c r="AK44" s="101" t="s">
        <v>166</v>
      </c>
      <c r="AL44" s="48"/>
      <c r="AM44" s="104">
        <v>90</v>
      </c>
      <c r="AN44" s="74">
        <f t="shared" ref="AN44:AN55" si="57">$M$3+AM44-1</f>
        <v>45806</v>
      </c>
      <c r="AO44" s="108">
        <f t="shared" ref="AO44:AO46" si="58">AN44-AU44</f>
        <v>15</v>
      </c>
      <c r="AP44" s="48"/>
      <c r="AQ44" s="110">
        <v>37</v>
      </c>
      <c r="AR44" s="75">
        <f t="shared" ref="AR44:AR46" si="59">IFERROR(WORKDAY.INTL(AN44,AQ44,11),"")</f>
        <v>45849</v>
      </c>
      <c r="AS44" s="108">
        <f t="shared" ref="AS44:AS46" si="60">AR44-AU44</f>
        <v>58</v>
      </c>
      <c r="AT44" s="48"/>
      <c r="AU44" s="114">
        <f t="shared" ref="AU44:AU55" si="61">IF(Y44&gt;0,Y44,IFERROR(MAX(_xlfn.XLOOKUP($AV44,$H$8:$Z$8,$G44:$Y44),$C$6)+(AN44-_xlfn.XLOOKUP($AV44,$H$8:$Z$8,$F44:$X44))*AD44/SUM($H$7:$Y$7),$C$6+SUM(AD44)))</f>
        <v>45791</v>
      </c>
      <c r="AV44" s="120" t="str" cm="1">
        <f t="array" ref="AV44">IF(OR(G44&gt;$C$6,G44=""),$F$8,INDEX($E$8:$Z$8,MATCH(TRUE,(F44:AA44=""),0)))</f>
        <v>11. Subcontract Agreement signed</v>
      </c>
      <c r="AW44" s="117" t="b">
        <f t="shared" ref="AW44:AW55" si="62">IF(AND(G44&gt;0,G44&lt;$C$6),TRUE,FALSE)</f>
        <v>1</v>
      </c>
      <c r="AX44" s="76" t="b">
        <f t="shared" ref="AX44:AX55" si="63">IF(AND(I44&gt;0,I44&lt;$C$6),TRUE,FALSE)</f>
        <v>1</v>
      </c>
      <c r="AY44" s="76" t="b">
        <f t="shared" ref="AY44:AY55" si="64">IF(AND(K44&gt;0,K44&lt;$C$6),TRUE,FALSE)</f>
        <v>1</v>
      </c>
      <c r="AZ44" s="76" t="b">
        <f t="shared" ref="AZ44:AZ55" si="65">IF(AND(M44&gt;0,M44&lt;$C$6),TRUE,FALSE)</f>
        <v>1</v>
      </c>
      <c r="BA44" s="76" t="b">
        <f t="shared" ref="BA44:BA55" si="66">IF(AND(O44&gt;0,O44&lt;$C$6),TRUE,FALSE)</f>
        <v>1</v>
      </c>
      <c r="BB44" s="76" t="b">
        <f t="shared" ref="BB44:BB55" si="67">IF(AND(Q44&gt;0,Q44&lt;$C$6),TRUE,FALSE)</f>
        <v>1</v>
      </c>
      <c r="BC44" s="76" t="b">
        <f t="shared" ref="BC44:BC55" si="68">IF(AND(S44&gt;0,S44&lt;$C$6),TRUE,FALSE)</f>
        <v>1</v>
      </c>
      <c r="BD44" s="76" t="b">
        <f t="shared" ref="BD44:BD55" si="69">IF(AND(U44&gt;0,U44&lt;$C$6),TRUE,FALSE)</f>
        <v>1</v>
      </c>
      <c r="BE44" s="76" t="b">
        <f t="shared" ref="BE44:BE55" si="70">IF(AND(W44&gt;0,W44&lt;$C$6),TRUE,FALSE)</f>
        <v>1</v>
      </c>
      <c r="BF44" s="76" t="b">
        <f t="shared" ref="BF44:BF55" si="71">IF(AND(Y44&gt;0,Y44&lt;$C$6),TRUE,FALSE)</f>
        <v>1</v>
      </c>
      <c r="BG44" s="90" t="b">
        <f t="shared" ref="BG44:BG55" si="72">IF(AND(AA44&gt;0,AA44&lt;$C$6),TRUE,FALSE)</f>
        <v>0</v>
      </c>
      <c r="BH44" s="146"/>
    </row>
    <row r="45" spans="1:60" ht="26.25" x14ac:dyDescent="0.25">
      <c r="A45" s="56" cm="1">
        <f t="array" ref="A45">SUMPRODUCT(($AV$10:$AV$55&lt;&gt;"")*(ROW($AV$10:$AV$55)&lt;=ROW()))</f>
        <v>29</v>
      </c>
      <c r="B45" s="57" t="s">
        <v>167</v>
      </c>
      <c r="C45" s="58" t="s">
        <v>168</v>
      </c>
      <c r="D45" s="93" t="s">
        <v>7</v>
      </c>
      <c r="E45" s="16"/>
      <c r="F45" s="29">
        <f t="shared" si="44"/>
        <v>45771</v>
      </c>
      <c r="G45" s="42">
        <v>45854</v>
      </c>
      <c r="H45" s="29">
        <f t="shared" si="45"/>
        <v>45778</v>
      </c>
      <c r="I45" s="42">
        <v>45854</v>
      </c>
      <c r="J45" s="29">
        <f t="shared" si="46"/>
        <v>45784</v>
      </c>
      <c r="K45" s="42">
        <v>45854</v>
      </c>
      <c r="L45" s="29">
        <f t="shared" si="47"/>
        <v>45787</v>
      </c>
      <c r="M45" s="42">
        <v>45859</v>
      </c>
      <c r="N45" s="29">
        <f t="shared" si="48"/>
        <v>45817</v>
      </c>
      <c r="O45" s="42">
        <v>45891</v>
      </c>
      <c r="P45" s="29">
        <f t="shared" si="49"/>
        <v>45827</v>
      </c>
      <c r="Q45" s="42">
        <v>45891</v>
      </c>
      <c r="R45" s="29">
        <f t="shared" si="50"/>
        <v>45847</v>
      </c>
      <c r="S45" s="42">
        <v>45891</v>
      </c>
      <c r="T45" s="29">
        <f t="shared" si="51"/>
        <v>45854</v>
      </c>
      <c r="U45" s="42">
        <v>45918</v>
      </c>
      <c r="V45" s="29">
        <f t="shared" si="52"/>
        <v>45861</v>
      </c>
      <c r="W45" s="42">
        <v>45946</v>
      </c>
      <c r="X45" s="29">
        <f t="shared" si="0"/>
        <v>45866</v>
      </c>
      <c r="Y45" s="42">
        <v>45946</v>
      </c>
      <c r="Z45" s="30">
        <f t="shared" si="53"/>
        <v>45876</v>
      </c>
      <c r="AA45" s="42"/>
      <c r="AB45" s="31" t="str">
        <f t="shared" si="54"/>
        <v>-</v>
      </c>
      <c r="AC45" s="16"/>
      <c r="AD45" s="131">
        <f t="shared" si="55"/>
        <v>95</v>
      </c>
      <c r="AE45" s="16"/>
      <c r="AF45" s="95">
        <v>5445633</v>
      </c>
      <c r="AG45" s="67"/>
      <c r="AH45" s="67">
        <v>2993100</v>
      </c>
      <c r="AI45" s="194">
        <v>2636250</v>
      </c>
      <c r="AJ45" s="68">
        <f t="shared" si="56"/>
        <v>356850</v>
      </c>
      <c r="AK45" s="102" t="s">
        <v>169</v>
      </c>
      <c r="AL45" s="48"/>
      <c r="AM45" s="105">
        <v>150</v>
      </c>
      <c r="AN45" s="69">
        <f t="shared" si="57"/>
        <v>45866</v>
      </c>
      <c r="AO45" s="107">
        <f t="shared" si="58"/>
        <v>-80</v>
      </c>
      <c r="AP45" s="48"/>
      <c r="AQ45" s="111">
        <v>67</v>
      </c>
      <c r="AR45" s="70">
        <f t="shared" si="59"/>
        <v>45944</v>
      </c>
      <c r="AS45" s="107">
        <f t="shared" si="60"/>
        <v>-2</v>
      </c>
      <c r="AT45" s="48"/>
      <c r="AU45" s="113">
        <f t="shared" si="61"/>
        <v>45946</v>
      </c>
      <c r="AV45" s="119" t="str" cm="1">
        <f t="array" ref="AV45">IF(OR(G45&gt;$C$6,G45=""),$F$8,INDEX($E$8:$Z$8,MATCH(TRUE,(F45:AA45=""),0)))</f>
        <v>11. Subcontract Agreement signed</v>
      </c>
      <c r="AW45" s="116" t="b">
        <f t="shared" si="62"/>
        <v>1</v>
      </c>
      <c r="AX45" s="71" t="b">
        <f t="shared" si="63"/>
        <v>1</v>
      </c>
      <c r="AY45" s="71" t="b">
        <f t="shared" si="64"/>
        <v>1</v>
      </c>
      <c r="AZ45" s="71" t="b">
        <f t="shared" si="65"/>
        <v>1</v>
      </c>
      <c r="BA45" s="71" t="b">
        <f t="shared" si="66"/>
        <v>1</v>
      </c>
      <c r="BB45" s="71" t="b">
        <f t="shared" si="67"/>
        <v>1</v>
      </c>
      <c r="BC45" s="71" t="b">
        <f t="shared" si="68"/>
        <v>1</v>
      </c>
      <c r="BD45" s="71" t="b">
        <f t="shared" si="69"/>
        <v>1</v>
      </c>
      <c r="BE45" s="71" t="b">
        <f t="shared" si="70"/>
        <v>1</v>
      </c>
      <c r="BF45" s="71" t="b">
        <f t="shared" si="71"/>
        <v>1</v>
      </c>
      <c r="BG45" s="89" t="b">
        <f t="shared" si="72"/>
        <v>0</v>
      </c>
      <c r="BH45" s="146"/>
    </row>
    <row r="46" spans="1:60" ht="26.25" x14ac:dyDescent="0.25">
      <c r="A46" s="56" cm="1">
        <f t="array" ref="A46">SUMPRODUCT(($AV$10:$AV$55&lt;&gt;"")*(ROW($AV$10:$AV$55)&lt;=ROW()))</f>
        <v>30</v>
      </c>
      <c r="B46" s="59" t="s">
        <v>170</v>
      </c>
      <c r="C46" s="60" t="s">
        <v>171</v>
      </c>
      <c r="D46" s="59" t="s">
        <v>13</v>
      </c>
      <c r="E46" s="43"/>
      <c r="F46" s="44">
        <f t="shared" si="44"/>
        <v>45771</v>
      </c>
      <c r="G46" s="45">
        <v>45854</v>
      </c>
      <c r="H46" s="44">
        <f t="shared" si="45"/>
        <v>45778</v>
      </c>
      <c r="I46" s="45">
        <v>45846</v>
      </c>
      <c r="J46" s="44">
        <f t="shared" si="46"/>
        <v>45784</v>
      </c>
      <c r="K46" s="45">
        <v>45848</v>
      </c>
      <c r="L46" s="44">
        <f t="shared" si="47"/>
        <v>45787</v>
      </c>
      <c r="M46" s="45">
        <v>45859</v>
      </c>
      <c r="N46" s="44">
        <f t="shared" si="48"/>
        <v>45817</v>
      </c>
      <c r="O46" s="45">
        <v>45901</v>
      </c>
      <c r="P46" s="44">
        <f t="shared" si="49"/>
        <v>45827</v>
      </c>
      <c r="Q46" s="45">
        <v>45901</v>
      </c>
      <c r="R46" s="44">
        <f t="shared" si="50"/>
        <v>45847</v>
      </c>
      <c r="S46" s="45">
        <v>45901</v>
      </c>
      <c r="T46" s="44">
        <f t="shared" si="51"/>
        <v>45854</v>
      </c>
      <c r="U46" s="45">
        <v>45925</v>
      </c>
      <c r="V46" s="44">
        <f t="shared" si="52"/>
        <v>45861</v>
      </c>
      <c r="W46" s="45">
        <v>45929</v>
      </c>
      <c r="X46" s="44">
        <f t="shared" si="0"/>
        <v>45866</v>
      </c>
      <c r="Y46" s="45">
        <v>45939</v>
      </c>
      <c r="Z46" s="46">
        <f t="shared" si="53"/>
        <v>45876</v>
      </c>
      <c r="AA46" s="45"/>
      <c r="AB46" s="32" t="str">
        <f t="shared" si="54"/>
        <v>-</v>
      </c>
      <c r="AC46" s="16"/>
      <c r="AD46" s="131">
        <f t="shared" si="55"/>
        <v>95</v>
      </c>
      <c r="AE46" s="16"/>
      <c r="AF46" s="96">
        <v>3106693</v>
      </c>
      <c r="AG46" s="72"/>
      <c r="AH46" s="72">
        <v>1782931</v>
      </c>
      <c r="AI46" s="195">
        <v>1229048</v>
      </c>
      <c r="AJ46" s="73">
        <f t="shared" si="56"/>
        <v>553883</v>
      </c>
      <c r="AK46" s="101" t="s">
        <v>172</v>
      </c>
      <c r="AL46" s="48"/>
      <c r="AM46" s="104">
        <v>150</v>
      </c>
      <c r="AN46" s="74">
        <f t="shared" si="57"/>
        <v>45866</v>
      </c>
      <c r="AO46" s="108">
        <f t="shared" si="58"/>
        <v>-73</v>
      </c>
      <c r="AP46" s="48"/>
      <c r="AQ46" s="110">
        <v>17</v>
      </c>
      <c r="AR46" s="75">
        <f t="shared" si="59"/>
        <v>45885</v>
      </c>
      <c r="AS46" s="108">
        <f t="shared" si="60"/>
        <v>-54</v>
      </c>
      <c r="AT46" s="48"/>
      <c r="AU46" s="114">
        <f t="shared" si="61"/>
        <v>45939</v>
      </c>
      <c r="AV46" s="120" t="str" cm="1">
        <f t="array" ref="AV46">IF(OR(G46&gt;$C$6,G46=""),$F$8,INDEX($E$8:$Z$8,MATCH(TRUE,(F46:AA46=""),0)))</f>
        <v>11. Subcontract Agreement signed</v>
      </c>
      <c r="AW46" s="117" t="b">
        <f t="shared" si="62"/>
        <v>1</v>
      </c>
      <c r="AX46" s="76" t="b">
        <f t="shared" si="63"/>
        <v>1</v>
      </c>
      <c r="AY46" s="76" t="b">
        <f t="shared" si="64"/>
        <v>1</v>
      </c>
      <c r="AZ46" s="76" t="b">
        <f t="shared" si="65"/>
        <v>1</v>
      </c>
      <c r="BA46" s="76" t="b">
        <f t="shared" si="66"/>
        <v>1</v>
      </c>
      <c r="BB46" s="76" t="b">
        <f t="shared" si="67"/>
        <v>1</v>
      </c>
      <c r="BC46" s="76" t="b">
        <f t="shared" si="68"/>
        <v>1</v>
      </c>
      <c r="BD46" s="76" t="b">
        <f t="shared" si="69"/>
        <v>1</v>
      </c>
      <c r="BE46" s="76" t="b">
        <f t="shared" si="70"/>
        <v>1</v>
      </c>
      <c r="BF46" s="76" t="b">
        <f t="shared" si="71"/>
        <v>1</v>
      </c>
      <c r="BG46" s="90" t="b">
        <f t="shared" si="72"/>
        <v>0</v>
      </c>
      <c r="BH46" s="146"/>
    </row>
    <row r="47" spans="1:60" ht="26.25" x14ac:dyDescent="0.25">
      <c r="A47" s="56" cm="1">
        <f t="array" ref="A47">SUMPRODUCT(($AV$10:$AV$55&lt;&gt;"")*(ROW($AV$10:$AV$55)&lt;=ROW()))</f>
        <v>31</v>
      </c>
      <c r="B47" s="57" t="s">
        <v>173</v>
      </c>
      <c r="C47" s="58" t="s">
        <v>174</v>
      </c>
      <c r="D47" s="93" t="s">
        <v>13</v>
      </c>
      <c r="E47" s="16"/>
      <c r="F47" s="29">
        <f t="shared" si="44"/>
        <v>45801</v>
      </c>
      <c r="G47" s="42">
        <v>45854</v>
      </c>
      <c r="H47" s="29">
        <f t="shared" si="45"/>
        <v>45808</v>
      </c>
      <c r="I47" s="42">
        <v>45854</v>
      </c>
      <c r="J47" s="29">
        <f t="shared" si="46"/>
        <v>45814</v>
      </c>
      <c r="K47" s="42">
        <v>45854</v>
      </c>
      <c r="L47" s="29">
        <f t="shared" si="47"/>
        <v>45817</v>
      </c>
      <c r="M47" s="42">
        <v>45854</v>
      </c>
      <c r="N47" s="29">
        <f t="shared" si="48"/>
        <v>45847</v>
      </c>
      <c r="O47" s="42">
        <v>45897</v>
      </c>
      <c r="P47" s="29">
        <f t="shared" si="49"/>
        <v>45857</v>
      </c>
      <c r="Q47" s="42">
        <v>45897</v>
      </c>
      <c r="R47" s="29">
        <f t="shared" si="50"/>
        <v>45877</v>
      </c>
      <c r="S47" s="42">
        <v>45897</v>
      </c>
      <c r="T47" s="29">
        <f t="shared" si="51"/>
        <v>45884</v>
      </c>
      <c r="U47" s="42">
        <v>45922</v>
      </c>
      <c r="V47" s="29">
        <f t="shared" si="52"/>
        <v>45891</v>
      </c>
      <c r="W47" s="42">
        <v>45946</v>
      </c>
      <c r="X47" s="29">
        <f t="shared" si="0"/>
        <v>45896</v>
      </c>
      <c r="Y47" s="42">
        <v>45946</v>
      </c>
      <c r="Z47" s="30">
        <f t="shared" si="53"/>
        <v>45906</v>
      </c>
      <c r="AA47" s="42"/>
      <c r="AB47" s="31" t="str">
        <f t="shared" si="54"/>
        <v>-</v>
      </c>
      <c r="AC47" s="16"/>
      <c r="AD47" s="131">
        <f t="shared" si="55"/>
        <v>95</v>
      </c>
      <c r="AE47" s="16"/>
      <c r="AF47" s="95">
        <v>3788724</v>
      </c>
      <c r="AG47" s="67"/>
      <c r="AH47" s="67">
        <v>1603180</v>
      </c>
      <c r="AI47" s="194">
        <v>1885506</v>
      </c>
      <c r="AJ47" s="68">
        <f t="shared" si="56"/>
        <v>-282326</v>
      </c>
      <c r="AK47" s="102" t="s">
        <v>175</v>
      </c>
      <c r="AL47" s="48"/>
      <c r="AM47" s="105">
        <v>180</v>
      </c>
      <c r="AN47" s="69">
        <f t="shared" si="57"/>
        <v>45896</v>
      </c>
      <c r="AO47" s="107">
        <f>AN47-AU47</f>
        <v>-50</v>
      </c>
      <c r="AP47" s="48"/>
      <c r="AQ47" s="111">
        <v>23</v>
      </c>
      <c r="AR47" s="70">
        <f>IFERROR(WORKDAY.INTL(AN47,AQ47,11),"")</f>
        <v>45923</v>
      </c>
      <c r="AS47" s="107">
        <f>AR47-AU47</f>
        <v>-23</v>
      </c>
      <c r="AT47" s="48"/>
      <c r="AU47" s="113">
        <f t="shared" si="61"/>
        <v>45946</v>
      </c>
      <c r="AV47" s="119" t="str" cm="1">
        <f t="array" ref="AV47">IF(OR(G47&gt;$C$6,G47=""),$F$8,INDEX($E$8:$Z$8,MATCH(TRUE,(F47:AA47=""),0)))</f>
        <v>11. Subcontract Agreement signed</v>
      </c>
      <c r="AW47" s="116" t="b">
        <f t="shared" si="62"/>
        <v>1</v>
      </c>
      <c r="AX47" s="71" t="b">
        <f t="shared" si="63"/>
        <v>1</v>
      </c>
      <c r="AY47" s="71" t="b">
        <f t="shared" si="64"/>
        <v>1</v>
      </c>
      <c r="AZ47" s="71" t="b">
        <f t="shared" si="65"/>
        <v>1</v>
      </c>
      <c r="BA47" s="71" t="b">
        <f t="shared" si="66"/>
        <v>1</v>
      </c>
      <c r="BB47" s="71" t="b">
        <f t="shared" si="67"/>
        <v>1</v>
      </c>
      <c r="BC47" s="71" t="b">
        <f t="shared" si="68"/>
        <v>1</v>
      </c>
      <c r="BD47" s="71" t="b">
        <f t="shared" si="69"/>
        <v>1</v>
      </c>
      <c r="BE47" s="71" t="b">
        <f t="shared" si="70"/>
        <v>1</v>
      </c>
      <c r="BF47" s="71" t="b">
        <f t="shared" si="71"/>
        <v>1</v>
      </c>
      <c r="BG47" s="89" t="b">
        <f t="shared" si="72"/>
        <v>0</v>
      </c>
      <c r="BH47" s="146"/>
    </row>
    <row r="48" spans="1:60" ht="26.25" x14ac:dyDescent="0.25">
      <c r="A48" s="56" cm="1">
        <f t="array" ref="A48">SUMPRODUCT(($AV$10:$AV$55&lt;&gt;"")*(ROW($AV$10:$AV$55)&lt;=ROW()))</f>
        <v>32</v>
      </c>
      <c r="B48" s="59" t="s">
        <v>176</v>
      </c>
      <c r="C48" s="173" t="s">
        <v>177</v>
      </c>
      <c r="D48" s="59" t="s">
        <v>13</v>
      </c>
      <c r="E48" s="43"/>
      <c r="F48" s="44">
        <f t="shared" si="44"/>
        <v>45801</v>
      </c>
      <c r="G48" s="45">
        <v>45866</v>
      </c>
      <c r="H48" s="44">
        <f t="shared" si="45"/>
        <v>45808</v>
      </c>
      <c r="I48" s="45">
        <v>45929</v>
      </c>
      <c r="J48" s="44">
        <f t="shared" si="46"/>
        <v>45814</v>
      </c>
      <c r="K48" s="45">
        <v>45926</v>
      </c>
      <c r="L48" s="44">
        <f t="shared" si="47"/>
        <v>45817</v>
      </c>
      <c r="M48" s="45">
        <v>45930</v>
      </c>
      <c r="N48" s="44">
        <f t="shared" si="48"/>
        <v>45847</v>
      </c>
      <c r="O48" s="45">
        <v>45943</v>
      </c>
      <c r="P48" s="44">
        <f t="shared" si="49"/>
        <v>45857</v>
      </c>
      <c r="Q48" s="45">
        <v>45943</v>
      </c>
      <c r="R48" s="44">
        <f t="shared" si="50"/>
        <v>45877</v>
      </c>
      <c r="S48" s="45">
        <v>45943</v>
      </c>
      <c r="T48" s="44">
        <f t="shared" si="51"/>
        <v>45884</v>
      </c>
      <c r="U48" s="45">
        <v>45957</v>
      </c>
      <c r="V48" s="44">
        <f t="shared" si="52"/>
        <v>45891</v>
      </c>
      <c r="W48" s="45">
        <v>46000</v>
      </c>
      <c r="X48" s="44">
        <f t="shared" si="0"/>
        <v>45896</v>
      </c>
      <c r="Y48" s="45">
        <v>46008</v>
      </c>
      <c r="Z48" s="46">
        <f t="shared" si="53"/>
        <v>45906</v>
      </c>
      <c r="AA48" s="45"/>
      <c r="AB48" s="32" t="str">
        <f t="shared" si="54"/>
        <v>-</v>
      </c>
      <c r="AC48" s="16"/>
      <c r="AD48" s="131">
        <f t="shared" si="55"/>
        <v>95</v>
      </c>
      <c r="AE48" s="16"/>
      <c r="AF48" s="96">
        <v>296460</v>
      </c>
      <c r="AG48" s="72"/>
      <c r="AH48" s="72">
        <v>216987</v>
      </c>
      <c r="AI48" s="195">
        <v>1212106</v>
      </c>
      <c r="AJ48" s="73">
        <f t="shared" si="56"/>
        <v>-995119</v>
      </c>
      <c r="AK48" s="101" t="s">
        <v>178</v>
      </c>
      <c r="AL48" s="48"/>
      <c r="AM48" s="104">
        <v>180</v>
      </c>
      <c r="AN48" s="74">
        <f t="shared" si="57"/>
        <v>45896</v>
      </c>
      <c r="AO48" s="108">
        <f t="shared" ref="AO48:AO55" si="73">AN48-AU48</f>
        <v>-112</v>
      </c>
      <c r="AP48" s="48"/>
      <c r="AQ48" s="110">
        <v>42</v>
      </c>
      <c r="AR48" s="75">
        <f t="shared" ref="AR48:AR55" si="74">IFERROR(WORKDAY.INTL(AN48,AQ48,11),"")</f>
        <v>45945</v>
      </c>
      <c r="AS48" s="108">
        <f t="shared" ref="AS48:AS55" si="75">AR48-AU48</f>
        <v>-63</v>
      </c>
      <c r="AT48" s="48"/>
      <c r="AU48" s="114">
        <f t="shared" si="61"/>
        <v>46008</v>
      </c>
      <c r="AV48" s="120" t="str" cm="1">
        <f t="array" ref="AV48">IF(OR(G48&gt;$C$6,G48=""),$F$8,INDEX($E$8:$Z$8,MATCH(TRUE,(F48:AA48=""),0)))</f>
        <v>11. Subcontract Agreement signed</v>
      </c>
      <c r="AW48" s="117" t="b">
        <f t="shared" si="62"/>
        <v>1</v>
      </c>
      <c r="AX48" s="76" t="b">
        <f t="shared" si="63"/>
        <v>1</v>
      </c>
      <c r="AY48" s="76" t="b">
        <f t="shared" si="64"/>
        <v>1</v>
      </c>
      <c r="AZ48" s="76" t="b">
        <f t="shared" si="65"/>
        <v>1</v>
      </c>
      <c r="BA48" s="76" t="b">
        <f t="shared" si="66"/>
        <v>1</v>
      </c>
      <c r="BB48" s="76" t="b">
        <f t="shared" si="67"/>
        <v>1</v>
      </c>
      <c r="BC48" s="76" t="b">
        <f t="shared" si="68"/>
        <v>1</v>
      </c>
      <c r="BD48" s="76" t="b">
        <f t="shared" si="69"/>
        <v>1</v>
      </c>
      <c r="BE48" s="76" t="b">
        <f t="shared" si="70"/>
        <v>1</v>
      </c>
      <c r="BF48" s="76" t="b">
        <f t="shared" si="71"/>
        <v>1</v>
      </c>
      <c r="BG48" s="90" t="b">
        <f t="shared" si="72"/>
        <v>0</v>
      </c>
      <c r="BH48" s="146"/>
    </row>
    <row r="49" spans="1:60" ht="26.25" x14ac:dyDescent="0.25">
      <c r="A49" s="56" cm="1">
        <f t="array" ref="A49">SUMPRODUCT(($AV$10:$AV$55&lt;&gt;"")*(ROW($AV$10:$AV$55)&lt;=ROW()))</f>
        <v>33</v>
      </c>
      <c r="B49" s="57" t="s">
        <v>176</v>
      </c>
      <c r="C49" s="169" t="s">
        <v>179</v>
      </c>
      <c r="D49" s="93" t="s">
        <v>13</v>
      </c>
      <c r="E49" s="16"/>
      <c r="F49" s="29">
        <f t="shared" si="44"/>
        <v>45801</v>
      </c>
      <c r="G49" s="42">
        <v>45866</v>
      </c>
      <c r="H49" s="29">
        <f t="shared" si="45"/>
        <v>45808</v>
      </c>
      <c r="I49" s="42">
        <v>45929</v>
      </c>
      <c r="J49" s="29">
        <f t="shared" si="46"/>
        <v>45814</v>
      </c>
      <c r="K49" s="42">
        <v>45926</v>
      </c>
      <c r="L49" s="29">
        <f t="shared" si="47"/>
        <v>45817</v>
      </c>
      <c r="M49" s="42">
        <v>45930</v>
      </c>
      <c r="N49" s="29">
        <f t="shared" si="48"/>
        <v>45847</v>
      </c>
      <c r="O49" s="42">
        <v>45943</v>
      </c>
      <c r="P49" s="29">
        <f t="shared" si="49"/>
        <v>45857</v>
      </c>
      <c r="Q49" s="42">
        <v>45943</v>
      </c>
      <c r="R49" s="29">
        <f t="shared" si="50"/>
        <v>45877</v>
      </c>
      <c r="S49" s="42">
        <v>45943</v>
      </c>
      <c r="T49" s="29">
        <f t="shared" si="51"/>
        <v>45884</v>
      </c>
      <c r="U49" s="42">
        <v>45957</v>
      </c>
      <c r="V49" s="29">
        <f t="shared" si="52"/>
        <v>45891</v>
      </c>
      <c r="W49" s="42">
        <v>46000</v>
      </c>
      <c r="X49" s="29">
        <f t="shared" si="0"/>
        <v>45896</v>
      </c>
      <c r="Y49" s="42">
        <v>46008</v>
      </c>
      <c r="Z49" s="30">
        <f t="shared" si="53"/>
        <v>45906</v>
      </c>
      <c r="AA49" s="42"/>
      <c r="AB49" s="31" t="str">
        <f t="shared" si="54"/>
        <v>-</v>
      </c>
      <c r="AC49" s="16"/>
      <c r="AD49" s="131">
        <f t="shared" si="55"/>
        <v>95</v>
      </c>
      <c r="AE49" s="16"/>
      <c r="AF49" s="95">
        <v>2000000</v>
      </c>
      <c r="AG49" s="67"/>
      <c r="AH49" s="67">
        <v>1084880</v>
      </c>
      <c r="AI49" s="67" t="s">
        <v>134</v>
      </c>
      <c r="AJ49" s="68">
        <f t="shared" si="56"/>
        <v>1084880</v>
      </c>
      <c r="AK49" s="102" t="s">
        <v>178</v>
      </c>
      <c r="AL49" s="48"/>
      <c r="AM49" s="105">
        <v>180</v>
      </c>
      <c r="AN49" s="69">
        <f t="shared" si="57"/>
        <v>45896</v>
      </c>
      <c r="AO49" s="107">
        <f t="shared" si="73"/>
        <v>-112</v>
      </c>
      <c r="AP49" s="48"/>
      <c r="AQ49" s="111">
        <v>129</v>
      </c>
      <c r="AR49" s="70">
        <f t="shared" si="74"/>
        <v>46046</v>
      </c>
      <c r="AS49" s="107">
        <f t="shared" si="75"/>
        <v>38</v>
      </c>
      <c r="AT49" s="48"/>
      <c r="AU49" s="113">
        <f t="shared" si="61"/>
        <v>46008</v>
      </c>
      <c r="AV49" s="119" t="str" cm="1">
        <f t="array" ref="AV49">IF(OR(G49&gt;$C$6,G49=""),$F$8,INDEX($E$8:$Z$8,MATCH(TRUE,(F49:AA49=""),0)))</f>
        <v>11. Subcontract Agreement signed</v>
      </c>
      <c r="AW49" s="116" t="b">
        <f t="shared" si="62"/>
        <v>1</v>
      </c>
      <c r="AX49" s="71" t="b">
        <f t="shared" si="63"/>
        <v>1</v>
      </c>
      <c r="AY49" s="71" t="b">
        <f t="shared" si="64"/>
        <v>1</v>
      </c>
      <c r="AZ49" s="71" t="b">
        <f t="shared" si="65"/>
        <v>1</v>
      </c>
      <c r="BA49" s="71" t="b">
        <f t="shared" si="66"/>
        <v>1</v>
      </c>
      <c r="BB49" s="71" t="b">
        <f t="shared" si="67"/>
        <v>1</v>
      </c>
      <c r="BC49" s="71" t="b">
        <f t="shared" si="68"/>
        <v>1</v>
      </c>
      <c r="BD49" s="71" t="b">
        <f t="shared" si="69"/>
        <v>1</v>
      </c>
      <c r="BE49" s="71" t="b">
        <f t="shared" si="70"/>
        <v>1</v>
      </c>
      <c r="BF49" s="71" t="b">
        <f t="shared" si="71"/>
        <v>1</v>
      </c>
      <c r="BG49" s="89" t="b">
        <f t="shared" si="72"/>
        <v>0</v>
      </c>
      <c r="BH49" s="146"/>
    </row>
    <row r="50" spans="1:60" ht="26.25" x14ac:dyDescent="0.25">
      <c r="A50" s="56" cm="1">
        <f t="array" ref="A50">SUMPRODUCT(($AV$10:$AV$55&lt;&gt;"")*(ROW($AV$10:$AV$55)&lt;=ROW()))</f>
        <v>34</v>
      </c>
      <c r="B50" s="59" t="s">
        <v>150</v>
      </c>
      <c r="C50" s="176" t="s">
        <v>180</v>
      </c>
      <c r="D50" s="59" t="s">
        <v>13</v>
      </c>
      <c r="E50" s="43"/>
      <c r="F50" s="44">
        <f t="shared" si="44"/>
        <v>45921</v>
      </c>
      <c r="G50" s="45">
        <v>45940</v>
      </c>
      <c r="H50" s="44">
        <f t="shared" si="45"/>
        <v>45928</v>
      </c>
      <c r="I50" s="45">
        <v>45950</v>
      </c>
      <c r="J50" s="44">
        <f t="shared" si="46"/>
        <v>45934</v>
      </c>
      <c r="K50" s="45">
        <v>45950</v>
      </c>
      <c r="L50" s="44">
        <f t="shared" si="47"/>
        <v>45937</v>
      </c>
      <c r="M50" s="45"/>
      <c r="N50" s="44">
        <f t="shared" si="48"/>
        <v>45967</v>
      </c>
      <c r="O50" s="45"/>
      <c r="P50" s="44">
        <f t="shared" si="49"/>
        <v>45977</v>
      </c>
      <c r="Q50" s="45"/>
      <c r="R50" s="44">
        <f t="shared" si="50"/>
        <v>45997</v>
      </c>
      <c r="S50" s="45"/>
      <c r="T50" s="44">
        <f t="shared" si="51"/>
        <v>46004</v>
      </c>
      <c r="U50" s="45"/>
      <c r="V50" s="44">
        <f t="shared" si="52"/>
        <v>46011</v>
      </c>
      <c r="W50" s="45"/>
      <c r="X50" s="44">
        <f t="shared" si="0"/>
        <v>46016</v>
      </c>
      <c r="Y50" s="45"/>
      <c r="Z50" s="46">
        <f t="shared" si="53"/>
        <v>46026</v>
      </c>
      <c r="AA50" s="45"/>
      <c r="AB50" s="32">
        <f t="shared" si="54"/>
        <v>170</v>
      </c>
      <c r="AC50" s="16"/>
      <c r="AD50" s="131">
        <f t="shared" si="55"/>
        <v>95</v>
      </c>
      <c r="AE50" s="16"/>
      <c r="AF50" s="96">
        <v>8064466</v>
      </c>
      <c r="AG50" s="72"/>
      <c r="AH50" s="72">
        <v>1613190</v>
      </c>
      <c r="AI50" s="72"/>
      <c r="AJ50" s="73" t="str">
        <f t="shared" si="56"/>
        <v/>
      </c>
      <c r="AK50" s="101"/>
      <c r="AL50" s="48"/>
      <c r="AM50" s="104">
        <v>300</v>
      </c>
      <c r="AN50" s="74">
        <f t="shared" si="57"/>
        <v>46016</v>
      </c>
      <c r="AO50" s="108">
        <f t="shared" si="73"/>
        <v>-178</v>
      </c>
      <c r="AP50" s="48"/>
      <c r="AQ50" s="110">
        <v>228</v>
      </c>
      <c r="AR50" s="75">
        <f t="shared" si="74"/>
        <v>46282</v>
      </c>
      <c r="AS50" s="108">
        <f t="shared" si="75"/>
        <v>88</v>
      </c>
      <c r="AT50" s="48"/>
      <c r="AU50" s="114">
        <f t="shared" si="61"/>
        <v>46194</v>
      </c>
      <c r="AV50" s="120" t="str" cm="1">
        <f t="array" ref="AV50">IF(OR(G50&gt;$C$6,G50=""),$F$8,INDEX($E$8:$Z$8,MATCH(TRUE,(F50:AA50=""),0)))</f>
        <v>4. Tender Float</v>
      </c>
      <c r="AW50" s="117" t="b">
        <f t="shared" si="62"/>
        <v>1</v>
      </c>
      <c r="AX50" s="76" t="b">
        <f t="shared" si="63"/>
        <v>1</v>
      </c>
      <c r="AY50" s="76" t="b">
        <f t="shared" si="64"/>
        <v>1</v>
      </c>
      <c r="AZ50" s="76" t="b">
        <f t="shared" si="65"/>
        <v>0</v>
      </c>
      <c r="BA50" s="76" t="b">
        <f t="shared" si="66"/>
        <v>0</v>
      </c>
      <c r="BB50" s="76" t="b">
        <f t="shared" si="67"/>
        <v>0</v>
      </c>
      <c r="BC50" s="76" t="b">
        <f t="shared" si="68"/>
        <v>0</v>
      </c>
      <c r="BD50" s="76" t="b">
        <f t="shared" si="69"/>
        <v>0</v>
      </c>
      <c r="BE50" s="76" t="b">
        <f t="shared" si="70"/>
        <v>0</v>
      </c>
      <c r="BF50" s="76" t="b">
        <f t="shared" si="71"/>
        <v>0</v>
      </c>
      <c r="BG50" s="90" t="b">
        <f t="shared" si="72"/>
        <v>0</v>
      </c>
      <c r="BH50" s="146"/>
    </row>
    <row r="51" spans="1:60" ht="26.25" x14ac:dyDescent="0.25">
      <c r="A51" s="56" cm="1">
        <f t="array" ref="A51">SUMPRODUCT(($AV$10:$AV$55&lt;&gt;"")*(ROW($AV$10:$AV$55)&lt;=ROW()))</f>
        <v>35</v>
      </c>
      <c r="B51" s="57" t="s">
        <v>150</v>
      </c>
      <c r="C51" s="169" t="s">
        <v>181</v>
      </c>
      <c r="D51" s="93" t="s">
        <v>13</v>
      </c>
      <c r="E51" s="16"/>
      <c r="F51" s="29">
        <f t="shared" si="44"/>
        <v>45921</v>
      </c>
      <c r="G51" s="42">
        <v>45940</v>
      </c>
      <c r="H51" s="29">
        <f t="shared" si="45"/>
        <v>45928</v>
      </c>
      <c r="I51" s="42">
        <v>45950</v>
      </c>
      <c r="J51" s="29">
        <f t="shared" si="46"/>
        <v>45934</v>
      </c>
      <c r="K51" s="42">
        <v>45950</v>
      </c>
      <c r="L51" s="29">
        <f t="shared" si="47"/>
        <v>45937</v>
      </c>
      <c r="M51" s="42"/>
      <c r="N51" s="29">
        <f t="shared" si="48"/>
        <v>45967</v>
      </c>
      <c r="O51" s="42"/>
      <c r="P51" s="29">
        <f t="shared" si="49"/>
        <v>45977</v>
      </c>
      <c r="Q51" s="42"/>
      <c r="R51" s="29">
        <f t="shared" si="50"/>
        <v>45997</v>
      </c>
      <c r="S51" s="42"/>
      <c r="T51" s="29">
        <f t="shared" si="51"/>
        <v>46004</v>
      </c>
      <c r="U51" s="42"/>
      <c r="V51" s="29">
        <f t="shared" si="52"/>
        <v>46011</v>
      </c>
      <c r="W51" s="42"/>
      <c r="X51" s="29">
        <f t="shared" si="0"/>
        <v>46016</v>
      </c>
      <c r="Y51" s="42"/>
      <c r="Z51" s="30">
        <f t="shared" si="53"/>
        <v>46026</v>
      </c>
      <c r="AA51" s="42"/>
      <c r="AB51" s="31">
        <f t="shared" si="54"/>
        <v>170</v>
      </c>
      <c r="AC51" s="16"/>
      <c r="AD51" s="131">
        <f t="shared" si="55"/>
        <v>95</v>
      </c>
      <c r="AE51" s="16"/>
      <c r="AF51" s="97" t="s">
        <v>182</v>
      </c>
      <c r="AG51" s="67"/>
      <c r="AH51" s="67"/>
      <c r="AI51" s="67" t="s">
        <v>453</v>
      </c>
      <c r="AJ51" s="68">
        <f t="shared" si="56"/>
        <v>0</v>
      </c>
      <c r="AK51" s="102" t="s">
        <v>132</v>
      </c>
      <c r="AL51" s="48"/>
      <c r="AM51" s="105">
        <v>300</v>
      </c>
      <c r="AN51" s="69">
        <f t="shared" si="57"/>
        <v>46016</v>
      </c>
      <c r="AO51" s="107">
        <f t="shared" si="73"/>
        <v>-178</v>
      </c>
      <c r="AP51" s="48"/>
      <c r="AQ51" s="111">
        <f>AQ50</f>
        <v>228</v>
      </c>
      <c r="AR51" s="70">
        <f t="shared" si="74"/>
        <v>46282</v>
      </c>
      <c r="AS51" s="107">
        <f t="shared" si="75"/>
        <v>88</v>
      </c>
      <c r="AT51" s="48"/>
      <c r="AU51" s="113">
        <f t="shared" si="61"/>
        <v>46194</v>
      </c>
      <c r="AV51" s="119" t="str" cm="1">
        <f t="array" ref="AV51">IF(OR(G51&gt;$C$6,G51=""),$F$8,INDEX($E$8:$Z$8,MATCH(TRUE,(F51:AA51=""),0)))</f>
        <v>4. Tender Float</v>
      </c>
      <c r="AW51" s="116" t="b">
        <f t="shared" si="62"/>
        <v>1</v>
      </c>
      <c r="AX51" s="71" t="b">
        <f t="shared" si="63"/>
        <v>1</v>
      </c>
      <c r="AY51" s="71" t="b">
        <f t="shared" si="64"/>
        <v>1</v>
      </c>
      <c r="AZ51" s="71" t="b">
        <f t="shared" si="65"/>
        <v>0</v>
      </c>
      <c r="BA51" s="71" t="b">
        <f t="shared" si="66"/>
        <v>0</v>
      </c>
      <c r="BB51" s="71" t="b">
        <f t="shared" si="67"/>
        <v>0</v>
      </c>
      <c r="BC51" s="71" t="b">
        <f t="shared" si="68"/>
        <v>0</v>
      </c>
      <c r="BD51" s="71" t="b">
        <f t="shared" si="69"/>
        <v>0</v>
      </c>
      <c r="BE51" s="71" t="b">
        <f t="shared" si="70"/>
        <v>0</v>
      </c>
      <c r="BF51" s="71" t="b">
        <f t="shared" si="71"/>
        <v>0</v>
      </c>
      <c r="BG51" s="89" t="b">
        <f t="shared" si="72"/>
        <v>0</v>
      </c>
      <c r="BH51" s="146"/>
    </row>
    <row r="52" spans="1:60" ht="26.25" x14ac:dyDescent="0.25">
      <c r="A52" s="56" cm="1">
        <f t="array" ref="A52">SUMPRODUCT(($AV$10:$AV$55&lt;&gt;"")*(ROW($AV$10:$AV$55)&lt;=ROW()))</f>
        <v>36</v>
      </c>
      <c r="B52" s="59" t="s">
        <v>150</v>
      </c>
      <c r="C52" s="176" t="s">
        <v>183</v>
      </c>
      <c r="D52" s="59" t="s">
        <v>13</v>
      </c>
      <c r="E52" s="43"/>
      <c r="F52" s="44">
        <f t="shared" si="44"/>
        <v>45921</v>
      </c>
      <c r="G52" s="45">
        <v>45940</v>
      </c>
      <c r="H52" s="44">
        <f t="shared" si="45"/>
        <v>45928</v>
      </c>
      <c r="I52" s="45">
        <v>45950</v>
      </c>
      <c r="J52" s="44">
        <f t="shared" si="46"/>
        <v>45934</v>
      </c>
      <c r="K52" s="45">
        <v>45950</v>
      </c>
      <c r="L52" s="44">
        <f t="shared" si="47"/>
        <v>45937</v>
      </c>
      <c r="M52" s="45">
        <v>46048</v>
      </c>
      <c r="N52" s="44">
        <f t="shared" si="48"/>
        <v>45967</v>
      </c>
      <c r="O52" s="45"/>
      <c r="P52" s="44">
        <f t="shared" si="49"/>
        <v>45977</v>
      </c>
      <c r="Q52" s="45"/>
      <c r="R52" s="44">
        <f t="shared" si="50"/>
        <v>45997</v>
      </c>
      <c r="S52" s="45"/>
      <c r="T52" s="44">
        <f t="shared" si="51"/>
        <v>46004</v>
      </c>
      <c r="U52" s="45"/>
      <c r="V52" s="44">
        <f t="shared" si="52"/>
        <v>46011</v>
      </c>
      <c r="W52" s="45"/>
      <c r="X52" s="44">
        <f t="shared" si="0"/>
        <v>46016</v>
      </c>
      <c r="Y52" s="45"/>
      <c r="Z52" s="46">
        <f t="shared" si="53"/>
        <v>46026</v>
      </c>
      <c r="AA52" s="45"/>
      <c r="AB52" s="32">
        <f t="shared" si="54"/>
        <v>-32</v>
      </c>
      <c r="AC52" s="16"/>
      <c r="AD52" s="131">
        <f t="shared" si="55"/>
        <v>95</v>
      </c>
      <c r="AE52" s="16"/>
      <c r="AF52" s="96">
        <v>1937980</v>
      </c>
      <c r="AG52" s="72"/>
      <c r="AH52" s="72">
        <v>1051238</v>
      </c>
      <c r="AI52" s="72"/>
      <c r="AJ52" s="73" t="str">
        <f t="shared" si="56"/>
        <v/>
      </c>
      <c r="AK52" s="101"/>
      <c r="AL52" s="48"/>
      <c r="AM52" s="104">
        <v>300</v>
      </c>
      <c r="AN52" s="74">
        <f t="shared" si="57"/>
        <v>46016</v>
      </c>
      <c r="AO52" s="108">
        <f t="shared" si="73"/>
        <v>-175</v>
      </c>
      <c r="AP52" s="48"/>
      <c r="AQ52" s="110">
        <v>55</v>
      </c>
      <c r="AR52" s="75">
        <f t="shared" si="74"/>
        <v>46080</v>
      </c>
      <c r="AS52" s="108">
        <f t="shared" si="75"/>
        <v>-111</v>
      </c>
      <c r="AT52" s="48"/>
      <c r="AU52" s="114">
        <f t="shared" si="61"/>
        <v>46191</v>
      </c>
      <c r="AV52" s="120" t="str" cm="1">
        <f t="array" ref="AV52">IF(OR(G52&gt;$C$6,G52=""),$F$8,INDEX($E$8:$Z$8,MATCH(TRUE,(F52:AA52=""),0)))</f>
        <v>5. Initial submission</v>
      </c>
      <c r="AW52" s="117" t="b">
        <f t="shared" si="62"/>
        <v>1</v>
      </c>
      <c r="AX52" s="76" t="b">
        <f t="shared" si="63"/>
        <v>1</v>
      </c>
      <c r="AY52" s="76" t="b">
        <f t="shared" si="64"/>
        <v>1</v>
      </c>
      <c r="AZ52" s="76" t="b">
        <f t="shared" si="65"/>
        <v>1</v>
      </c>
      <c r="BA52" s="76" t="b">
        <f t="shared" si="66"/>
        <v>0</v>
      </c>
      <c r="BB52" s="76" t="b">
        <f t="shared" si="67"/>
        <v>0</v>
      </c>
      <c r="BC52" s="76" t="b">
        <f t="shared" si="68"/>
        <v>0</v>
      </c>
      <c r="BD52" s="76" t="b">
        <f t="shared" si="69"/>
        <v>0</v>
      </c>
      <c r="BE52" s="76" t="b">
        <f t="shared" si="70"/>
        <v>0</v>
      </c>
      <c r="BF52" s="76" t="b">
        <f t="shared" si="71"/>
        <v>0</v>
      </c>
      <c r="BG52" s="90" t="b">
        <f t="shared" si="72"/>
        <v>0</v>
      </c>
      <c r="BH52" s="146"/>
    </row>
    <row r="53" spans="1:60" ht="26.25" x14ac:dyDescent="0.25">
      <c r="A53" s="56" cm="1">
        <f t="array" ref="A53">SUMPRODUCT(($AV$10:$AV$55&lt;&gt;"")*(ROW($AV$10:$AV$55)&lt;=ROW()))</f>
        <v>37</v>
      </c>
      <c r="B53" s="57" t="s">
        <v>150</v>
      </c>
      <c r="C53" s="183" t="s">
        <v>184</v>
      </c>
      <c r="D53" s="93" t="s">
        <v>13</v>
      </c>
      <c r="E53" s="16"/>
      <c r="F53" s="29">
        <f t="shared" si="44"/>
        <v>45921</v>
      </c>
      <c r="G53" s="42">
        <v>45940</v>
      </c>
      <c r="H53" s="29">
        <f t="shared" si="45"/>
        <v>45928</v>
      </c>
      <c r="I53" s="42">
        <v>45950</v>
      </c>
      <c r="J53" s="29">
        <f t="shared" si="46"/>
        <v>45934</v>
      </c>
      <c r="K53" s="42">
        <v>45950</v>
      </c>
      <c r="L53" s="29">
        <f t="shared" si="47"/>
        <v>45937</v>
      </c>
      <c r="M53" s="42">
        <v>46048</v>
      </c>
      <c r="N53" s="29">
        <f t="shared" si="48"/>
        <v>45967</v>
      </c>
      <c r="O53" s="42"/>
      <c r="P53" s="29">
        <f t="shared" si="49"/>
        <v>45977</v>
      </c>
      <c r="Q53" s="42"/>
      <c r="R53" s="29">
        <f t="shared" si="50"/>
        <v>45997</v>
      </c>
      <c r="S53" s="42"/>
      <c r="T53" s="29">
        <f t="shared" si="51"/>
        <v>46004</v>
      </c>
      <c r="U53" s="42"/>
      <c r="V53" s="29">
        <f t="shared" si="52"/>
        <v>46011</v>
      </c>
      <c r="W53" s="42"/>
      <c r="X53" s="29">
        <f t="shared" si="0"/>
        <v>46016</v>
      </c>
      <c r="Y53" s="42"/>
      <c r="Z53" s="30">
        <f t="shared" si="53"/>
        <v>46026</v>
      </c>
      <c r="AA53" s="42"/>
      <c r="AB53" s="31">
        <f t="shared" si="54"/>
        <v>-39</v>
      </c>
      <c r="AC53" s="16"/>
      <c r="AD53" s="131">
        <f t="shared" si="55"/>
        <v>95</v>
      </c>
      <c r="AE53" s="16"/>
      <c r="AF53" s="95">
        <v>1463114</v>
      </c>
      <c r="AG53" s="67"/>
      <c r="AH53" s="67">
        <v>835315</v>
      </c>
      <c r="AI53" s="67">
        <v>450321</v>
      </c>
      <c r="AJ53" s="68">
        <f t="shared" si="56"/>
        <v>384994</v>
      </c>
      <c r="AK53" s="172" t="s">
        <v>452</v>
      </c>
      <c r="AL53" s="48"/>
      <c r="AM53" s="105">
        <v>300</v>
      </c>
      <c r="AN53" s="69">
        <f t="shared" si="57"/>
        <v>46016</v>
      </c>
      <c r="AO53" s="107">
        <f t="shared" si="73"/>
        <v>-175</v>
      </c>
      <c r="AP53" s="48"/>
      <c r="AQ53" s="111">
        <v>49</v>
      </c>
      <c r="AR53" s="70">
        <f t="shared" si="74"/>
        <v>46073</v>
      </c>
      <c r="AS53" s="107">
        <f t="shared" si="75"/>
        <v>-118</v>
      </c>
      <c r="AT53" s="48"/>
      <c r="AU53" s="113">
        <f t="shared" si="61"/>
        <v>46191</v>
      </c>
      <c r="AV53" s="119" t="str" cm="1">
        <f t="array" ref="AV53">IF(OR(G53&gt;$C$6,G53=""),$F$8,INDEX($E$8:$Z$8,MATCH(TRUE,(F53:AA53=""),0)))</f>
        <v>5. Initial submission</v>
      </c>
      <c r="AW53" s="116" t="b">
        <f t="shared" si="62"/>
        <v>1</v>
      </c>
      <c r="AX53" s="71" t="b">
        <f t="shared" si="63"/>
        <v>1</v>
      </c>
      <c r="AY53" s="71" t="b">
        <f t="shared" si="64"/>
        <v>1</v>
      </c>
      <c r="AZ53" s="71" t="b">
        <f t="shared" si="65"/>
        <v>1</v>
      </c>
      <c r="BA53" s="71" t="b">
        <f t="shared" si="66"/>
        <v>0</v>
      </c>
      <c r="BB53" s="71" t="b">
        <f t="shared" si="67"/>
        <v>0</v>
      </c>
      <c r="BC53" s="71" t="b">
        <f t="shared" si="68"/>
        <v>0</v>
      </c>
      <c r="BD53" s="71" t="b">
        <f t="shared" si="69"/>
        <v>0</v>
      </c>
      <c r="BE53" s="71" t="b">
        <f t="shared" si="70"/>
        <v>0</v>
      </c>
      <c r="BF53" s="71" t="b">
        <f t="shared" si="71"/>
        <v>0</v>
      </c>
      <c r="BG53" s="89" t="b">
        <f t="shared" si="72"/>
        <v>0</v>
      </c>
      <c r="BH53" s="146"/>
    </row>
    <row r="54" spans="1:60" ht="26.25" x14ac:dyDescent="0.25">
      <c r="A54" s="56" cm="1">
        <f t="array" ref="A54">SUMPRODUCT(($AV$10:$AV$55&lt;&gt;"")*(ROW($AV$10:$AV$55)&lt;=ROW()))</f>
        <v>38</v>
      </c>
      <c r="B54" s="59" t="s">
        <v>185</v>
      </c>
      <c r="C54" s="183" t="s">
        <v>186</v>
      </c>
      <c r="D54" s="59" t="s">
        <v>13</v>
      </c>
      <c r="E54" s="43"/>
      <c r="F54" s="44">
        <f t="shared" si="44"/>
        <v>45921</v>
      </c>
      <c r="G54" s="45">
        <v>45854</v>
      </c>
      <c r="H54" s="44">
        <f t="shared" si="45"/>
        <v>45928</v>
      </c>
      <c r="I54" s="45">
        <v>45854</v>
      </c>
      <c r="J54" s="44">
        <f t="shared" si="46"/>
        <v>45934</v>
      </c>
      <c r="K54" s="45">
        <v>45854</v>
      </c>
      <c r="L54" s="44">
        <f t="shared" si="47"/>
        <v>45937</v>
      </c>
      <c r="M54" s="45">
        <v>46043</v>
      </c>
      <c r="N54" s="44">
        <f t="shared" si="48"/>
        <v>45967</v>
      </c>
      <c r="O54" s="45"/>
      <c r="P54" s="44">
        <f t="shared" si="49"/>
        <v>45977</v>
      </c>
      <c r="Q54" s="45"/>
      <c r="R54" s="44">
        <f t="shared" si="50"/>
        <v>45997</v>
      </c>
      <c r="S54" s="45"/>
      <c r="T54" s="44">
        <f t="shared" si="51"/>
        <v>46004</v>
      </c>
      <c r="U54" s="45"/>
      <c r="V54" s="44">
        <f t="shared" si="52"/>
        <v>46011</v>
      </c>
      <c r="W54" s="45"/>
      <c r="X54" s="44">
        <f t="shared" si="0"/>
        <v>46016</v>
      </c>
      <c r="Y54" s="45"/>
      <c r="Z54" s="46">
        <f t="shared" si="53"/>
        <v>46026</v>
      </c>
      <c r="AA54" s="45"/>
      <c r="AB54" s="32">
        <f t="shared" si="54"/>
        <v>-39</v>
      </c>
      <c r="AC54" s="16"/>
      <c r="AD54" s="131">
        <f t="shared" si="55"/>
        <v>95</v>
      </c>
      <c r="AE54" s="16"/>
      <c r="AF54" s="96">
        <v>1955160</v>
      </c>
      <c r="AG54" s="72"/>
      <c r="AH54" s="72">
        <v>1104443</v>
      </c>
      <c r="AI54" s="72">
        <v>1476300</v>
      </c>
      <c r="AJ54" s="73">
        <f t="shared" si="56"/>
        <v>-371857</v>
      </c>
      <c r="AK54" s="172" t="s">
        <v>451</v>
      </c>
      <c r="AL54" s="48"/>
      <c r="AM54" s="104">
        <v>300</v>
      </c>
      <c r="AN54" s="74">
        <f t="shared" si="57"/>
        <v>46016</v>
      </c>
      <c r="AO54" s="108">
        <f t="shared" si="73"/>
        <v>-175</v>
      </c>
      <c r="AP54" s="48"/>
      <c r="AQ54" s="110">
        <v>49</v>
      </c>
      <c r="AR54" s="75">
        <f t="shared" si="74"/>
        <v>46073</v>
      </c>
      <c r="AS54" s="108">
        <f t="shared" si="75"/>
        <v>-118</v>
      </c>
      <c r="AT54" s="48"/>
      <c r="AU54" s="114">
        <f t="shared" si="61"/>
        <v>46191</v>
      </c>
      <c r="AV54" s="120" t="str" cm="1">
        <f t="array" ref="AV54">IF(OR(G54&gt;$C$6,G54=""),$F$8,INDEX($E$8:$Z$8,MATCH(TRUE,(F54:AA54=""),0)))</f>
        <v>5. Initial submission</v>
      </c>
      <c r="AW54" s="117" t="b">
        <f t="shared" si="62"/>
        <v>1</v>
      </c>
      <c r="AX54" s="76" t="b">
        <f t="shared" si="63"/>
        <v>1</v>
      </c>
      <c r="AY54" s="76" t="b">
        <f t="shared" si="64"/>
        <v>1</v>
      </c>
      <c r="AZ54" s="76" t="b">
        <f t="shared" si="65"/>
        <v>1</v>
      </c>
      <c r="BA54" s="76" t="b">
        <f t="shared" si="66"/>
        <v>0</v>
      </c>
      <c r="BB54" s="76" t="b">
        <f t="shared" si="67"/>
        <v>0</v>
      </c>
      <c r="BC54" s="76" t="b">
        <f t="shared" si="68"/>
        <v>0</v>
      </c>
      <c r="BD54" s="76" t="b">
        <f t="shared" si="69"/>
        <v>0</v>
      </c>
      <c r="BE54" s="76" t="b">
        <f t="shared" si="70"/>
        <v>0</v>
      </c>
      <c r="BF54" s="76" t="b">
        <f t="shared" si="71"/>
        <v>0</v>
      </c>
      <c r="BG54" s="90" t="b">
        <f t="shared" si="72"/>
        <v>0</v>
      </c>
      <c r="BH54" s="146"/>
    </row>
    <row r="55" spans="1:60" ht="26.25" x14ac:dyDescent="0.25">
      <c r="A55" s="62" cm="1">
        <f t="array" ref="A55">SUMPRODUCT(($AV$10:$AV$55&lt;&gt;"")*(ROW($AV$10:$AV$55)&lt;=ROW()))</f>
        <v>39</v>
      </c>
      <c r="B55" s="63" t="s">
        <v>187</v>
      </c>
      <c r="C55" s="175" t="s">
        <v>188</v>
      </c>
      <c r="D55" s="94" t="s">
        <v>13</v>
      </c>
      <c r="E55" s="16"/>
      <c r="F55" s="82">
        <f t="shared" si="44"/>
        <v>45921</v>
      </c>
      <c r="G55" s="83">
        <v>45866</v>
      </c>
      <c r="H55" s="82">
        <f t="shared" si="45"/>
        <v>45928</v>
      </c>
      <c r="I55" s="83">
        <v>45866</v>
      </c>
      <c r="J55" s="82">
        <f t="shared" si="46"/>
        <v>45934</v>
      </c>
      <c r="K55" s="83">
        <v>45978</v>
      </c>
      <c r="L55" s="82">
        <f t="shared" si="47"/>
        <v>45937</v>
      </c>
      <c r="M55" s="83">
        <v>45985</v>
      </c>
      <c r="N55" s="82">
        <f t="shared" si="48"/>
        <v>45967</v>
      </c>
      <c r="O55" s="83"/>
      <c r="P55" s="82">
        <f t="shared" si="49"/>
        <v>45977</v>
      </c>
      <c r="Q55" s="83"/>
      <c r="R55" s="82">
        <f t="shared" si="50"/>
        <v>45997</v>
      </c>
      <c r="S55" s="83"/>
      <c r="T55" s="82">
        <f t="shared" si="51"/>
        <v>46004</v>
      </c>
      <c r="U55" s="83"/>
      <c r="V55" s="82">
        <f t="shared" si="52"/>
        <v>46011</v>
      </c>
      <c r="W55" s="83"/>
      <c r="X55" s="82">
        <f t="shared" si="0"/>
        <v>46016</v>
      </c>
      <c r="Y55" s="83"/>
      <c r="Z55" s="84">
        <f t="shared" si="53"/>
        <v>46026</v>
      </c>
      <c r="AA55" s="83"/>
      <c r="AB55" s="85">
        <f t="shared" si="54"/>
        <v>112</v>
      </c>
      <c r="AC55" s="16"/>
      <c r="AD55" s="133">
        <f t="shared" si="55"/>
        <v>95</v>
      </c>
      <c r="AE55" s="16"/>
      <c r="AF55" s="98">
        <v>14335281</v>
      </c>
      <c r="AG55" s="77"/>
      <c r="AH55" s="77">
        <v>3236620</v>
      </c>
      <c r="AI55" s="77"/>
      <c r="AJ55" s="78" t="str">
        <f t="shared" si="56"/>
        <v/>
      </c>
      <c r="AK55" s="103"/>
      <c r="AL55" s="48"/>
      <c r="AM55" s="106">
        <v>300</v>
      </c>
      <c r="AN55" s="79">
        <f t="shared" si="57"/>
        <v>46016</v>
      </c>
      <c r="AO55" s="109">
        <f t="shared" si="73"/>
        <v>-175</v>
      </c>
      <c r="AP55" s="48"/>
      <c r="AQ55" s="112">
        <v>178</v>
      </c>
      <c r="AR55" s="80">
        <f t="shared" si="74"/>
        <v>46224</v>
      </c>
      <c r="AS55" s="109">
        <f t="shared" si="75"/>
        <v>33</v>
      </c>
      <c r="AT55" s="48"/>
      <c r="AU55" s="115">
        <f t="shared" si="61"/>
        <v>46191</v>
      </c>
      <c r="AV55" s="121" t="str" cm="1">
        <f t="array" ref="AV55">IF(OR(G55&gt;$C$6,G55=""),$F$8,INDEX($E$8:$Z$8,MATCH(TRUE,(F55:AA55=""),0)))</f>
        <v>5. Initial submission</v>
      </c>
      <c r="AW55" s="118" t="b">
        <f t="shared" si="62"/>
        <v>1</v>
      </c>
      <c r="AX55" s="81" t="b">
        <f t="shared" si="63"/>
        <v>1</v>
      </c>
      <c r="AY55" s="81" t="b">
        <f t="shared" si="64"/>
        <v>1</v>
      </c>
      <c r="AZ55" s="81" t="b">
        <f t="shared" si="65"/>
        <v>1</v>
      </c>
      <c r="BA55" s="81" t="b">
        <f t="shared" si="66"/>
        <v>0</v>
      </c>
      <c r="BB55" s="81" t="b">
        <f t="shared" si="67"/>
        <v>0</v>
      </c>
      <c r="BC55" s="81" t="b">
        <f t="shared" si="68"/>
        <v>0</v>
      </c>
      <c r="BD55" s="81" t="b">
        <f t="shared" si="69"/>
        <v>0</v>
      </c>
      <c r="BE55" s="81" t="b">
        <f t="shared" si="70"/>
        <v>0</v>
      </c>
      <c r="BF55" s="81" t="b">
        <f t="shared" si="71"/>
        <v>0</v>
      </c>
      <c r="BG55" s="91" t="b">
        <f t="shared" si="72"/>
        <v>0</v>
      </c>
      <c r="BH55" s="146"/>
    </row>
    <row r="56" spans="1:60" s="182" customFormat="1" ht="23.25" x14ac:dyDescent="0.25">
      <c r="A56" s="8"/>
      <c r="B56" s="8"/>
      <c r="C56" s="34" t="s">
        <v>189</v>
      </c>
      <c r="D56" s="100"/>
      <c r="E56" s="43"/>
      <c r="F56" s="123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124"/>
      <c r="AC56" s="43"/>
      <c r="AD56" s="130"/>
      <c r="AE56" s="43"/>
      <c r="AF56" s="179">
        <f>SUM(AF10:AF55)</f>
        <v>487533181</v>
      </c>
      <c r="AG56" s="180">
        <f>SUM(AG10:AG55)</f>
        <v>0</v>
      </c>
      <c r="AH56" s="180">
        <f>SUM(AH10:AH55)</f>
        <v>253929721</v>
      </c>
      <c r="AI56" s="180">
        <f>SUM(AI10:AI55)</f>
        <v>270410508.69999999</v>
      </c>
      <c r="AJ56" s="180">
        <f>SUM(AJ10:AJ55)</f>
        <v>-35839992.700000003</v>
      </c>
      <c r="AK56" s="9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92"/>
      <c r="BH56" s="181"/>
    </row>
    <row r="59" spans="1:60" ht="15" x14ac:dyDescent="0.25">
      <c r="C59" s="184" t="s">
        <v>465</v>
      </c>
    </row>
    <row r="60" spans="1:60" ht="15" x14ac:dyDescent="0.25">
      <c r="C60" s="184"/>
    </row>
    <row r="61" spans="1:60" ht="30" x14ac:dyDescent="0.25">
      <c r="B61" s="188">
        <v>1</v>
      </c>
      <c r="C61" s="185" t="s">
        <v>454</v>
      </c>
    </row>
    <row r="62" spans="1:60" ht="30" x14ac:dyDescent="0.25">
      <c r="B62" s="188">
        <v>2</v>
      </c>
      <c r="C62" s="185" t="s">
        <v>455</v>
      </c>
    </row>
    <row r="63" spans="1:60" ht="45" x14ac:dyDescent="0.25">
      <c r="B63" s="188">
        <v>3</v>
      </c>
      <c r="C63" s="185" t="s">
        <v>457</v>
      </c>
      <c r="AF63" s="3" t="s">
        <v>460</v>
      </c>
    </row>
    <row r="64" spans="1:60" ht="30" x14ac:dyDescent="0.25">
      <c r="B64" s="188">
        <v>4</v>
      </c>
      <c r="C64" s="186" t="s">
        <v>458</v>
      </c>
      <c r="AF64" s="3" t="s">
        <v>459</v>
      </c>
    </row>
    <row r="65" spans="2:32" ht="30" x14ac:dyDescent="0.25">
      <c r="B65" s="188">
        <v>5</v>
      </c>
      <c r="C65" s="186" t="s">
        <v>461</v>
      </c>
      <c r="AF65" s="3" t="s">
        <v>462</v>
      </c>
    </row>
    <row r="66" spans="2:32" ht="15" x14ac:dyDescent="0.25">
      <c r="B66" s="188">
        <v>6</v>
      </c>
      <c r="C66" s="186" t="s">
        <v>463</v>
      </c>
      <c r="AF66" s="3" t="s">
        <v>464</v>
      </c>
    </row>
    <row r="67" spans="2:32" ht="15" x14ac:dyDescent="0.25">
      <c r="B67" s="188">
        <v>7</v>
      </c>
      <c r="C67" s="186" t="s">
        <v>466</v>
      </c>
    </row>
    <row r="68" spans="2:32" ht="15" x14ac:dyDescent="0.25">
      <c r="B68" s="188">
        <v>8</v>
      </c>
      <c r="C68" s="186"/>
    </row>
    <row r="69" spans="2:32" ht="15" x14ac:dyDescent="0.25">
      <c r="B69" s="188">
        <v>9</v>
      </c>
      <c r="C69" s="186"/>
    </row>
    <row r="70" spans="2:32" ht="15" x14ac:dyDescent="0.25">
      <c r="B70" s="188">
        <v>10</v>
      </c>
      <c r="C70" s="186"/>
    </row>
    <row r="71" spans="2:32" ht="15" x14ac:dyDescent="0.25">
      <c r="B71" s="188">
        <v>11</v>
      </c>
      <c r="C71" s="186"/>
    </row>
    <row r="72" spans="2:32" ht="15" x14ac:dyDescent="0.25">
      <c r="B72" s="189"/>
      <c r="C72" s="186"/>
    </row>
    <row r="73" spans="2:32" ht="15" x14ac:dyDescent="0.25">
      <c r="B73" s="189"/>
      <c r="C73" s="184"/>
    </row>
    <row r="74" spans="2:32" ht="15" x14ac:dyDescent="0.25">
      <c r="C74" s="184"/>
    </row>
  </sheetData>
  <sheetProtection formatColumns="0" formatRows="0" autoFilter="0"/>
  <mergeCells count="76">
    <mergeCell ref="AH41:AH42"/>
    <mergeCell ref="X7:Y7"/>
    <mergeCell ref="Z7:AA7"/>
    <mergeCell ref="Z8:AA8"/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N8:O8"/>
    <mergeCell ref="P8:Q8"/>
    <mergeCell ref="R8:S8"/>
    <mergeCell ref="T8:U8"/>
    <mergeCell ref="AW7:AW9"/>
    <mergeCell ref="AB7:AB9"/>
    <mergeCell ref="AN7:AN9"/>
    <mergeCell ref="AO7:AO9"/>
    <mergeCell ref="AI7:AI9"/>
    <mergeCell ref="AJ7:AJ9"/>
    <mergeCell ref="AQ7:AQ9"/>
    <mergeCell ref="AR7:AR9"/>
    <mergeCell ref="AS7:AS9"/>
    <mergeCell ref="AU7:AU9"/>
    <mergeCell ref="AV7:AV9"/>
    <mergeCell ref="BG7:BG9"/>
    <mergeCell ref="AX7:AX9"/>
    <mergeCell ref="AY7:AY9"/>
    <mergeCell ref="AZ7:AZ9"/>
    <mergeCell ref="BA7:BA9"/>
    <mergeCell ref="BB7:BB9"/>
    <mergeCell ref="BC7:BC9"/>
    <mergeCell ref="BD7:BD9"/>
    <mergeCell ref="BE7:BE9"/>
    <mergeCell ref="BF7:BF9"/>
    <mergeCell ref="A7:A9"/>
    <mergeCell ref="AM7:AM9"/>
    <mergeCell ref="B7:B9"/>
    <mergeCell ref="C7:C9"/>
    <mergeCell ref="D7:D9"/>
    <mergeCell ref="AD7:AD9"/>
    <mergeCell ref="AK7:AK9"/>
    <mergeCell ref="AF7:AF9"/>
    <mergeCell ref="F8:G8"/>
    <mergeCell ref="H8:I8"/>
    <mergeCell ref="J8:K8"/>
    <mergeCell ref="L8:M8"/>
    <mergeCell ref="AH7:AH9"/>
    <mergeCell ref="AG7:AG9"/>
    <mergeCell ref="V8:W8"/>
    <mergeCell ref="X8:Y8"/>
    <mergeCell ref="D1:D2"/>
    <mergeCell ref="C1:C2"/>
    <mergeCell ref="L1:L2"/>
    <mergeCell ref="K1:K2"/>
    <mergeCell ref="J1:J2"/>
    <mergeCell ref="I1:I2"/>
    <mergeCell ref="M3:N4"/>
    <mergeCell ref="M1:N2"/>
    <mergeCell ref="A1:B2"/>
    <mergeCell ref="L3:L4"/>
    <mergeCell ref="K3:K4"/>
    <mergeCell ref="J3:J4"/>
    <mergeCell ref="I3:I4"/>
    <mergeCell ref="H3:H4"/>
    <mergeCell ref="G3:G4"/>
    <mergeCell ref="F3:F4"/>
    <mergeCell ref="D3:D4"/>
    <mergeCell ref="C3:C4"/>
    <mergeCell ref="A3:B4"/>
    <mergeCell ref="H1:H2"/>
    <mergeCell ref="G1:G2"/>
    <mergeCell ref="F1:F2"/>
  </mergeCells>
  <conditionalFormatting sqref="C11:C55">
    <cfRule type="expression" dxfId="164" priority="1">
      <formula>$AI$11:$AI$55=""</formula>
    </cfRule>
  </conditionalFormatting>
  <conditionalFormatting sqref="G11:G13 I11:I13 K11:K13 M11:M13 O11:O13 Q11:Q13 S11:S13 U11:U13 W11:W13 Y11:Y13 AA11:AA13 G16:G20 I16:I20 K16:K20 M16:M20 O16:O20 Q16:Q20 S16:S20 U16:U20 W16:W20 Y16:Y20 AA16:AA20 G22:G25 I22:I25 K22:K25 M22:M25 O22:O25 Q22:Q25 S22:S25 U22:U25 W22:W25 Y22:Y25 AA22:AA25 G27:G39 I27:I39 K27:K39 M27:M39 O27:O39 Q27:Q39 S27:S39 U27:U39 W27:W39 Y27:Y39 AA27:AA39 G41:G42 I41:I42 K41:K42 M41:M42 O41:O42 Q41:Q42 S41:S42 U41:U42 W41:W42 Y41:Y42 AA41:AA42 G44:G55 I44:I55 K44:K55 M44:M55 O44:O55 Q44:Q55 S44:S55 U44:U55 W44:W55 Y44:Y55 AA44:AA55">
    <cfRule type="cellIs" dxfId="163" priority="79" operator="between">
      <formula>1</formula>
      <formula>$C$6</formula>
    </cfRule>
  </conditionalFormatting>
  <conditionalFormatting sqref="AB10:AB56 AO11:AO13 AS11:AS13">
    <cfRule type="cellIs" dxfId="162" priority="108" operator="lessThan">
      <formula>0</formula>
    </cfRule>
  </conditionalFormatting>
  <conditionalFormatting sqref="AO16:AO20 AS16:AS20 AO22:AO25 AS22:AS25 AO27:AO39 AS27:AS39 AO41:AO42 AS41:AS42 AO44:AO55 AS44:AS55">
    <cfRule type="cellIs" dxfId="161" priority="122" operator="lessThan">
      <formula>0</formula>
    </cfRule>
  </conditionalFormatting>
  <conditionalFormatting sqref="AW11:BG13 BB14:BG15 AW16:BG20 BB21:BG21 AW22:BG25 BB26:BG26 AW27:BG39 BB40:BG40 AW41:BG42 BB43:BG43 AW44:BG55 AL56:BG56">
    <cfRule type="cellIs" dxfId="154" priority="102" operator="equal">
      <formula>TRUE</formula>
    </cfRule>
  </conditionalFormatting>
  <conditionalFormatting sqref="BB10:BG10">
    <cfRule type="cellIs" dxfId="153" priority="7" operator="equal">
      <formula>TRUE</formula>
    </cfRule>
  </conditionalFormatting>
  <pageMargins left="3.937007874015748E-2" right="3.937007874015748E-2" top="0.74803149606299213" bottom="0.74803149606299213" header="0.31496062992125984" footer="0.31496062992125984"/>
  <pageSetup paperSize="8" scale="71" fitToHeight="0" orientation="landscape" r:id="rId1"/>
  <ignoredErrors>
    <ignoredError sqref="AD12:AD55 AD11" unlocked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" id="{97F40A11-0E64-41CE-9728-085499EA2E64}">
            <xm:f>AV11=Data!$B$12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04" stopIfTrue="1" id="{35ED21BC-EC8C-4C89-AA25-EC3AF338649B}">
            <xm:f>AV11=Data!$B$11</xm:f>
            <x14:dxf>
              <fill>
                <patternFill>
                  <bgColor theme="9" tint="0.79998168889431442"/>
                </patternFill>
              </fill>
            </x14:dxf>
          </x14:cfRule>
          <x14:cfRule type="expression" priority="105" id="{3C29C8B5-5C04-487B-B363-C97989ED0F75}">
            <xm:f>AV11=Data!$B$2</xm:f>
            <x14:dxf>
              <fill>
                <patternFill>
                  <bgColor rgb="FFFFE5E5"/>
                </patternFill>
              </fill>
            </x14:dxf>
          </x14:cfRule>
          <xm:sqref>AU11:AU57</xm:sqref>
        </x14:conditionalFormatting>
        <x14:conditionalFormatting xmlns:xm="http://schemas.microsoft.com/office/excel/2006/main">
          <x14:cfRule type="cellIs" priority="3" operator="equal" id="{E832CBC6-15C5-4DF6-BF23-85DADC4865E6}">
            <xm:f>Data!$B$12</xm:f>
            <x14:dxf>
              <fill>
                <patternFill>
                  <bgColor theme="9" tint="0.59996337778862885"/>
                </patternFill>
              </fill>
            </x14:dxf>
          </x14:cfRule>
          <x14:cfRule type="cellIs" priority="4" stopIfTrue="1" operator="equal" id="{9101D1AD-8497-4791-8605-12EA37AE7884}">
            <xm:f>Data!$B$11</xm:f>
            <x14:dxf>
              <fill>
                <patternFill>
                  <bgColor theme="9" tint="0.79998168889431442"/>
                </patternFill>
              </fill>
            </x14:dxf>
          </x14:cfRule>
          <x14:cfRule type="cellIs" priority="5" operator="equal" id="{40D04721-1E6F-4ED3-ACBC-084592333111}">
            <xm:f>Data!$B$2</xm:f>
            <x14:dxf>
              <fill>
                <patternFill>
                  <bgColor rgb="FFFFE5E5"/>
                </patternFill>
              </fill>
            </x14:dxf>
          </x14:cfRule>
          <xm:sqref>AV11:AV13 AV16:AV20 AV22:AV25 AV27:AV39 AV41:AV42 AV44:AV55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E51109F-4302-40BE-9304-9EF570D8099F}">
          <x14:formula1>
            <xm:f>Data!$B$2:$B$13</xm:f>
          </x14:formula1>
          <xm:sqref>AV41:AV42 AV16:AV20 AV27:AV39 AV44:AV55 AV22:AV25 AV11:AV13</xm:sqref>
        </x14:dataValidation>
        <x14:dataValidation type="list" allowBlank="1" showInputMessage="1" showErrorMessage="1" xr:uid="{B42FFAF3-B760-424D-B2B7-2E097BF29D39}">
          <x14:formula1>
            <xm:f>Data!$C$2:$C$12</xm:f>
          </x14:formula1>
          <xm:sqref>D16:D20 D22:D25 D27:D39 D41:D42 D44:D55 D11:D13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3C4B9-0F7D-436D-9305-63BEA31CBB4C}">
  <sheetPr codeName="Sheet4">
    <tabColor theme="9" tint="0.59999389629810485"/>
    <pageSetUpPr fitToPage="1"/>
  </sheetPr>
  <dimension ref="A1:BH47"/>
  <sheetViews>
    <sheetView showGridLines="0" zoomScale="70" zoomScaleNormal="70" zoomScalePageLayoutView="55" workbookViewId="0">
      <pane xSplit="3" ySplit="9" topLeftCell="D10" activePane="bottomRight" state="frozen"/>
      <selection pane="topRight" activeCell="AI6" sqref="AI6:AI8"/>
      <selection pane="bottomLeft" activeCell="AI6" sqref="AI6:AI8"/>
      <selection pane="bottomRight" activeCell="AD7" sqref="AD7:AD9"/>
    </sheetView>
  </sheetViews>
  <sheetFormatPr defaultColWidth="9.140625" defaultRowHeight="12.75" outlineLevelRow="1" outlineLevelCol="1" x14ac:dyDescent="0.25"/>
  <cols>
    <col min="1" max="2" width="7.42578125" style="3" customWidth="1"/>
    <col min="3" max="3" width="39.140625" style="7" customWidth="1"/>
    <col min="4" max="4" width="14.5703125" style="5" customWidth="1" outlineLevel="1"/>
    <col min="5" max="5" width="1.140625" style="3" customWidth="1" outlineLevel="1"/>
    <col min="6" max="27" width="11.85546875" style="4" customWidth="1" outlineLevel="1"/>
    <col min="28" max="28" width="11.85546875" style="5" customWidth="1" outlineLevel="1"/>
    <col min="29" max="29" width="1" style="3" customWidth="1" outlineLevel="1"/>
    <col min="30" max="30" width="14.42578125" style="5" customWidth="1" outlineLevel="1"/>
    <col min="31" max="31" width="1.140625" style="3" customWidth="1" outlineLevel="1"/>
    <col min="32" max="35" width="14.85546875" style="3" customWidth="1"/>
    <col min="36" max="36" width="15.5703125" style="3" customWidth="1" outlineLevel="1"/>
    <col min="37" max="37" width="23.5703125" style="3" customWidth="1"/>
    <col min="38" max="38" width="0.85546875" style="3" customWidth="1"/>
    <col min="39" max="39" width="7.42578125" style="3" customWidth="1"/>
    <col min="40" max="40" width="13.5703125" style="3" customWidth="1"/>
    <col min="41" max="41" width="7.140625" style="5" customWidth="1"/>
    <col min="42" max="42" width="0.85546875" style="3" customWidth="1"/>
    <col min="43" max="43" width="10.5703125" style="5" customWidth="1"/>
    <col min="44" max="44" width="16.85546875" style="3" customWidth="1"/>
    <col min="45" max="45" width="7.140625" style="5" customWidth="1"/>
    <col min="46" max="46" width="0.85546875" style="3" customWidth="1"/>
    <col min="47" max="47" width="12" style="3" customWidth="1"/>
    <col min="48" max="48" width="35" style="3" bestFit="1" customWidth="1"/>
    <col min="49" max="59" width="4.140625" style="6" customWidth="1"/>
    <col min="60" max="60" width="21.140625" style="3" customWidth="1"/>
    <col min="61" max="16384" width="9.140625" style="3"/>
  </cols>
  <sheetData>
    <row r="1" spans="1:60" s="11" customFormat="1" ht="15" customHeight="1" outlineLevel="1" x14ac:dyDescent="0.25">
      <c r="A1" s="208" t="s">
        <v>57</v>
      </c>
      <c r="B1" s="209"/>
      <c r="C1" s="206" t="s">
        <v>58</v>
      </c>
      <c r="D1" s="211" t="s">
        <v>59</v>
      </c>
      <c r="F1" s="206" t="s">
        <v>60</v>
      </c>
      <c r="G1" s="206" t="s">
        <v>61</v>
      </c>
      <c r="H1" s="206" t="s">
        <v>62</v>
      </c>
      <c r="I1" s="206" t="s">
        <v>63</v>
      </c>
      <c r="J1" s="206" t="s">
        <v>64</v>
      </c>
      <c r="K1" s="206" t="s">
        <v>19</v>
      </c>
      <c r="L1" s="206" t="s">
        <v>65</v>
      </c>
      <c r="M1" s="211" t="s">
        <v>66</v>
      </c>
      <c r="N1" s="224"/>
      <c r="P1" s="27" t="s">
        <v>67</v>
      </c>
      <c r="Q1" s="26"/>
      <c r="R1" s="26"/>
      <c r="S1" s="26"/>
      <c r="U1" s="26" t="s">
        <v>20</v>
      </c>
      <c r="V1" s="26"/>
      <c r="W1" s="26"/>
      <c r="X1" s="26"/>
      <c r="Y1" s="26"/>
      <c r="AA1" s="27" t="s">
        <v>68</v>
      </c>
      <c r="AB1" s="26"/>
      <c r="AC1" s="26"/>
      <c r="AD1" s="28"/>
      <c r="AF1" s="27" t="s">
        <v>33</v>
      </c>
      <c r="AG1" s="26"/>
      <c r="AH1" s="39" t="s">
        <v>34</v>
      </c>
      <c r="AI1" s="40" t="s">
        <v>35</v>
      </c>
      <c r="AY1" s="33"/>
      <c r="AZ1" s="33"/>
      <c r="BA1" s="33"/>
      <c r="BB1" s="33"/>
      <c r="BC1" s="33"/>
      <c r="BD1" s="33"/>
      <c r="BE1" s="33"/>
      <c r="BF1" s="33"/>
      <c r="BG1" s="33"/>
    </row>
    <row r="2" spans="1:60" s="11" customFormat="1" ht="15" outlineLevel="1" x14ac:dyDescent="0.25">
      <c r="A2" s="208"/>
      <c r="B2" s="209"/>
      <c r="C2" s="210"/>
      <c r="D2" s="208"/>
      <c r="E2" s="15"/>
      <c r="F2" s="207"/>
      <c r="G2" s="207"/>
      <c r="H2" s="207"/>
      <c r="I2" s="207"/>
      <c r="J2" s="207"/>
      <c r="K2" s="207"/>
      <c r="L2" s="207"/>
      <c r="M2" s="225"/>
      <c r="N2" s="226"/>
      <c r="P2" s="22" t="s">
        <v>69</v>
      </c>
      <c r="Q2" s="23"/>
      <c r="R2" s="23"/>
      <c r="S2" s="147"/>
      <c r="U2" s="22" t="s">
        <v>25</v>
      </c>
      <c r="V2" s="23"/>
      <c r="W2" s="23"/>
      <c r="X2" s="35">
        <f>AI35</f>
        <v>453029998</v>
      </c>
      <c r="Y2" s="37">
        <f>X2/(SUM(AH10:$AH$34)+SUM(AI10:$AI$34)-SUMIFS(AH10:$AH$34,$AI$10:$AI$34,"&lt;&gt;"))</f>
        <v>0.91998897312904981</v>
      </c>
      <c r="AA2" s="24" t="s">
        <v>70</v>
      </c>
      <c r="AB2" s="25"/>
      <c r="AC2" s="25"/>
      <c r="AD2" s="12" cm="1">
        <f t="array" ref="AD2">SUM(ISNUMBER($AO$10:AO34)*1)</f>
        <v>19</v>
      </c>
      <c r="AF2" s="22" t="s">
        <v>444</v>
      </c>
      <c r="AG2" s="23"/>
      <c r="AH2" s="13">
        <f>COUNTIFS($AB$10:AB34,"&lt;0")</f>
        <v>8</v>
      </c>
      <c r="AI2" s="13">
        <f>MIN(AB10:AB34)</f>
        <v>-206</v>
      </c>
    </row>
    <row r="3" spans="1:60" s="11" customFormat="1" ht="15" customHeight="1" outlineLevel="1" x14ac:dyDescent="0.25">
      <c r="A3" s="212" t="s">
        <v>190</v>
      </c>
      <c r="B3" s="213"/>
      <c r="C3" s="216" t="s">
        <v>191</v>
      </c>
      <c r="D3" s="269" t="s">
        <v>192</v>
      </c>
      <c r="E3" s="122"/>
      <c r="F3" s="218" t="s">
        <v>193</v>
      </c>
      <c r="G3" s="218" t="s">
        <v>75</v>
      </c>
      <c r="H3" s="218" t="s">
        <v>194</v>
      </c>
      <c r="I3" s="218" t="s">
        <v>121</v>
      </c>
      <c r="J3" s="227">
        <v>67039</v>
      </c>
      <c r="K3" s="227">
        <v>50773</v>
      </c>
      <c r="L3" s="218">
        <v>45778</v>
      </c>
      <c r="M3" s="220">
        <v>45803</v>
      </c>
      <c r="N3" s="221"/>
      <c r="P3" s="22" t="s">
        <v>77</v>
      </c>
      <c r="Q3" s="23"/>
      <c r="R3" s="23"/>
      <c r="S3" s="148">
        <f>AF35</f>
        <v>638589585</v>
      </c>
      <c r="U3" s="22" t="s">
        <v>78</v>
      </c>
      <c r="V3" s="23"/>
      <c r="W3" s="23"/>
      <c r="X3" s="36">
        <f>S4-SUMIFS(AH10:$AH$34,$AI$10:$AI$34,"&lt;&gt;")</f>
        <v>39399815</v>
      </c>
      <c r="Y3" s="153">
        <f>X3/(X2+X3)</f>
        <v>8.0011026870950241E-2</v>
      </c>
      <c r="AA3" s="22" t="s">
        <v>79</v>
      </c>
      <c r="AB3" s="23"/>
      <c r="AC3" s="23"/>
      <c r="AD3" s="13">
        <f>COUNTIFS($AV$10:AV34,Z8)</f>
        <v>7</v>
      </c>
      <c r="AF3" s="22" t="s">
        <v>447</v>
      </c>
      <c r="AG3" s="23"/>
      <c r="AH3" s="13">
        <f>COUNTIFS($AO$10:AO34,"&lt;0")</f>
        <v>18</v>
      </c>
      <c r="AI3" s="14">
        <f>MIN(AO10:AO34)</f>
        <v>-299</v>
      </c>
    </row>
    <row r="4" spans="1:60" s="11" customFormat="1" ht="15" outlineLevel="1" x14ac:dyDescent="0.25">
      <c r="A4" s="214"/>
      <c r="B4" s="215"/>
      <c r="C4" s="217"/>
      <c r="D4" s="270"/>
      <c r="E4" s="122"/>
      <c r="F4" s="219"/>
      <c r="G4" s="219"/>
      <c r="H4" s="219"/>
      <c r="I4" s="219"/>
      <c r="J4" s="228"/>
      <c r="K4" s="228"/>
      <c r="L4" s="219"/>
      <c r="M4" s="222"/>
      <c r="N4" s="223"/>
      <c r="P4" s="22" t="s">
        <v>23</v>
      </c>
      <c r="Q4" s="23"/>
      <c r="R4" s="23"/>
      <c r="S4" s="148">
        <f>AH35</f>
        <v>474400000</v>
      </c>
      <c r="U4" s="22" t="s">
        <v>80</v>
      </c>
      <c r="V4" s="23"/>
      <c r="W4" s="23"/>
      <c r="X4" s="36">
        <f>SUMIFS(AF10:$AF$34,$AI$10:$AI$34,"&lt;&gt;")-X2</f>
        <v>123229542</v>
      </c>
      <c r="Y4" s="38" t="e">
        <f>X4/$S$2</f>
        <v>#DIV/0!</v>
      </c>
      <c r="AA4" s="22" t="s">
        <v>81</v>
      </c>
      <c r="AB4" s="23"/>
      <c r="AC4" s="23"/>
      <c r="AD4" s="13">
        <f>C6-L3</f>
        <v>334</v>
      </c>
      <c r="AF4" s="22" t="s">
        <v>448</v>
      </c>
      <c r="AG4" s="23"/>
      <c r="AH4" s="13">
        <f>COUNTIFS($AS$10:AS34,"&lt;0")</f>
        <v>16</v>
      </c>
      <c r="AI4" s="14">
        <f>MIN(AS10:AS34)</f>
        <v>-225</v>
      </c>
    </row>
    <row r="5" spans="1:60" s="11" customFormat="1" ht="15" outlineLevel="1" x14ac:dyDescent="0.25">
      <c r="U5" s="22" t="s">
        <v>82</v>
      </c>
      <c r="V5" s="23"/>
      <c r="W5" s="23"/>
      <c r="X5" s="36">
        <f>SUMIFS(AH10:$AH$34,$AI$10:$AI$34,"&lt;&gt;")-X2</f>
        <v>-18029813</v>
      </c>
      <c r="Y5" s="38" t="e">
        <f>X5/$S$2</f>
        <v>#DIV/0!</v>
      </c>
      <c r="Z5" s="160"/>
      <c r="AA5" s="160"/>
      <c r="AB5" s="160"/>
      <c r="AC5" s="160"/>
      <c r="AD5" s="160"/>
      <c r="AE5" s="160"/>
      <c r="AF5" s="160"/>
      <c r="AG5" s="160"/>
      <c r="AH5" s="160"/>
      <c r="AI5" s="160"/>
    </row>
    <row r="6" spans="1:60" ht="23.25" outlineLevel="1" x14ac:dyDescent="0.25">
      <c r="A6" s="127" t="s">
        <v>83</v>
      </c>
      <c r="B6" s="128"/>
      <c r="C6" s="129">
        <v>46112</v>
      </c>
      <c r="D6" s="19"/>
      <c r="E6" s="16"/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5"/>
      <c r="AB6" s="126"/>
      <c r="AC6" s="19"/>
      <c r="AD6" s="19"/>
      <c r="AE6" s="19"/>
      <c r="AF6" s="19"/>
      <c r="AG6" s="19"/>
      <c r="AH6" s="19"/>
      <c r="AI6" s="19"/>
      <c r="AJ6" s="19"/>
      <c r="AK6" s="19"/>
      <c r="AL6" s="16"/>
      <c r="AM6" s="19"/>
      <c r="AN6" s="16"/>
      <c r="AO6" s="16"/>
      <c r="AP6" s="16"/>
      <c r="AQ6" s="16"/>
      <c r="AR6" s="16"/>
      <c r="AS6" s="16"/>
      <c r="AT6" s="16"/>
      <c r="AU6" s="16"/>
      <c r="AV6" s="16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6"/>
    </row>
    <row r="7" spans="1:60" ht="18.75" customHeight="1" x14ac:dyDescent="0.25">
      <c r="A7" s="233" t="s">
        <v>84</v>
      </c>
      <c r="B7" s="236" t="s">
        <v>85</v>
      </c>
      <c r="C7" s="236" t="s">
        <v>86</v>
      </c>
      <c r="D7" s="238" t="s">
        <v>1</v>
      </c>
      <c r="F7" s="229">
        <v>15</v>
      </c>
      <c r="G7" s="230"/>
      <c r="H7" s="229">
        <v>7</v>
      </c>
      <c r="I7" s="230"/>
      <c r="J7" s="229">
        <v>6</v>
      </c>
      <c r="K7" s="230"/>
      <c r="L7" s="229">
        <v>3</v>
      </c>
      <c r="M7" s="230"/>
      <c r="N7" s="229">
        <v>30</v>
      </c>
      <c r="O7" s="230"/>
      <c r="P7" s="229">
        <v>10</v>
      </c>
      <c r="Q7" s="230"/>
      <c r="R7" s="229">
        <v>20</v>
      </c>
      <c r="S7" s="230"/>
      <c r="T7" s="229">
        <v>7</v>
      </c>
      <c r="U7" s="230"/>
      <c r="V7" s="229">
        <v>7</v>
      </c>
      <c r="W7" s="230"/>
      <c r="X7" s="229">
        <v>5</v>
      </c>
      <c r="Y7" s="230"/>
      <c r="Z7" s="229">
        <v>10</v>
      </c>
      <c r="AA7" s="230"/>
      <c r="AB7" s="243" t="s">
        <v>87</v>
      </c>
      <c r="AC7" s="16"/>
      <c r="AD7" s="244" t="s">
        <v>88</v>
      </c>
      <c r="AE7" s="16"/>
      <c r="AF7" s="241" t="s">
        <v>77</v>
      </c>
      <c r="AG7" s="257" t="s">
        <v>89</v>
      </c>
      <c r="AH7" s="257" t="s">
        <v>23</v>
      </c>
      <c r="AI7" s="257" t="s">
        <v>90</v>
      </c>
      <c r="AJ7" s="257" t="s">
        <v>91</v>
      </c>
      <c r="AK7" s="258" t="s">
        <v>92</v>
      </c>
      <c r="AL7" s="86"/>
      <c r="AM7" s="255" t="s">
        <v>93</v>
      </c>
      <c r="AN7" s="257" t="s">
        <v>94</v>
      </c>
      <c r="AO7" s="259" t="s">
        <v>95</v>
      </c>
      <c r="AP7" s="86"/>
      <c r="AQ7" s="261" t="s">
        <v>96</v>
      </c>
      <c r="AR7" s="252" t="s">
        <v>97</v>
      </c>
      <c r="AS7" s="259" t="s">
        <v>95</v>
      </c>
      <c r="AT7" s="86"/>
      <c r="AU7" s="255" t="s">
        <v>98</v>
      </c>
      <c r="AV7" s="252" t="s">
        <v>99</v>
      </c>
      <c r="AW7" s="246" t="s">
        <v>2</v>
      </c>
      <c r="AX7" s="246" t="s">
        <v>4</v>
      </c>
      <c r="AY7" s="246" t="s">
        <v>6</v>
      </c>
      <c r="AZ7" s="246" t="s">
        <v>100</v>
      </c>
      <c r="BA7" s="246" t="s">
        <v>10</v>
      </c>
      <c r="BB7" s="246" t="s">
        <v>12</v>
      </c>
      <c r="BC7" s="246" t="s">
        <v>14</v>
      </c>
      <c r="BD7" s="246" t="s">
        <v>15</v>
      </c>
      <c r="BE7" s="246" t="s">
        <v>16</v>
      </c>
      <c r="BF7" s="246" t="s">
        <v>17</v>
      </c>
      <c r="BG7" s="249" t="s">
        <v>101</v>
      </c>
      <c r="BH7" s="86"/>
    </row>
    <row r="8" spans="1:60" ht="26.25" x14ac:dyDescent="0.25">
      <c r="A8" s="234"/>
      <c r="B8" s="237"/>
      <c r="C8" s="237"/>
      <c r="D8" s="239"/>
      <c r="E8" s="16"/>
      <c r="F8" s="231" t="s">
        <v>2</v>
      </c>
      <c r="G8" s="232"/>
      <c r="H8" s="231" t="s">
        <v>4</v>
      </c>
      <c r="I8" s="232"/>
      <c r="J8" s="231" t="s">
        <v>6</v>
      </c>
      <c r="K8" s="232"/>
      <c r="L8" s="231" t="s">
        <v>8</v>
      </c>
      <c r="M8" s="232"/>
      <c r="N8" s="231" t="s">
        <v>10</v>
      </c>
      <c r="O8" s="232"/>
      <c r="P8" s="231" t="s">
        <v>12</v>
      </c>
      <c r="Q8" s="232"/>
      <c r="R8" s="231" t="s">
        <v>14</v>
      </c>
      <c r="S8" s="232"/>
      <c r="T8" s="231" t="s">
        <v>15</v>
      </c>
      <c r="U8" s="232"/>
      <c r="V8" s="231" t="s">
        <v>16</v>
      </c>
      <c r="W8" s="232"/>
      <c r="X8" s="231" t="s">
        <v>17</v>
      </c>
      <c r="Y8" s="232"/>
      <c r="Z8" s="231" t="s">
        <v>18</v>
      </c>
      <c r="AA8" s="232"/>
      <c r="AB8" s="243"/>
      <c r="AC8" s="16"/>
      <c r="AD8" s="245"/>
      <c r="AE8" s="16"/>
      <c r="AF8" s="242"/>
      <c r="AG8" s="237"/>
      <c r="AH8" s="237"/>
      <c r="AI8" s="237"/>
      <c r="AJ8" s="237"/>
      <c r="AK8" s="239"/>
      <c r="AL8" s="48"/>
      <c r="AM8" s="234"/>
      <c r="AN8" s="237"/>
      <c r="AO8" s="260"/>
      <c r="AP8" s="48"/>
      <c r="AQ8" s="262"/>
      <c r="AR8" s="253"/>
      <c r="AS8" s="260"/>
      <c r="AT8" s="48"/>
      <c r="AU8" s="234"/>
      <c r="AV8" s="253"/>
      <c r="AW8" s="247"/>
      <c r="AX8" s="247"/>
      <c r="AY8" s="247"/>
      <c r="AZ8" s="247"/>
      <c r="BA8" s="247"/>
      <c r="BB8" s="247"/>
      <c r="BC8" s="247"/>
      <c r="BD8" s="247"/>
      <c r="BE8" s="247"/>
      <c r="BF8" s="247"/>
      <c r="BG8" s="250"/>
      <c r="BH8" s="146"/>
    </row>
    <row r="9" spans="1:60" s="7" customFormat="1" ht="22.5" x14ac:dyDescent="0.25">
      <c r="A9" s="235"/>
      <c r="B9" s="237"/>
      <c r="C9" s="237"/>
      <c r="D9" s="240"/>
      <c r="E9" s="20"/>
      <c r="F9" s="65" t="s">
        <v>102</v>
      </c>
      <c r="G9" s="66" t="s">
        <v>103</v>
      </c>
      <c r="H9" s="65" t="s">
        <v>102</v>
      </c>
      <c r="I9" s="66" t="s">
        <v>103</v>
      </c>
      <c r="J9" s="65" t="s">
        <v>102</v>
      </c>
      <c r="K9" s="66" t="s">
        <v>103</v>
      </c>
      <c r="L9" s="65" t="s">
        <v>102</v>
      </c>
      <c r="M9" s="66" t="s">
        <v>103</v>
      </c>
      <c r="N9" s="65" t="s">
        <v>102</v>
      </c>
      <c r="O9" s="66" t="s">
        <v>103</v>
      </c>
      <c r="P9" s="65" t="s">
        <v>102</v>
      </c>
      <c r="Q9" s="66" t="s">
        <v>103</v>
      </c>
      <c r="R9" s="65" t="s">
        <v>102</v>
      </c>
      <c r="S9" s="66" t="s">
        <v>103</v>
      </c>
      <c r="T9" s="65" t="s">
        <v>102</v>
      </c>
      <c r="U9" s="66" t="s">
        <v>103</v>
      </c>
      <c r="V9" s="65" t="s">
        <v>102</v>
      </c>
      <c r="W9" s="66" t="s">
        <v>103</v>
      </c>
      <c r="X9" s="65" t="s">
        <v>102</v>
      </c>
      <c r="Y9" s="66" t="s">
        <v>103</v>
      </c>
      <c r="Z9" s="65" t="s">
        <v>102</v>
      </c>
      <c r="AA9" s="66" t="s">
        <v>103</v>
      </c>
      <c r="AB9" s="243"/>
      <c r="AC9" s="20"/>
      <c r="AD9" s="245"/>
      <c r="AE9" s="20"/>
      <c r="AF9" s="242"/>
      <c r="AG9" s="237"/>
      <c r="AH9" s="237"/>
      <c r="AI9" s="237"/>
      <c r="AJ9" s="237"/>
      <c r="AK9" s="239"/>
      <c r="AL9" s="87"/>
      <c r="AM9" s="234"/>
      <c r="AN9" s="237"/>
      <c r="AO9" s="260"/>
      <c r="AP9" s="87"/>
      <c r="AQ9" s="263"/>
      <c r="AR9" s="254"/>
      <c r="AS9" s="264"/>
      <c r="AT9" s="87"/>
      <c r="AU9" s="256"/>
      <c r="AV9" s="254"/>
      <c r="AW9" s="248"/>
      <c r="AX9" s="248"/>
      <c r="AY9" s="248"/>
      <c r="AZ9" s="248"/>
      <c r="BA9" s="248"/>
      <c r="BB9" s="248"/>
      <c r="BC9" s="248"/>
      <c r="BD9" s="248"/>
      <c r="BE9" s="248"/>
      <c r="BF9" s="248"/>
      <c r="BG9" s="251"/>
      <c r="BH9" s="87"/>
    </row>
    <row r="10" spans="1:60" ht="23.25" x14ac:dyDescent="0.25">
      <c r="A10" s="53"/>
      <c r="B10" s="49"/>
      <c r="C10" s="50" t="s">
        <v>115</v>
      </c>
      <c r="D10" s="61"/>
      <c r="E10" s="51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1"/>
      <c r="BF10" s="51"/>
      <c r="BG10" s="88"/>
      <c r="BH10" s="146"/>
    </row>
    <row r="11" spans="1:60" ht="26.25" x14ac:dyDescent="0.25">
      <c r="A11" s="56" cm="1">
        <f t="array" ref="A11">SUMPRODUCT(($AV$10:$AV$34&lt;&gt;"")*(ROW($AV$10:$AV$34)&lt;=ROW()))</f>
        <v>1</v>
      </c>
      <c r="B11" s="57" t="s">
        <v>157</v>
      </c>
      <c r="C11" s="58" t="s">
        <v>115</v>
      </c>
      <c r="D11" s="93" t="s">
        <v>107</v>
      </c>
      <c r="E11" s="16"/>
      <c r="F11" s="29">
        <f>H11-$H$7</f>
        <v>45767</v>
      </c>
      <c r="G11" s="42">
        <v>45736</v>
      </c>
      <c r="H11" s="29">
        <f>J11-$J$7</f>
        <v>45774</v>
      </c>
      <c r="I11" s="42">
        <v>45746</v>
      </c>
      <c r="J11" s="29">
        <f>L11-$L$7</f>
        <v>45780</v>
      </c>
      <c r="K11" s="42">
        <v>45753</v>
      </c>
      <c r="L11" s="29">
        <f>N11-$N$7</f>
        <v>45783</v>
      </c>
      <c r="M11" s="42">
        <v>45767</v>
      </c>
      <c r="N11" s="29">
        <f>P11-$P$7</f>
        <v>45813</v>
      </c>
      <c r="O11" s="42">
        <v>45811</v>
      </c>
      <c r="P11" s="29">
        <f>R11-$R$7</f>
        <v>45823</v>
      </c>
      <c r="Q11" s="42">
        <v>45811</v>
      </c>
      <c r="R11" s="29">
        <f>T11-$T$7</f>
        <v>45843</v>
      </c>
      <c r="S11" s="42">
        <v>45811</v>
      </c>
      <c r="T11" s="29">
        <f>V11-$V$7</f>
        <v>45850</v>
      </c>
      <c r="U11" s="42">
        <v>45832</v>
      </c>
      <c r="V11" s="29">
        <f>X11-$X$7</f>
        <v>45857</v>
      </c>
      <c r="W11" s="42">
        <v>45861</v>
      </c>
      <c r="X11" s="29">
        <f>AN11</f>
        <v>45862</v>
      </c>
      <c r="Y11" s="42">
        <v>45867</v>
      </c>
      <c r="Z11" s="30">
        <f>X11+$Z$7</f>
        <v>45872</v>
      </c>
      <c r="AA11" s="42"/>
      <c r="AB11" s="31" t="str">
        <f>IF(AV11="10. Issued to Contractor","-",IF(AV11="11. Subcontract Agreement signed","-",MAX(AN11,AR11)-$C$6))</f>
        <v>-</v>
      </c>
      <c r="AC11" s="16"/>
      <c r="AD11" s="131">
        <f>SUM($H$7:$Y$7)</f>
        <v>95</v>
      </c>
      <c r="AE11" s="16"/>
      <c r="AF11" s="95">
        <v>269189625</v>
      </c>
      <c r="AG11" s="67"/>
      <c r="AH11" s="197">
        <v>165000000</v>
      </c>
      <c r="AI11" s="196">
        <v>172649400</v>
      </c>
      <c r="AJ11" s="68">
        <f>IF(AI11&gt;0,SUM(AH11)-SUM(AI11),"")</f>
        <v>-7649400</v>
      </c>
      <c r="AK11" s="139" t="s">
        <v>195</v>
      </c>
      <c r="AL11" s="48"/>
      <c r="AM11" s="105">
        <v>60</v>
      </c>
      <c r="AN11" s="69">
        <f>$M$3+AM11-1</f>
        <v>45862</v>
      </c>
      <c r="AO11" s="107">
        <f>AN11-AU11</f>
        <v>-5</v>
      </c>
      <c r="AP11" s="48"/>
      <c r="AQ11" s="111">
        <v>0</v>
      </c>
      <c r="AR11" s="70">
        <f>IFERROR(WORKDAY.INTL(AN11,AQ11,11),"")</f>
        <v>45862</v>
      </c>
      <c r="AS11" s="107">
        <f>AR11-AU11</f>
        <v>-5</v>
      </c>
      <c r="AT11" s="48"/>
      <c r="AU11" s="113">
        <f>IF(Y11&gt;0,Y11,IFERROR(MAX(_xlfn.XLOOKUP($AV11,$H$8:$Z$8,$G11:$Y11),$C$6)+(AN11-_xlfn.XLOOKUP($AV11,$H$8:$Z$8,$F11:$X11))*AD11/SUM($H$7:$Y$7),$C$6+SUM(AD11)))</f>
        <v>45867</v>
      </c>
      <c r="AV11" s="119" t="str" cm="1">
        <f t="array" ref="AV11">IF(OR(G11&gt;$C$6,G11=""),$F$8,INDEX($E$8:$Z$8,MATCH(TRUE,(F11:AA11=""),0)))</f>
        <v>11. Subcontract Agreement signed</v>
      </c>
      <c r="AW11" s="116" t="b">
        <f>IF(AND(G11&gt;0,G11&lt;$C$6),TRUE,FALSE)</f>
        <v>1</v>
      </c>
      <c r="AX11" s="71" t="b">
        <f>IF(AND(I11&gt;0,I11&lt;$C$6),TRUE,FALSE)</f>
        <v>1</v>
      </c>
      <c r="AY11" s="71" t="b">
        <f>IF(AND(K11&gt;0,K11&lt;$C$6),TRUE,FALSE)</f>
        <v>1</v>
      </c>
      <c r="AZ11" s="71" t="b">
        <f>IF(AND(M11&gt;0,M11&lt;$C$6),TRUE,FALSE)</f>
        <v>1</v>
      </c>
      <c r="BA11" s="71" t="b">
        <f>IF(AND(O11&gt;0,O11&lt;$C$6),TRUE,FALSE)</f>
        <v>1</v>
      </c>
      <c r="BB11" s="71" t="b">
        <f>IF(AND(Q11&gt;0,Q11&lt;$C$6),TRUE,FALSE)</f>
        <v>1</v>
      </c>
      <c r="BC11" s="71" t="b">
        <f>IF(AND(S11&gt;0,S11&lt;$C$6),TRUE,FALSE)</f>
        <v>1</v>
      </c>
      <c r="BD11" s="71" t="b">
        <f>IF(AND(U11&gt;0,U11&lt;$C$6),TRUE,FALSE)</f>
        <v>1</v>
      </c>
      <c r="BE11" s="71" t="b">
        <f>IF(AND(W11&gt;0,W11&lt;$C$6),TRUE,FALSE)</f>
        <v>1</v>
      </c>
      <c r="BF11" s="71" t="b">
        <f>IF(AND(Y11&gt;0,Y11&lt;$C$6),TRUE,FALSE)</f>
        <v>1</v>
      </c>
      <c r="BG11" s="89" t="b">
        <f>IF(AND(AA11&gt;0,AA11&lt;$C$6),TRUE,FALSE)</f>
        <v>0</v>
      </c>
      <c r="BH11" s="146"/>
    </row>
    <row r="12" spans="1:60" ht="30" x14ac:dyDescent="0.25">
      <c r="A12" s="56" cm="1">
        <f t="array" ref="A12">SUMPRODUCT(($AV$10:$AV$34&lt;&gt;"")*(ROW($AV$10:$AV$34)&lt;=ROW()))</f>
        <v>2</v>
      </c>
      <c r="B12" s="59" t="s">
        <v>167</v>
      </c>
      <c r="C12" s="60" t="s">
        <v>110</v>
      </c>
      <c r="D12" s="59" t="s">
        <v>107</v>
      </c>
      <c r="E12" s="43"/>
      <c r="F12" s="44">
        <f>H12-$H$7</f>
        <v>45887</v>
      </c>
      <c r="G12" s="45">
        <v>45797</v>
      </c>
      <c r="H12" s="44">
        <f>J12-$J$7</f>
        <v>45894</v>
      </c>
      <c r="I12" s="45">
        <v>45814</v>
      </c>
      <c r="J12" s="44">
        <f>L12-$L$7</f>
        <v>45900</v>
      </c>
      <c r="K12" s="45">
        <v>45814</v>
      </c>
      <c r="L12" s="44">
        <f>N12-$N$7</f>
        <v>45903</v>
      </c>
      <c r="M12" s="45">
        <v>45818</v>
      </c>
      <c r="N12" s="44">
        <f>P12-$P$7</f>
        <v>45933</v>
      </c>
      <c r="O12" s="45">
        <v>45838</v>
      </c>
      <c r="P12" s="44">
        <f>R12-$R$7</f>
        <v>45943</v>
      </c>
      <c r="Q12" s="45">
        <v>45838</v>
      </c>
      <c r="R12" s="44">
        <f>T12-$T$7</f>
        <v>45963</v>
      </c>
      <c r="S12" s="45">
        <v>45838</v>
      </c>
      <c r="T12" s="44">
        <f>V12-$V$7</f>
        <v>45970</v>
      </c>
      <c r="U12" s="45">
        <v>45840</v>
      </c>
      <c r="V12" s="44">
        <f>X12-$X$7</f>
        <v>45977</v>
      </c>
      <c r="W12" s="45">
        <v>45930</v>
      </c>
      <c r="X12" s="44">
        <f t="shared" ref="X12:X13" si="0">AN12</f>
        <v>45982</v>
      </c>
      <c r="Y12" s="45">
        <v>45936</v>
      </c>
      <c r="Z12" s="46">
        <f>X12+$Z$7</f>
        <v>45992</v>
      </c>
      <c r="AA12" s="45"/>
      <c r="AB12" s="47" t="str">
        <f>IF(AV12="10. Issued to Contractor","-",IF(AV12="11. Subcontract Agreement signed","-",MAX(AN12,AR12)-$C$6))</f>
        <v>-</v>
      </c>
      <c r="AC12" s="16"/>
      <c r="AD12" s="131">
        <f t="shared" ref="AD12:AD13" si="1">SUM($H$7:$Y$7)</f>
        <v>95</v>
      </c>
      <c r="AE12" s="16"/>
      <c r="AF12" s="96">
        <v>24159342</v>
      </c>
      <c r="AG12" s="72"/>
      <c r="AH12" s="198">
        <v>18000000</v>
      </c>
      <c r="AI12" s="72">
        <v>13913708</v>
      </c>
      <c r="AJ12" s="73">
        <f>IF(AI12&gt;0,SUM(AH12)-SUM(AI12),"")</f>
        <v>4086292</v>
      </c>
      <c r="AK12" s="140" t="s">
        <v>196</v>
      </c>
      <c r="AL12" s="48"/>
      <c r="AM12" s="104">
        <v>180</v>
      </c>
      <c r="AN12" s="74">
        <f>$M$3+AM12-1</f>
        <v>45982</v>
      </c>
      <c r="AO12" s="108">
        <f>AN12-AU12</f>
        <v>46</v>
      </c>
      <c r="AP12" s="48"/>
      <c r="AQ12" s="110">
        <v>45</v>
      </c>
      <c r="AR12" s="75">
        <f>IFERROR(WORKDAY.INTL(AN12,AQ12,11),"")</f>
        <v>46035</v>
      </c>
      <c r="AS12" s="108">
        <f>AR12-AU12</f>
        <v>99</v>
      </c>
      <c r="AT12" s="48"/>
      <c r="AU12" s="114">
        <f t="shared" ref="AU12:AU13" si="2">IF(Y12&gt;0,Y12,IFERROR(MAX(_xlfn.XLOOKUP($AV12,$H$8:$Z$8,$G12:$Y12),$C$6)+(AN12-_xlfn.XLOOKUP($AV12,$H$8:$Z$8,$F12:$X12))*AD12/SUM($H$7:$Y$7),$C$6+SUM(AD12)))</f>
        <v>45936</v>
      </c>
      <c r="AV12" s="120" t="str" cm="1">
        <f t="array" ref="AV12">IF(OR(G12&gt;$C$6,G12=""),$F$8,INDEX($E$8:$Z$8,MATCH(TRUE,(F12:AA12=""),0)))</f>
        <v>11. Subcontract Agreement signed</v>
      </c>
      <c r="AW12" s="117" t="b">
        <f>IF(AND(G12&gt;0,G12&lt;$C$6),TRUE,FALSE)</f>
        <v>1</v>
      </c>
      <c r="AX12" s="76" t="b">
        <f>IF(AND(I12&gt;0,I12&lt;$C$6),TRUE,FALSE)</f>
        <v>1</v>
      </c>
      <c r="AY12" s="76" t="b">
        <f>IF(AND(K12&gt;0,K12&lt;$C$6),TRUE,FALSE)</f>
        <v>1</v>
      </c>
      <c r="AZ12" s="76" t="b">
        <f>IF(AND(M12&gt;0,M12&lt;$C$6),TRUE,FALSE)</f>
        <v>1</v>
      </c>
      <c r="BA12" s="76" t="b">
        <f>IF(AND(O12&gt;0,O12&lt;$C$6),TRUE,FALSE)</f>
        <v>1</v>
      </c>
      <c r="BB12" s="76" t="b">
        <f>IF(AND(Q12&gt;0,Q12&lt;$C$6),TRUE,FALSE)</f>
        <v>1</v>
      </c>
      <c r="BC12" s="76" t="b">
        <f>IF(AND(S12&gt;0,S12&lt;$C$6),TRUE,FALSE)</f>
        <v>1</v>
      </c>
      <c r="BD12" s="76" t="b">
        <f>IF(AND(U12&gt;0,U12&lt;$C$6),TRUE,FALSE)</f>
        <v>1</v>
      </c>
      <c r="BE12" s="76" t="b">
        <f>IF(AND(W12&gt;0,W12&lt;$C$6),TRUE,FALSE)</f>
        <v>1</v>
      </c>
      <c r="BF12" s="76" t="b">
        <f>IF(AND(Y12&gt;0,Y12&lt;$C$6),TRUE,FALSE)</f>
        <v>1</v>
      </c>
      <c r="BG12" s="90" t="b">
        <f>IF(AND(AA12&gt;0,AA12&lt;$C$6),TRUE,FALSE)</f>
        <v>0</v>
      </c>
      <c r="BH12" s="146"/>
    </row>
    <row r="13" spans="1:60" ht="26.25" x14ac:dyDescent="0.25">
      <c r="A13" s="56" cm="1">
        <f t="array" ref="A13">SUMPRODUCT(($AV$10:$AV$34&lt;&gt;"")*(ROW($AV$10:$AV$34)&lt;=ROW()))</f>
        <v>3</v>
      </c>
      <c r="B13" s="57" t="s">
        <v>170</v>
      </c>
      <c r="C13" s="58" t="s">
        <v>106</v>
      </c>
      <c r="D13" s="93" t="s">
        <v>107</v>
      </c>
      <c r="E13" s="16"/>
      <c r="F13" s="29">
        <f>H13-$H$7</f>
        <v>46007</v>
      </c>
      <c r="G13" s="42">
        <v>45901</v>
      </c>
      <c r="H13" s="29">
        <f>J13-$J$7</f>
        <v>46014</v>
      </c>
      <c r="I13" s="42">
        <v>45903</v>
      </c>
      <c r="J13" s="29">
        <f>L13-$L$7</f>
        <v>46020</v>
      </c>
      <c r="K13" s="42">
        <v>45868</v>
      </c>
      <c r="L13" s="29">
        <f>N13-$N$7</f>
        <v>46023</v>
      </c>
      <c r="M13" s="42">
        <v>45976</v>
      </c>
      <c r="N13" s="29">
        <f>P13-$P$7</f>
        <v>46053</v>
      </c>
      <c r="O13" s="42"/>
      <c r="P13" s="29">
        <f>R13-$R$7</f>
        <v>46063</v>
      </c>
      <c r="Q13" s="42"/>
      <c r="R13" s="29">
        <f>T13-$T$7</f>
        <v>46083</v>
      </c>
      <c r="S13" s="42"/>
      <c r="T13" s="29">
        <f>V13-$V$7</f>
        <v>46090</v>
      </c>
      <c r="U13" s="42"/>
      <c r="V13" s="29">
        <f>X13-$X$7</f>
        <v>46097</v>
      </c>
      <c r="W13" s="42"/>
      <c r="X13" s="29">
        <f t="shared" si="0"/>
        <v>46102</v>
      </c>
      <c r="Y13" s="42"/>
      <c r="Z13" s="30">
        <f>X13+$Z$7</f>
        <v>46112</v>
      </c>
      <c r="AA13" s="42"/>
      <c r="AB13" s="31">
        <f>IF(AV13="10. Issued to Contractor","-",IF(AV13="11. Subcontract Agreement signed","-",MAX(AN13,AR13)-$C$6))</f>
        <v>25</v>
      </c>
      <c r="AC13" s="16"/>
      <c r="AD13" s="131">
        <f t="shared" si="1"/>
        <v>95</v>
      </c>
      <c r="AE13" s="16"/>
      <c r="AF13" s="95">
        <v>9766385</v>
      </c>
      <c r="AG13" s="67"/>
      <c r="AH13" s="197">
        <v>10000000</v>
      </c>
      <c r="AI13" s="67"/>
      <c r="AJ13" s="68" t="str">
        <f>IF(AI13&gt;0,SUM(AH13)-SUM(AI13),"")</f>
        <v/>
      </c>
      <c r="AK13" s="139"/>
      <c r="AL13" s="48"/>
      <c r="AM13" s="105">
        <v>300</v>
      </c>
      <c r="AN13" s="69">
        <f>$M$3+AM13-1</f>
        <v>46102</v>
      </c>
      <c r="AO13" s="107">
        <f>AN13-AU13</f>
        <v>-89</v>
      </c>
      <c r="AP13" s="48"/>
      <c r="AQ13" s="111">
        <v>30</v>
      </c>
      <c r="AR13" s="70">
        <f>IFERROR(WORKDAY.INTL(AN13,AQ13,11),"")</f>
        <v>46137</v>
      </c>
      <c r="AS13" s="107">
        <f>AR13-AU13</f>
        <v>-54</v>
      </c>
      <c r="AT13" s="48"/>
      <c r="AU13" s="113">
        <f t="shared" si="2"/>
        <v>46191</v>
      </c>
      <c r="AV13" s="119" t="str" cm="1">
        <f t="array" ref="AV13">IF(OR(G13&gt;$C$6,G13=""),$F$8,INDEX($E$8:$Z$8,MATCH(TRUE,(F13:AA13=""),0)))</f>
        <v>5. Initial submission</v>
      </c>
      <c r="AW13" s="116" t="b">
        <f>IF(AND(G13&gt;0,G13&lt;$C$6),TRUE,FALSE)</f>
        <v>1</v>
      </c>
      <c r="AX13" s="71" t="b">
        <f>IF(AND(I13&gt;0,I13&lt;$C$6),TRUE,FALSE)</f>
        <v>1</v>
      </c>
      <c r="AY13" s="71" t="b">
        <f>IF(AND(K13&gt;0,K13&lt;$C$6),TRUE,FALSE)</f>
        <v>1</v>
      </c>
      <c r="AZ13" s="71" t="b">
        <f>IF(AND(M13&gt;0,M13&lt;$C$6),TRUE,FALSE)</f>
        <v>1</v>
      </c>
      <c r="BA13" s="71" t="b">
        <f>IF(AND(O13&gt;0,O13&lt;$C$6),TRUE,FALSE)</f>
        <v>0</v>
      </c>
      <c r="BB13" s="71" t="b">
        <f>IF(AND(Q13&gt;0,Q13&lt;$C$6),TRUE,FALSE)</f>
        <v>0</v>
      </c>
      <c r="BC13" s="71" t="b">
        <f>IF(AND(S13&gt;0,S13&lt;$C$6),TRUE,FALSE)</f>
        <v>0</v>
      </c>
      <c r="BD13" s="71" t="b">
        <f>IF(AND(U13&gt;0,U13&lt;$C$6),TRUE,FALSE)</f>
        <v>0</v>
      </c>
      <c r="BE13" s="71" t="b">
        <f>IF(AND(W13&gt;0,W13&lt;$C$6),TRUE,FALSE)</f>
        <v>0</v>
      </c>
      <c r="BF13" s="71" t="b">
        <f>IF(AND(Y13&gt;0,Y13&lt;$C$6),TRUE,FALSE)</f>
        <v>0</v>
      </c>
      <c r="BG13" s="89" t="b">
        <f>IF(AND(AA13&gt;0,AA13&lt;$C$6),TRUE,FALSE)</f>
        <v>0</v>
      </c>
      <c r="BH13" s="146"/>
    </row>
    <row r="14" spans="1:60" ht="23.25" x14ac:dyDescent="0.25">
      <c r="A14" s="53"/>
      <c r="B14" s="49"/>
      <c r="C14" s="50" t="s">
        <v>445</v>
      </c>
      <c r="D14" s="51"/>
      <c r="E14" s="51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1"/>
      <c r="AC14" s="51"/>
      <c r="AD14" s="132"/>
      <c r="AE14" s="51"/>
      <c r="AF14" s="51"/>
      <c r="AG14" s="51"/>
      <c r="AH14" s="202"/>
      <c r="AI14" s="51"/>
      <c r="AJ14" s="51"/>
      <c r="AK14" s="14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1"/>
      <c r="BF14" s="51"/>
      <c r="BG14" s="88"/>
      <c r="BH14" s="146"/>
    </row>
    <row r="15" spans="1:60" ht="26.25" x14ac:dyDescent="0.25">
      <c r="A15" s="56" cm="1">
        <f t="array" ref="A15">SUMPRODUCT(($AV$10:$AV$34&lt;&gt;"")*(ROW($AV$10:$AV$34)&lt;=ROW()))</f>
        <v>4</v>
      </c>
      <c r="B15" s="57" t="s">
        <v>138</v>
      </c>
      <c r="C15" s="58" t="s">
        <v>197</v>
      </c>
      <c r="D15" s="93" t="s">
        <v>7</v>
      </c>
      <c r="E15" s="16"/>
      <c r="F15" s="29">
        <f>H15-$H$7</f>
        <v>45857</v>
      </c>
      <c r="G15" s="42">
        <v>45854</v>
      </c>
      <c r="H15" s="29">
        <f>J15-$J$7</f>
        <v>45864</v>
      </c>
      <c r="I15" s="42">
        <v>45911</v>
      </c>
      <c r="J15" s="29">
        <f>L15-$L$7</f>
        <v>45870</v>
      </c>
      <c r="K15" s="42">
        <v>45911</v>
      </c>
      <c r="L15" s="29">
        <f>N15-$N$7</f>
        <v>45873</v>
      </c>
      <c r="M15" s="42">
        <v>45918</v>
      </c>
      <c r="N15" s="29">
        <f>P15-$P$7</f>
        <v>45903</v>
      </c>
      <c r="O15" s="42">
        <v>45960</v>
      </c>
      <c r="P15" s="29">
        <f>R15-$R$7</f>
        <v>45913</v>
      </c>
      <c r="Q15" s="42">
        <v>45960</v>
      </c>
      <c r="R15" s="29">
        <f>T15-$T$7</f>
        <v>45933</v>
      </c>
      <c r="S15" s="42">
        <v>45960</v>
      </c>
      <c r="T15" s="29">
        <f>V15-$V$7</f>
        <v>45940</v>
      </c>
      <c r="U15" s="42">
        <v>45979</v>
      </c>
      <c r="V15" s="29">
        <f>X15-$X$7</f>
        <v>45947</v>
      </c>
      <c r="W15" s="42">
        <v>46036</v>
      </c>
      <c r="X15" s="29">
        <f t="shared" ref="X15:X16" si="3">AN15</f>
        <v>45952</v>
      </c>
      <c r="Y15" s="42">
        <v>46050</v>
      </c>
      <c r="Z15" s="30">
        <f>X15+$Z$7</f>
        <v>45962</v>
      </c>
      <c r="AA15" s="42"/>
      <c r="AB15" s="31" t="str">
        <f>IF(AV15="10. Issued to Contractor","-",IF(AV15="11. Subcontract Agreement signed","-",MAX(AN15,AR15)-$C$6))</f>
        <v>-</v>
      </c>
      <c r="AC15" s="16"/>
      <c r="AD15" s="131">
        <f t="shared" ref="AD15:AD16" si="4">SUM($H$7:$Y$7)</f>
        <v>95</v>
      </c>
      <c r="AE15" s="16"/>
      <c r="AF15" s="95">
        <v>97091898</v>
      </c>
      <c r="AG15" s="67"/>
      <c r="AH15" s="197">
        <v>80000000</v>
      </c>
      <c r="AI15" s="67">
        <v>99755700</v>
      </c>
      <c r="AJ15" s="68">
        <f>IF(AI15&gt;0,SUM(AH15)-SUM(AI15),"")</f>
        <v>-19755700</v>
      </c>
      <c r="AK15" s="139" t="s">
        <v>198</v>
      </c>
      <c r="AL15" s="48"/>
      <c r="AM15" s="105">
        <v>150</v>
      </c>
      <c r="AN15" s="69">
        <f>$M$3+AM15-1</f>
        <v>45952</v>
      </c>
      <c r="AO15" s="107">
        <f>AN15-AU15</f>
        <v>-98</v>
      </c>
      <c r="AP15" s="48"/>
      <c r="AQ15" s="111">
        <v>0</v>
      </c>
      <c r="AR15" s="70">
        <f>IFERROR(WORKDAY.INTL(AN15,AQ15,11),"")</f>
        <v>45952</v>
      </c>
      <c r="AS15" s="107">
        <f>AR15-AU15</f>
        <v>-98</v>
      </c>
      <c r="AT15" s="48"/>
      <c r="AU15" s="113">
        <f t="shared" ref="AU15:AU16" si="5">IF(Y15&gt;0,Y15,IFERROR(MAX(_xlfn.XLOOKUP($AV15,$H$8:$Z$8,$G15:$Y15),$C$6)+(AN15-_xlfn.XLOOKUP($AV15,$H$8:$Z$8,$F15:$X15))*AD15/SUM($H$7:$Y$7),$C$6+SUM(AD15)))</f>
        <v>46050</v>
      </c>
      <c r="AV15" s="119" t="str" cm="1">
        <f t="array" ref="AV15">IF(OR(G15&gt;$C$6,G15=""),$F$8,INDEX($E$8:$Z$8,MATCH(TRUE,(F15:AA15=""),0)))</f>
        <v>11. Subcontract Agreement signed</v>
      </c>
      <c r="AW15" s="116" t="b">
        <f>IF(AND(G15&gt;0,G15&lt;$C$6),TRUE,FALSE)</f>
        <v>1</v>
      </c>
      <c r="AX15" s="71" t="b">
        <f>IF(AND(I15&gt;0,I15&lt;$C$6),TRUE,FALSE)</f>
        <v>1</v>
      </c>
      <c r="AY15" s="71" t="b">
        <f>IF(AND(K15&gt;0,K15&lt;$C$6),TRUE,FALSE)</f>
        <v>1</v>
      </c>
      <c r="AZ15" s="71" t="b">
        <f>IF(AND(M15&gt;0,M15&lt;$C$6),TRUE,FALSE)</f>
        <v>1</v>
      </c>
      <c r="BA15" s="71" t="b">
        <f>IF(AND(O15&gt;0,O15&lt;$C$6),TRUE,FALSE)</f>
        <v>1</v>
      </c>
      <c r="BB15" s="71" t="b">
        <f>IF(AND(Q15&gt;0,Q15&lt;$C$6),TRUE,FALSE)</f>
        <v>1</v>
      </c>
      <c r="BC15" s="71" t="b">
        <f>IF(AND(S15&gt;0,S15&lt;$C$6),TRUE,FALSE)</f>
        <v>1</v>
      </c>
      <c r="BD15" s="71" t="b">
        <f>IF(AND(U15&gt;0,U15&lt;$C$6),TRUE,FALSE)</f>
        <v>1</v>
      </c>
      <c r="BE15" s="71" t="b">
        <f>IF(AND(W15&gt;0,W15&lt;$C$6),TRUE,FALSE)</f>
        <v>1</v>
      </c>
      <c r="BF15" s="71" t="b">
        <f>IF(AND(Y15&gt;0,Y15&lt;$C$6),TRUE,FALSE)</f>
        <v>1</v>
      </c>
      <c r="BG15" s="89" t="b">
        <f>IF(AND(AA15&gt;0,AA15&lt;$C$6),TRUE,FALSE)</f>
        <v>0</v>
      </c>
      <c r="BH15" s="146"/>
    </row>
    <row r="16" spans="1:60" ht="26.25" x14ac:dyDescent="0.25">
      <c r="A16" s="56" cm="1">
        <f t="array" ref="A16">SUMPRODUCT(($AV$10:$AV$34&lt;&gt;"")*(ROW($AV$10:$AV$34)&lt;=ROW()))</f>
        <v>5</v>
      </c>
      <c r="B16" s="59" t="s">
        <v>185</v>
      </c>
      <c r="C16" s="60" t="s">
        <v>199</v>
      </c>
      <c r="D16" s="59" t="s">
        <v>7</v>
      </c>
      <c r="E16" s="43"/>
      <c r="F16" s="44">
        <f>H16-$H$7</f>
        <v>45857</v>
      </c>
      <c r="G16" s="45">
        <v>45918</v>
      </c>
      <c r="H16" s="44">
        <f>J16-$J$7</f>
        <v>45864</v>
      </c>
      <c r="I16" s="45">
        <v>45933</v>
      </c>
      <c r="J16" s="44">
        <f>L16-$L$7</f>
        <v>45870</v>
      </c>
      <c r="K16" s="45">
        <v>45936</v>
      </c>
      <c r="L16" s="44">
        <f>N16-$N$7</f>
        <v>45873</v>
      </c>
      <c r="M16" s="45">
        <v>45929</v>
      </c>
      <c r="N16" s="44">
        <f>P16-$P$7</f>
        <v>45903</v>
      </c>
      <c r="O16" s="45">
        <v>45959</v>
      </c>
      <c r="P16" s="44">
        <f>R16-$R$7</f>
        <v>45913</v>
      </c>
      <c r="Q16" s="45">
        <v>45959</v>
      </c>
      <c r="R16" s="44">
        <f>T16-$T$7</f>
        <v>45933</v>
      </c>
      <c r="S16" s="45">
        <v>45959</v>
      </c>
      <c r="T16" s="44">
        <f>V16-$V$7</f>
        <v>45940</v>
      </c>
      <c r="U16" s="45">
        <v>45985</v>
      </c>
      <c r="V16" s="44">
        <f>X16-$X$7</f>
        <v>45947</v>
      </c>
      <c r="W16" s="45">
        <v>46052</v>
      </c>
      <c r="X16" s="44">
        <f t="shared" si="3"/>
        <v>45952</v>
      </c>
      <c r="Y16" s="45"/>
      <c r="Z16" s="46">
        <f>X16+$Z$7</f>
        <v>45962</v>
      </c>
      <c r="AA16" s="45"/>
      <c r="AB16" s="32" t="str">
        <f>IF(AV16="10. Issued to Contractor","-",IF(AV16="11. Subcontract Agreement signed","-",MAX(AN16,AR16)-$C$6))</f>
        <v>-</v>
      </c>
      <c r="AC16" s="16"/>
      <c r="AD16" s="131">
        <f t="shared" si="4"/>
        <v>95</v>
      </c>
      <c r="AE16" s="16"/>
      <c r="AF16" s="96">
        <v>17382491</v>
      </c>
      <c r="AG16" s="72"/>
      <c r="AH16" s="198">
        <v>4000000</v>
      </c>
      <c r="AI16" s="196">
        <v>15291232</v>
      </c>
      <c r="AJ16" s="73">
        <f>IF(AI16&gt;0,SUM(AH16)-SUM(AI16),"")</f>
        <v>-11291232</v>
      </c>
      <c r="AK16" s="140" t="s">
        <v>200</v>
      </c>
      <c r="AL16" s="48"/>
      <c r="AM16" s="104">
        <v>150</v>
      </c>
      <c r="AN16" s="74">
        <f>$M$3+AM16-1</f>
        <v>45952</v>
      </c>
      <c r="AO16" s="108">
        <f>AN16-AU16</f>
        <v>-165</v>
      </c>
      <c r="AP16" s="48"/>
      <c r="AQ16" s="110">
        <v>45</v>
      </c>
      <c r="AR16" s="75">
        <f>IFERROR(WORKDAY.INTL(AN16,AQ16,11),"")</f>
        <v>46004</v>
      </c>
      <c r="AS16" s="108">
        <f>AR16-AU16</f>
        <v>-113</v>
      </c>
      <c r="AT16" s="48"/>
      <c r="AU16" s="114">
        <f t="shared" si="5"/>
        <v>46117</v>
      </c>
      <c r="AV16" s="120" t="str" cm="1">
        <f t="array" ref="AV16">IF(OR(G16&gt;$C$6,G16=""),$F$8,INDEX($E$8:$Z$8,MATCH(TRUE,(F16:AA16=""),0)))</f>
        <v>10. Issued to Contractor</v>
      </c>
      <c r="AW16" s="117" t="b">
        <f>IF(AND(G16&gt;0,G16&lt;$C$6),TRUE,FALSE)</f>
        <v>1</v>
      </c>
      <c r="AX16" s="76" t="b">
        <f>IF(AND(I16&gt;0,I16&lt;$C$6),TRUE,FALSE)</f>
        <v>1</v>
      </c>
      <c r="AY16" s="76" t="b">
        <f>IF(AND(K16&gt;0,K16&lt;$C$6),TRUE,FALSE)</f>
        <v>1</v>
      </c>
      <c r="AZ16" s="76" t="b">
        <f>IF(AND(M16&gt;0,M16&lt;$C$6),TRUE,FALSE)</f>
        <v>1</v>
      </c>
      <c r="BA16" s="76" t="b">
        <f>IF(AND(O16&gt;0,O16&lt;$C$6),TRUE,FALSE)</f>
        <v>1</v>
      </c>
      <c r="BB16" s="76" t="b">
        <f>IF(AND(Q16&gt;0,Q16&lt;$C$6),TRUE,FALSE)</f>
        <v>1</v>
      </c>
      <c r="BC16" s="76" t="b">
        <f>IF(AND(S16&gt;0,S16&lt;$C$6),TRUE,FALSE)</f>
        <v>1</v>
      </c>
      <c r="BD16" s="76" t="b">
        <f>IF(AND(U16&gt;0,U16&lt;$C$6),TRUE,FALSE)</f>
        <v>1</v>
      </c>
      <c r="BE16" s="76" t="b">
        <f>IF(AND(W16&gt;0,W16&lt;$C$6),TRUE,FALSE)</f>
        <v>1</v>
      </c>
      <c r="BF16" s="76" t="b">
        <f>IF(AND(Y16&gt;0,Y16&lt;$C$6),TRUE,FALSE)</f>
        <v>0</v>
      </c>
      <c r="BG16" s="90" t="b">
        <f>IF(AND(AA16&gt;0,AA16&lt;$C$6),TRUE,FALSE)</f>
        <v>0</v>
      </c>
      <c r="BH16" s="146"/>
    </row>
    <row r="17" spans="1:60" ht="23.25" x14ac:dyDescent="0.25">
      <c r="A17" s="54"/>
      <c r="B17" s="49"/>
      <c r="C17" s="50" t="s">
        <v>128</v>
      </c>
      <c r="D17" s="51"/>
      <c r="E17" s="51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1"/>
      <c r="AC17" s="51"/>
      <c r="AD17" s="132"/>
      <c r="AE17" s="51"/>
      <c r="AF17" s="51"/>
      <c r="AG17" s="51"/>
      <c r="AH17" s="202"/>
      <c r="AI17" s="51"/>
      <c r="AJ17" s="51"/>
      <c r="AK17" s="14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88"/>
      <c r="BH17" s="146"/>
    </row>
    <row r="18" spans="1:60" ht="26.25" x14ac:dyDescent="0.25">
      <c r="A18" s="56" cm="1">
        <f t="array" ref="A18">SUMPRODUCT(($AV$10:$AV$34&lt;&gt;"")*(ROW($AV$10:$AV$34)&lt;=ROW()))</f>
        <v>6</v>
      </c>
      <c r="B18" s="59" t="s">
        <v>173</v>
      </c>
      <c r="C18" s="60" t="s">
        <v>203</v>
      </c>
      <c r="D18" s="59" t="s">
        <v>3</v>
      </c>
      <c r="E18" s="43"/>
      <c r="F18" s="44">
        <f>H18-$H$7</f>
        <v>45947</v>
      </c>
      <c r="G18" s="45">
        <v>45883</v>
      </c>
      <c r="H18" s="44">
        <f>J18-$J$7</f>
        <v>45954</v>
      </c>
      <c r="I18" s="45">
        <v>45883</v>
      </c>
      <c r="J18" s="44">
        <f>L18-$L$7</f>
        <v>45960</v>
      </c>
      <c r="K18" s="45">
        <v>45883</v>
      </c>
      <c r="L18" s="44">
        <f>N18-$N$7</f>
        <v>45963</v>
      </c>
      <c r="M18" s="45">
        <v>45847</v>
      </c>
      <c r="N18" s="44">
        <f>P18-$P$7</f>
        <v>45993</v>
      </c>
      <c r="O18" s="45">
        <v>45958</v>
      </c>
      <c r="P18" s="44">
        <f>R18-$R$7</f>
        <v>46003</v>
      </c>
      <c r="Q18" s="45">
        <v>45958</v>
      </c>
      <c r="R18" s="44">
        <f>T18-$T$7</f>
        <v>46023</v>
      </c>
      <c r="S18" s="45">
        <v>45958</v>
      </c>
      <c r="T18" s="44">
        <f>V18-$V$7</f>
        <v>46030</v>
      </c>
      <c r="U18" s="45">
        <v>45958</v>
      </c>
      <c r="V18" s="44">
        <f>X18-$X$7</f>
        <v>46037</v>
      </c>
      <c r="W18" s="45"/>
      <c r="X18" s="44">
        <f t="shared" ref="X18:X19" si="6">AN18</f>
        <v>46042</v>
      </c>
      <c r="Y18" s="45"/>
      <c r="Z18" s="46">
        <f>X18+$Z$7</f>
        <v>46052</v>
      </c>
      <c r="AA18" s="45"/>
      <c r="AB18" s="32">
        <f>IF(AV18="10. Issued to Contractor","-",IF(AV18="11. Subcontract Agreement signed","-",MAX(AN18,AR18)-$C$6))</f>
        <v>-35</v>
      </c>
      <c r="AC18" s="16"/>
      <c r="AD18" s="131">
        <f t="shared" ref="AD18:AD20" si="7">SUM($H$7:$Y$7)</f>
        <v>95</v>
      </c>
      <c r="AE18" s="16"/>
      <c r="AF18" s="96">
        <v>12496084</v>
      </c>
      <c r="AG18" s="72"/>
      <c r="AH18" s="198">
        <v>8500000</v>
      </c>
      <c r="AI18" s="72">
        <v>57014469</v>
      </c>
      <c r="AJ18" s="73">
        <f>IF(AI18&gt;0,SUM(AH18)-SUM(AI18),"")</f>
        <v>-48514469</v>
      </c>
      <c r="AK18" s="140" t="s">
        <v>121</v>
      </c>
      <c r="AL18" s="48"/>
      <c r="AM18" s="104">
        <v>240</v>
      </c>
      <c r="AN18" s="74">
        <f>$M$3+AM18-1</f>
        <v>46042</v>
      </c>
      <c r="AO18" s="108">
        <f>AN18-AU18</f>
        <v>-82</v>
      </c>
      <c r="AP18" s="48"/>
      <c r="AQ18" s="110">
        <v>30</v>
      </c>
      <c r="AR18" s="75">
        <f>IFERROR(WORKDAY.INTL(AN18,AQ18,11),"")</f>
        <v>46077</v>
      </c>
      <c r="AS18" s="108">
        <f>AR18-AU18</f>
        <v>-47</v>
      </c>
      <c r="AT18" s="48"/>
      <c r="AU18" s="114">
        <f t="shared" ref="AU18:AU19" si="8">IF(Y18&gt;0,Y18,IFERROR(MAX(_xlfn.XLOOKUP($AV18,$H$8:$Z$8,$G18:$Y18),$C$6)+(AN18-_xlfn.XLOOKUP($AV18,$H$8:$Z$8,$F18:$X18))*AD18/SUM($H$7:$Y$7),$C$6+SUM(AD18)))</f>
        <v>46124</v>
      </c>
      <c r="AV18" s="120" t="str" cm="1">
        <f t="array" ref="AV18">IF(OR(G18&gt;$C$6,G18=""),$F$8,INDEX($E$8:$Z$8,MATCH(TRUE,(F18:AA18=""),0)))</f>
        <v>9. Award Rec. Approval</v>
      </c>
      <c r="AW18" s="117" t="b">
        <f>IF(AND(G18&gt;0,G18&lt;$C$6),TRUE,FALSE)</f>
        <v>1</v>
      </c>
      <c r="AX18" s="76" t="b">
        <f>IF(AND(I18&gt;0,I18&lt;$C$6),TRUE,FALSE)</f>
        <v>1</v>
      </c>
      <c r="AY18" s="76" t="b">
        <f>IF(AND(K18&gt;0,K18&lt;$C$6),TRUE,FALSE)</f>
        <v>1</v>
      </c>
      <c r="AZ18" s="76" t="b">
        <f>IF(AND(M18&gt;0,M18&lt;$C$6),TRUE,FALSE)</f>
        <v>1</v>
      </c>
      <c r="BA18" s="76" t="b">
        <f>IF(AND(O18&gt;0,O18&lt;$C$6),TRUE,FALSE)</f>
        <v>1</v>
      </c>
      <c r="BB18" s="76" t="b">
        <f>IF(AND(Q18&gt;0,Q18&lt;$C$6),TRUE,FALSE)</f>
        <v>1</v>
      </c>
      <c r="BC18" s="76" t="b">
        <f>IF(AND(S18&gt;0,S18&lt;$C$6),TRUE,FALSE)</f>
        <v>1</v>
      </c>
      <c r="BD18" s="76" t="b">
        <f>IF(AND(U18&gt;0,U18&lt;$C$6),TRUE,FALSE)</f>
        <v>1</v>
      </c>
      <c r="BE18" s="76" t="b">
        <f>IF(AND(W18&gt;0,W18&lt;$C$6),TRUE,FALSE)</f>
        <v>0</v>
      </c>
      <c r="BF18" s="76" t="b">
        <f>IF(AND(Y18&gt;0,Y18&lt;$C$6),TRUE,FALSE)</f>
        <v>0</v>
      </c>
      <c r="BG18" s="90" t="b">
        <f>IF(AND(AA18&gt;0,AA18&lt;$C$6),TRUE,FALSE)</f>
        <v>0</v>
      </c>
      <c r="BH18" s="146"/>
    </row>
    <row r="19" spans="1:60" ht="45" x14ac:dyDescent="0.25">
      <c r="A19" s="56" cm="1">
        <f t="array" ref="A19">SUMPRODUCT(($AV$10:$AV$34&lt;&gt;"")*(ROW($AV$10:$AV$34)&lt;=ROW()))</f>
        <v>7</v>
      </c>
      <c r="B19" s="57" t="s">
        <v>129</v>
      </c>
      <c r="C19" s="58" t="s">
        <v>204</v>
      </c>
      <c r="D19" s="93" t="s">
        <v>3</v>
      </c>
      <c r="E19" s="16"/>
      <c r="F19" s="29">
        <f>H19-$H$7</f>
        <v>45947</v>
      </c>
      <c r="G19" s="42">
        <v>45883</v>
      </c>
      <c r="H19" s="29">
        <f>J19-$J$7</f>
        <v>45954</v>
      </c>
      <c r="I19" s="42">
        <v>45883</v>
      </c>
      <c r="J19" s="29">
        <f>L19-$L$7</f>
        <v>45960</v>
      </c>
      <c r="K19" s="42">
        <v>45883</v>
      </c>
      <c r="L19" s="29">
        <f>N19-$N$7</f>
        <v>45963</v>
      </c>
      <c r="M19" s="42">
        <v>45847</v>
      </c>
      <c r="N19" s="29">
        <f>P19-$P$7</f>
        <v>45993</v>
      </c>
      <c r="O19" s="42">
        <v>45958</v>
      </c>
      <c r="P19" s="29">
        <f>R19-$R$7</f>
        <v>46003</v>
      </c>
      <c r="Q19" s="42">
        <v>45958</v>
      </c>
      <c r="R19" s="29">
        <f>T19-$T$7</f>
        <v>46023</v>
      </c>
      <c r="S19" s="42">
        <v>45958</v>
      </c>
      <c r="T19" s="29">
        <f>V19-$V$7</f>
        <v>46030</v>
      </c>
      <c r="U19" s="42">
        <v>45958</v>
      </c>
      <c r="V19" s="29">
        <f>X19-$X$7</f>
        <v>46037</v>
      </c>
      <c r="W19" s="42"/>
      <c r="X19" s="29">
        <f t="shared" si="6"/>
        <v>46042</v>
      </c>
      <c r="Y19" s="42"/>
      <c r="Z19" s="30">
        <f>X19+$Z$7</f>
        <v>46052</v>
      </c>
      <c r="AA19" s="42"/>
      <c r="AB19" s="31">
        <f>IF(AV19="10. Issued to Contractor","-",IF(AV19="11. Subcontract Agreement signed","-",MAX(AN19,AR19)-$C$6))</f>
        <v>-35</v>
      </c>
      <c r="AC19" s="16"/>
      <c r="AD19" s="131">
        <f t="shared" si="7"/>
        <v>95</v>
      </c>
      <c r="AE19" s="16"/>
      <c r="AF19" s="95">
        <v>59597134</v>
      </c>
      <c r="AG19" s="67"/>
      <c r="AH19" s="197">
        <v>74000000</v>
      </c>
      <c r="AI19" s="67" t="s">
        <v>134</v>
      </c>
      <c r="AJ19" s="68">
        <f>IF(AI19&gt;0,SUM(AH19)-SUM(AI19),"")</f>
        <v>74000000</v>
      </c>
      <c r="AK19" s="139" t="s">
        <v>121</v>
      </c>
      <c r="AL19" s="48"/>
      <c r="AM19" s="105">
        <v>240</v>
      </c>
      <c r="AN19" s="69">
        <f>$M$3+AM19-1</f>
        <v>46042</v>
      </c>
      <c r="AO19" s="107">
        <f t="shared" ref="AO19" si="9">AN19-AU19</f>
        <v>-82</v>
      </c>
      <c r="AP19" s="48"/>
      <c r="AQ19" s="111">
        <v>30</v>
      </c>
      <c r="AR19" s="70">
        <f t="shared" ref="AR19" si="10">IFERROR(WORKDAY.INTL(AN19,AQ19,11),"")</f>
        <v>46077</v>
      </c>
      <c r="AS19" s="107">
        <f t="shared" ref="AS19" si="11">AR19-AU19</f>
        <v>-47</v>
      </c>
      <c r="AT19" s="48"/>
      <c r="AU19" s="113">
        <f t="shared" si="8"/>
        <v>46124</v>
      </c>
      <c r="AV19" s="119" t="str" cm="1">
        <f t="array" ref="AV19">IF(OR(G19&gt;$C$6,G19=""),$F$8,INDEX($E$8:$Z$8,MATCH(TRUE,(F19:AA19=""),0)))</f>
        <v>9. Award Rec. Approval</v>
      </c>
      <c r="AW19" s="116" t="b">
        <f>IF(AND(G19&gt;0,G19&lt;$C$6),TRUE,FALSE)</f>
        <v>1</v>
      </c>
      <c r="AX19" s="71" t="b">
        <f>IF(AND(I19&gt;0,I19&lt;$C$6),TRUE,FALSE)</f>
        <v>1</v>
      </c>
      <c r="AY19" s="71" t="b">
        <f>IF(AND(K19&gt;0,K19&lt;$C$6),TRUE,FALSE)</f>
        <v>1</v>
      </c>
      <c r="AZ19" s="71" t="b">
        <f>IF(AND(M19&gt;0,M19&lt;$C$6),TRUE,FALSE)</f>
        <v>1</v>
      </c>
      <c r="BA19" s="71" t="b">
        <f>IF(AND(O19&gt;0,O19&lt;$C$6),TRUE,FALSE)</f>
        <v>1</v>
      </c>
      <c r="BB19" s="71" t="b">
        <f>IF(AND(Q19&gt;0,Q19&lt;$C$6),TRUE,FALSE)</f>
        <v>1</v>
      </c>
      <c r="BC19" s="71" t="b">
        <f>IF(AND(S19&gt;0,S19&lt;$C$6),TRUE,FALSE)</f>
        <v>1</v>
      </c>
      <c r="BD19" s="71" t="b">
        <f>IF(AND(U19&gt;0,U19&lt;$C$6),TRUE,FALSE)</f>
        <v>1</v>
      </c>
      <c r="BE19" s="71" t="b">
        <f>IF(AND(W19&gt;0,W19&lt;$C$6),TRUE,FALSE)</f>
        <v>0</v>
      </c>
      <c r="BF19" s="71" t="b">
        <f>IF(AND(Y19&gt;0,Y19&lt;$C$6),TRUE,FALSE)</f>
        <v>0</v>
      </c>
      <c r="BG19" s="89" t="b">
        <f>IF(AND(AA19&gt;0,AA19&lt;$C$6),TRUE,FALSE)</f>
        <v>0</v>
      </c>
      <c r="BH19" s="146"/>
    </row>
    <row r="20" spans="1:60" ht="26.25" x14ac:dyDescent="0.25">
      <c r="A20" s="56" cm="1">
        <f t="array" ref="A20">SUMPRODUCT(($AV$10:$AV$34&lt;&gt;"")*(ROW($AV$10:$AV$34)&lt;=ROW()))</f>
        <v>8</v>
      </c>
      <c r="B20" s="59" t="s">
        <v>173</v>
      </c>
      <c r="C20" s="60" t="s">
        <v>205</v>
      </c>
      <c r="D20" s="59"/>
      <c r="E20" s="43"/>
      <c r="F20" s="44">
        <f>H20-$H$7</f>
        <v>45947</v>
      </c>
      <c r="G20" s="45">
        <v>45884</v>
      </c>
      <c r="H20" s="44">
        <f>J20-$J$7</f>
        <v>45954</v>
      </c>
      <c r="I20" s="45">
        <v>45884</v>
      </c>
      <c r="J20" s="44">
        <f>L20-$L$7</f>
        <v>45960</v>
      </c>
      <c r="K20" s="45">
        <v>45884</v>
      </c>
      <c r="L20" s="44">
        <f>N20-$N$7</f>
        <v>45963</v>
      </c>
      <c r="M20" s="45">
        <v>46047</v>
      </c>
      <c r="N20" s="44">
        <f>P20-$P$7</f>
        <v>45993</v>
      </c>
      <c r="O20" s="45"/>
      <c r="P20" s="44">
        <f>R20-$R$7</f>
        <v>46003</v>
      </c>
      <c r="Q20" s="45"/>
      <c r="R20" s="44">
        <f>T20-$T$7</f>
        <v>46023</v>
      </c>
      <c r="S20" s="45"/>
      <c r="T20" s="44">
        <f>V20-$V$7</f>
        <v>46030</v>
      </c>
      <c r="U20" s="45"/>
      <c r="V20" s="44">
        <f>X20-$X$7</f>
        <v>46037</v>
      </c>
      <c r="W20" s="45"/>
      <c r="X20" s="44">
        <f t="shared" ref="X20" si="12">AN20</f>
        <v>46042</v>
      </c>
      <c r="Y20" s="45"/>
      <c r="Z20" s="46">
        <f>X20+$Z$7</f>
        <v>46052</v>
      </c>
      <c r="AA20" s="45"/>
      <c r="AB20" s="32">
        <f>IF(AV20="10. Issued to Contractor","-",IF(AV20="11. Subcontract Agreement signed","-",MAX(AN20,AR20)-$C$6))</f>
        <v>-34</v>
      </c>
      <c r="AC20" s="16"/>
      <c r="AD20" s="131">
        <f t="shared" si="7"/>
        <v>95</v>
      </c>
      <c r="AE20" s="16"/>
      <c r="AF20" s="96"/>
      <c r="AG20" s="72"/>
      <c r="AH20" s="201"/>
      <c r="AI20" s="72"/>
      <c r="AJ20" s="73" t="str">
        <f>IF(AI20&gt;0,SUM(AH20)-SUM(AI20),"")</f>
        <v/>
      </c>
      <c r="AK20" s="140"/>
      <c r="AL20" s="48"/>
      <c r="AM20" s="104">
        <v>240</v>
      </c>
      <c r="AN20" s="74">
        <f>$M$3+AM20-1</f>
        <v>46042</v>
      </c>
      <c r="AO20" s="108">
        <f>AN20-AU20</f>
        <v>-149</v>
      </c>
      <c r="AP20" s="48"/>
      <c r="AQ20" s="110">
        <v>31</v>
      </c>
      <c r="AR20" s="75">
        <f>IFERROR(WORKDAY.INTL(AN20,AQ20,11),"")</f>
        <v>46078</v>
      </c>
      <c r="AS20" s="108">
        <f>AR20-AU20</f>
        <v>-113</v>
      </c>
      <c r="AT20" s="48"/>
      <c r="AU20" s="114">
        <f t="shared" ref="AU20" si="13">IF(Y20&gt;0,Y20,IFERROR(MAX(_xlfn.XLOOKUP($AV20,$H$8:$Z$8,$G20:$Y20),$C$6)+(AN20-_xlfn.XLOOKUP($AV20,$H$8:$Z$8,$F20:$X20))*AD20/SUM($H$7:$Y$7),$C$6+SUM(AD20)))</f>
        <v>46191</v>
      </c>
      <c r="AV20" s="120" t="str" cm="1">
        <f t="array" ref="AV20">IF(OR(G20&gt;$C$6,G20=""),$F$8,INDEX($E$8:$Z$8,MATCH(TRUE,(F20:AA20=""),0)))</f>
        <v>5. Initial submission</v>
      </c>
      <c r="AW20" s="117" t="b">
        <f>IF(AND(G20&gt;0,G20&lt;$C$6),TRUE,FALSE)</f>
        <v>1</v>
      </c>
      <c r="AX20" s="76" t="b">
        <f>IF(AND(I20&gt;0,I20&lt;$C$6),TRUE,FALSE)</f>
        <v>1</v>
      </c>
      <c r="AY20" s="76" t="b">
        <f>IF(AND(K20&gt;0,K20&lt;$C$6),TRUE,FALSE)</f>
        <v>1</v>
      </c>
      <c r="AZ20" s="76" t="b">
        <f>IF(AND(M20&gt;0,M20&lt;$C$6),TRUE,FALSE)</f>
        <v>1</v>
      </c>
      <c r="BA20" s="76" t="b">
        <f>IF(AND(O20&gt;0,O20&lt;$C$6),TRUE,FALSE)</f>
        <v>0</v>
      </c>
      <c r="BB20" s="76" t="b">
        <f>IF(AND(Q20&gt;0,Q20&lt;$C$6),TRUE,FALSE)</f>
        <v>0</v>
      </c>
      <c r="BC20" s="76" t="b">
        <f>IF(AND(S20&gt;0,S20&lt;$C$6),TRUE,FALSE)</f>
        <v>0</v>
      </c>
      <c r="BD20" s="76" t="b">
        <f>IF(AND(U20&gt;0,U20&lt;$C$6),TRUE,FALSE)</f>
        <v>0</v>
      </c>
      <c r="BE20" s="76" t="b">
        <f>IF(AND(W20&gt;0,W20&lt;$C$6),TRUE,FALSE)</f>
        <v>0</v>
      </c>
      <c r="BF20" s="76" t="b">
        <f>IF(AND(Y20&gt;0,Y20&lt;$C$6),TRUE,FALSE)</f>
        <v>0</v>
      </c>
      <c r="BG20" s="90" t="b">
        <f>IF(AND(AA20&gt;0,AA20&lt;$C$6),TRUE,FALSE)</f>
        <v>0</v>
      </c>
      <c r="BH20" s="146"/>
    </row>
    <row r="21" spans="1:60" ht="23.25" x14ac:dyDescent="0.25">
      <c r="A21" s="54"/>
      <c r="B21" s="49"/>
      <c r="C21" s="50" t="s">
        <v>137</v>
      </c>
      <c r="D21" s="51"/>
      <c r="E21" s="51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1"/>
      <c r="AC21" s="51"/>
      <c r="AD21" s="132"/>
      <c r="AE21" s="51"/>
      <c r="AF21" s="51"/>
      <c r="AG21" s="51"/>
      <c r="AH21" s="202"/>
      <c r="AI21" s="51"/>
      <c r="AJ21" s="51"/>
      <c r="AK21" s="14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  <c r="BC21" s="51"/>
      <c r="BD21" s="51"/>
      <c r="BE21" s="51"/>
      <c r="BF21" s="51"/>
      <c r="BG21" s="88"/>
      <c r="BH21" s="146"/>
    </row>
    <row r="22" spans="1:60" ht="74.45" customHeight="1" x14ac:dyDescent="0.25">
      <c r="A22" s="56" cm="1">
        <f t="array" ref="A22">SUMPRODUCT(($AV$10:$AV$34&lt;&gt;"")*(ROW($AV$10:$AV$34)&lt;=ROW()))</f>
        <v>9</v>
      </c>
      <c r="B22" s="59" t="s">
        <v>164</v>
      </c>
      <c r="C22" s="60" t="s">
        <v>206</v>
      </c>
      <c r="D22" s="59" t="s">
        <v>7</v>
      </c>
      <c r="E22" s="43"/>
      <c r="F22" s="44">
        <f t="shared" ref="F22:F24" si="14">H22-$H$7</f>
        <v>45887</v>
      </c>
      <c r="G22" s="45">
        <v>45883</v>
      </c>
      <c r="H22" s="44">
        <f t="shared" ref="H22:H24" si="15">J22-$J$7</f>
        <v>45894</v>
      </c>
      <c r="I22" s="45">
        <v>45883</v>
      </c>
      <c r="J22" s="44">
        <f t="shared" ref="J22:J24" si="16">L22-$L$7</f>
        <v>45900</v>
      </c>
      <c r="K22" s="45">
        <v>45883</v>
      </c>
      <c r="L22" s="44">
        <f t="shared" ref="L22:L24" si="17">N22-$N$7</f>
        <v>45903</v>
      </c>
      <c r="M22" s="45">
        <v>45847</v>
      </c>
      <c r="N22" s="44">
        <f t="shared" ref="N22:N24" si="18">P22-$P$7</f>
        <v>45933</v>
      </c>
      <c r="O22" s="45">
        <v>45958</v>
      </c>
      <c r="P22" s="44">
        <f t="shared" ref="P22:P24" si="19">R22-$R$7</f>
        <v>45943</v>
      </c>
      <c r="Q22" s="45">
        <v>45958</v>
      </c>
      <c r="R22" s="44">
        <f t="shared" ref="R22:R24" si="20">T22-$T$7</f>
        <v>45963</v>
      </c>
      <c r="S22" s="45">
        <v>45958</v>
      </c>
      <c r="T22" s="44">
        <f t="shared" ref="T22:T24" si="21">V22-$V$7</f>
        <v>45970</v>
      </c>
      <c r="U22" s="45">
        <v>45958</v>
      </c>
      <c r="V22" s="44">
        <f t="shared" ref="V22:V24" si="22">X22-$X$7</f>
        <v>45977</v>
      </c>
      <c r="W22" s="45">
        <v>45994</v>
      </c>
      <c r="X22" s="44">
        <f t="shared" ref="X22:X24" si="23">AN22</f>
        <v>45982</v>
      </c>
      <c r="Y22" s="45">
        <v>45994</v>
      </c>
      <c r="Z22" s="46">
        <f t="shared" ref="Z22:Z24" si="24">X22+$Z$7</f>
        <v>45992</v>
      </c>
      <c r="AA22" s="45"/>
      <c r="AB22" s="32" t="str">
        <f t="shared" ref="AB22:AB24" si="25">IF(AV22="10. Issued to Contractor","-",IF(AV22="11. Subcontract Agreement signed","-",MAX(AN22,AR22)-$C$6))</f>
        <v>-</v>
      </c>
      <c r="AC22" s="16"/>
      <c r="AD22" s="131">
        <f t="shared" ref="AD22:AD24" si="26">SUM($H$7:$Y$7)</f>
        <v>95</v>
      </c>
      <c r="AE22" s="16"/>
      <c r="AF22" s="96">
        <v>41187545</v>
      </c>
      <c r="AG22" s="72"/>
      <c r="AH22" s="198">
        <v>65000000</v>
      </c>
      <c r="AI22" s="72">
        <v>57393120</v>
      </c>
      <c r="AJ22" s="73">
        <f>IF(AI22&gt;0,SUM(AH22)-SUM(AI22),"")</f>
        <v>7606880</v>
      </c>
      <c r="AK22" s="140" t="s">
        <v>121</v>
      </c>
      <c r="AL22" s="48"/>
      <c r="AM22" s="104">
        <v>180</v>
      </c>
      <c r="AN22" s="74">
        <f t="shared" ref="AN22:AN24" si="27">$M$3+AM22-1</f>
        <v>45982</v>
      </c>
      <c r="AO22" s="108">
        <f t="shared" ref="AO22:AO24" si="28">AN22-AU22</f>
        <v>-12</v>
      </c>
      <c r="AP22" s="48"/>
      <c r="AQ22" s="110">
        <v>45</v>
      </c>
      <c r="AR22" s="75">
        <f t="shared" ref="AR22:AR24" si="29">IFERROR(WORKDAY.INTL(AN22,AQ22,11),"")</f>
        <v>46035</v>
      </c>
      <c r="AS22" s="108">
        <f t="shared" ref="AS22:AS24" si="30">AR22-AU22</f>
        <v>41</v>
      </c>
      <c r="AT22" s="48"/>
      <c r="AU22" s="114">
        <f t="shared" ref="AU22:AU24" si="31">IF(Y22&gt;0,Y22,IFERROR(MAX(_xlfn.XLOOKUP($AV22,$H$8:$Z$8,$G22:$Y22),$C$6)+(AN22-_xlfn.XLOOKUP($AV22,$H$8:$Z$8,$F22:$X22))*AD22/SUM($H$7:$Y$7),$C$6+SUM(AD22)))</f>
        <v>45994</v>
      </c>
      <c r="AV22" s="120" t="str" cm="1">
        <f t="array" ref="AV22">IF(OR(G22&gt;$C$6,G22=""),$F$8,INDEX($E$8:$Z$8,MATCH(TRUE,(F22:AA22=""),0)))</f>
        <v>11. Subcontract Agreement signed</v>
      </c>
      <c r="AW22" s="117" t="b">
        <f t="shared" ref="AW22:AW24" si="32">IF(AND(G22&gt;0,G22&lt;$C$6),TRUE,FALSE)</f>
        <v>1</v>
      </c>
      <c r="AX22" s="76" t="b">
        <f t="shared" ref="AX22:AX24" si="33">IF(AND(I22&gt;0,I22&lt;$C$6),TRUE,FALSE)</f>
        <v>1</v>
      </c>
      <c r="AY22" s="76" t="b">
        <f t="shared" ref="AY22:AY24" si="34">IF(AND(K22&gt;0,K22&lt;$C$6),TRUE,FALSE)</f>
        <v>1</v>
      </c>
      <c r="AZ22" s="76" t="b">
        <f t="shared" ref="AZ22:AZ24" si="35">IF(AND(M22&gt;0,M22&lt;$C$6),TRUE,FALSE)</f>
        <v>1</v>
      </c>
      <c r="BA22" s="76" t="b">
        <f t="shared" ref="BA22:BA24" si="36">IF(AND(O22&gt;0,O22&lt;$C$6),TRUE,FALSE)</f>
        <v>1</v>
      </c>
      <c r="BB22" s="76" t="b">
        <f t="shared" ref="BB22:BB24" si="37">IF(AND(Q22&gt;0,Q22&lt;$C$6),TRUE,FALSE)</f>
        <v>1</v>
      </c>
      <c r="BC22" s="76" t="b">
        <f t="shared" ref="BC22:BC24" si="38">IF(AND(S22&gt;0,S22&lt;$C$6),TRUE,FALSE)</f>
        <v>1</v>
      </c>
      <c r="BD22" s="76" t="b">
        <f t="shared" ref="BD22:BD24" si="39">IF(AND(U22&gt;0,U22&lt;$C$6),TRUE,FALSE)</f>
        <v>1</v>
      </c>
      <c r="BE22" s="76" t="b">
        <f t="shared" ref="BE22:BE24" si="40">IF(AND(W22&gt;0,W22&lt;$C$6),TRUE,FALSE)</f>
        <v>1</v>
      </c>
      <c r="BF22" s="76" t="b">
        <f t="shared" ref="BF22:BF24" si="41">IF(AND(Y22&gt;0,Y22&lt;$C$6),TRUE,FALSE)</f>
        <v>1</v>
      </c>
      <c r="BG22" s="90" t="b">
        <f t="shared" ref="BG22:BG24" si="42">IF(AND(AA22&gt;0,AA22&lt;$C$6),TRUE,FALSE)</f>
        <v>0</v>
      </c>
      <c r="BH22" s="146"/>
    </row>
    <row r="23" spans="1:60" ht="26.25" x14ac:dyDescent="0.25">
      <c r="A23" s="56" cm="1">
        <f t="array" ref="A23">SUMPRODUCT(($AV$10:$AV$34&lt;&gt;"")*(ROW($AV$10:$AV$34)&lt;=ROW()))</f>
        <v>10</v>
      </c>
      <c r="B23" s="57" t="s">
        <v>160</v>
      </c>
      <c r="C23" s="58" t="s">
        <v>201</v>
      </c>
      <c r="D23" s="93" t="s">
        <v>7</v>
      </c>
      <c r="E23" s="16"/>
      <c r="F23" s="29">
        <f>H23-$H$7</f>
        <v>45857</v>
      </c>
      <c r="G23" s="42">
        <v>45918</v>
      </c>
      <c r="H23" s="29">
        <f>J23-$J$7</f>
        <v>45864</v>
      </c>
      <c r="I23" s="42">
        <v>45933</v>
      </c>
      <c r="J23" s="29">
        <f>L23-$L$7</f>
        <v>45870</v>
      </c>
      <c r="K23" s="42">
        <v>45936</v>
      </c>
      <c r="L23" s="29">
        <f>N23-$N$7</f>
        <v>45873</v>
      </c>
      <c r="M23" s="42">
        <v>45929</v>
      </c>
      <c r="N23" s="29">
        <f>P23-$P$7</f>
        <v>45903</v>
      </c>
      <c r="O23" s="42">
        <v>45960</v>
      </c>
      <c r="P23" s="29">
        <f>R23-$R$7</f>
        <v>45913</v>
      </c>
      <c r="Q23" s="42">
        <v>45960</v>
      </c>
      <c r="R23" s="29">
        <f>T23-$T$7</f>
        <v>45933</v>
      </c>
      <c r="S23" s="42">
        <v>45960</v>
      </c>
      <c r="T23" s="29">
        <f>V23-$V$7</f>
        <v>45940</v>
      </c>
      <c r="U23" s="42">
        <v>45979</v>
      </c>
      <c r="V23" s="29">
        <f>X23-$X$7</f>
        <v>45947</v>
      </c>
      <c r="W23" s="42">
        <v>46036</v>
      </c>
      <c r="X23" s="29">
        <f>AN23</f>
        <v>45952</v>
      </c>
      <c r="Y23" s="42">
        <v>46050</v>
      </c>
      <c r="Z23" s="30">
        <f>X23+$Z$7</f>
        <v>45962</v>
      </c>
      <c r="AA23" s="42"/>
      <c r="AB23" s="31" t="str">
        <f>IF(AV23="10. Issued to Contractor","-",IF(AV23="11. Subcontract Agreement signed","-",MAX(AN23,AR23)-$C$6))</f>
        <v>-</v>
      </c>
      <c r="AC23" s="16"/>
      <c r="AD23" s="131">
        <f t="shared" si="26"/>
        <v>95</v>
      </c>
      <c r="AE23" s="16"/>
      <c r="AF23" s="95">
        <v>2622246</v>
      </c>
      <c r="AG23" s="67"/>
      <c r="AH23" s="197">
        <v>5000000</v>
      </c>
      <c r="AI23" s="67">
        <v>2952460</v>
      </c>
      <c r="AJ23" s="68">
        <f>IF(AI23&gt;0,SUM(AH23)-SUM(AI23),"")</f>
        <v>2047540</v>
      </c>
      <c r="AK23" s="139" t="s">
        <v>202</v>
      </c>
      <c r="AL23" s="48"/>
      <c r="AM23" s="105">
        <v>150</v>
      </c>
      <c r="AN23" s="69">
        <f>$M$3+AM23-1</f>
        <v>45952</v>
      </c>
      <c r="AO23" s="107">
        <f>AN23-AU23</f>
        <v>-98</v>
      </c>
      <c r="AP23" s="48"/>
      <c r="AQ23" s="111">
        <v>45</v>
      </c>
      <c r="AR23" s="70">
        <f>IFERROR(WORKDAY.INTL(AN23,AQ23,11),"")</f>
        <v>46004</v>
      </c>
      <c r="AS23" s="107">
        <f>AR23-AU23</f>
        <v>-46</v>
      </c>
      <c r="AT23" s="48"/>
      <c r="AU23" s="113">
        <f>IF(Y23&gt;0,Y23,IFERROR(MAX(_xlfn.XLOOKUP($AV23,$H$8:$Z$8,$G23:$Y23),$C$6)+(AN23-_xlfn.XLOOKUP($AV23,$H$8:$Z$8,$F23:$X23))*AD23/SUM($H$7:$Y$7),$C$6+SUM(AD23)))</f>
        <v>46050</v>
      </c>
      <c r="AV23" s="119" t="str" cm="1">
        <f t="array" ref="AV23">IF(OR(G23&gt;$C$6,G23=""),$F$8,INDEX($E$8:$Z$8,MATCH(TRUE,(F23:AA23=""),0)))</f>
        <v>11. Subcontract Agreement signed</v>
      </c>
      <c r="AW23" s="116" t="b">
        <f>IF(AND(G23&gt;0,G23&lt;$C$6),TRUE,FALSE)</f>
        <v>1</v>
      </c>
      <c r="AX23" s="71" t="b">
        <f>IF(AND(I23&gt;0,I23&lt;$C$6),TRUE,FALSE)</f>
        <v>1</v>
      </c>
      <c r="AY23" s="71" t="b">
        <f>IF(AND(K23&gt;0,K23&lt;$C$6),TRUE,FALSE)</f>
        <v>1</v>
      </c>
      <c r="AZ23" s="71" t="b">
        <f>IF(AND(M23&gt;0,M23&lt;$C$6),TRUE,FALSE)</f>
        <v>1</v>
      </c>
      <c r="BA23" s="71" t="b">
        <f>IF(AND(O23&gt;0,O23&lt;$C$6),TRUE,FALSE)</f>
        <v>1</v>
      </c>
      <c r="BB23" s="71" t="b">
        <f>IF(AND(Q23&gt;0,Q23&lt;$C$6),TRUE,FALSE)</f>
        <v>1</v>
      </c>
      <c r="BC23" s="71" t="b">
        <f>IF(AND(S23&gt;0,S23&lt;$C$6),TRUE,FALSE)</f>
        <v>1</v>
      </c>
      <c r="BD23" s="71" t="b">
        <f>IF(AND(U23&gt;0,U23&lt;$C$6),TRUE,FALSE)</f>
        <v>1</v>
      </c>
      <c r="BE23" s="71" t="b">
        <f>IF(AND(W23&gt;0,W23&lt;$C$6),TRUE,FALSE)</f>
        <v>1</v>
      </c>
      <c r="BF23" s="71" t="b">
        <f>IF(AND(Y23&gt;0,Y23&lt;$C$6),TRUE,FALSE)</f>
        <v>1</v>
      </c>
      <c r="BG23" s="89" t="b">
        <f>IF(AND(AA23&gt;0,AA23&lt;$C$6),TRUE,FALSE)</f>
        <v>0</v>
      </c>
      <c r="BH23" s="146"/>
    </row>
    <row r="24" spans="1:60" ht="30" x14ac:dyDescent="0.25">
      <c r="A24" s="56" cm="1">
        <f t="array" ref="A24">SUMPRODUCT(($AV$10:$AV$34&lt;&gt;"")*(ROW($AV$10:$AV$34)&lt;=ROW()))</f>
        <v>11</v>
      </c>
      <c r="B24" s="59" t="s">
        <v>116</v>
      </c>
      <c r="C24" s="60" t="s">
        <v>207</v>
      </c>
      <c r="D24" s="59" t="s">
        <v>11</v>
      </c>
      <c r="E24" s="43"/>
      <c r="F24" s="44">
        <f t="shared" si="14"/>
        <v>45797</v>
      </c>
      <c r="G24" s="45">
        <v>45903</v>
      </c>
      <c r="H24" s="44">
        <f t="shared" si="15"/>
        <v>45804</v>
      </c>
      <c r="I24" s="45">
        <v>45910</v>
      </c>
      <c r="J24" s="44">
        <f t="shared" si="16"/>
        <v>45810</v>
      </c>
      <c r="K24" s="45">
        <v>45910</v>
      </c>
      <c r="L24" s="44">
        <f t="shared" si="17"/>
        <v>45813</v>
      </c>
      <c r="M24" s="45">
        <v>45917</v>
      </c>
      <c r="N24" s="44">
        <f t="shared" si="18"/>
        <v>45843</v>
      </c>
      <c r="O24" s="45">
        <v>45950</v>
      </c>
      <c r="P24" s="44">
        <f t="shared" si="19"/>
        <v>45853</v>
      </c>
      <c r="Q24" s="45">
        <v>45950</v>
      </c>
      <c r="R24" s="44">
        <f t="shared" si="20"/>
        <v>45873</v>
      </c>
      <c r="S24" s="45">
        <v>45950</v>
      </c>
      <c r="T24" s="44">
        <f t="shared" si="21"/>
        <v>45880</v>
      </c>
      <c r="U24" s="45"/>
      <c r="V24" s="44">
        <f t="shared" si="22"/>
        <v>45887</v>
      </c>
      <c r="W24" s="45"/>
      <c r="X24" s="44">
        <f t="shared" si="23"/>
        <v>45892</v>
      </c>
      <c r="Y24" s="45"/>
      <c r="Z24" s="46">
        <f t="shared" si="24"/>
        <v>45902</v>
      </c>
      <c r="AA24" s="45"/>
      <c r="AB24" s="32">
        <f t="shared" si="25"/>
        <v>-206</v>
      </c>
      <c r="AC24" s="16"/>
      <c r="AD24" s="131">
        <f t="shared" si="26"/>
        <v>95</v>
      </c>
      <c r="AE24" s="16"/>
      <c r="AF24" s="96">
        <v>9314948</v>
      </c>
      <c r="AG24" s="72"/>
      <c r="AH24" s="201">
        <v>2661592</v>
      </c>
      <c r="AI24" s="196">
        <v>7621550</v>
      </c>
      <c r="AJ24" s="73">
        <f>IF(AI24&gt;0,SUM(AH24)-SUM(AI24),"")</f>
        <v>-4959958</v>
      </c>
      <c r="AK24" s="140" t="s">
        <v>208</v>
      </c>
      <c r="AL24" s="48"/>
      <c r="AM24" s="104">
        <v>90</v>
      </c>
      <c r="AN24" s="74">
        <f t="shared" si="27"/>
        <v>45892</v>
      </c>
      <c r="AO24" s="108">
        <f t="shared" si="28"/>
        <v>-239</v>
      </c>
      <c r="AP24" s="48"/>
      <c r="AQ24" s="110">
        <v>12</v>
      </c>
      <c r="AR24" s="75">
        <f t="shared" si="29"/>
        <v>45906</v>
      </c>
      <c r="AS24" s="108">
        <f t="shared" si="30"/>
        <v>-225</v>
      </c>
      <c r="AT24" s="48"/>
      <c r="AU24" s="114">
        <f t="shared" si="31"/>
        <v>46131</v>
      </c>
      <c r="AV24" s="120" t="str" cm="1">
        <f t="array" ref="AV24">IF(OR(G24&gt;$C$6,G24=""),$F$8,INDEX($E$8:$Z$8,MATCH(TRUE,(F24:AA24=""),0)))</f>
        <v>8. Tech &amp; Com Review</v>
      </c>
      <c r="AW24" s="117" t="b">
        <f t="shared" si="32"/>
        <v>1</v>
      </c>
      <c r="AX24" s="76" t="b">
        <f t="shared" si="33"/>
        <v>1</v>
      </c>
      <c r="AY24" s="76" t="b">
        <f t="shared" si="34"/>
        <v>1</v>
      </c>
      <c r="AZ24" s="76" t="b">
        <f t="shared" si="35"/>
        <v>1</v>
      </c>
      <c r="BA24" s="76" t="b">
        <f t="shared" si="36"/>
        <v>1</v>
      </c>
      <c r="BB24" s="76" t="b">
        <f t="shared" si="37"/>
        <v>1</v>
      </c>
      <c r="BC24" s="76" t="b">
        <f t="shared" si="38"/>
        <v>1</v>
      </c>
      <c r="BD24" s="76" t="b">
        <f t="shared" si="39"/>
        <v>0</v>
      </c>
      <c r="BE24" s="76" t="b">
        <f t="shared" si="40"/>
        <v>0</v>
      </c>
      <c r="BF24" s="76" t="b">
        <f t="shared" si="41"/>
        <v>0</v>
      </c>
      <c r="BG24" s="90" t="b">
        <f t="shared" si="42"/>
        <v>0</v>
      </c>
      <c r="BH24" s="146"/>
    </row>
    <row r="25" spans="1:60" ht="23.25" x14ac:dyDescent="0.25">
      <c r="A25" s="54"/>
      <c r="B25" s="49"/>
      <c r="C25" s="50" t="s">
        <v>156</v>
      </c>
      <c r="D25" s="51"/>
      <c r="E25" s="51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1"/>
      <c r="AC25" s="51"/>
      <c r="AD25" s="132"/>
      <c r="AE25" s="51"/>
      <c r="AF25" s="51"/>
      <c r="AG25" s="51"/>
      <c r="AH25" s="202"/>
      <c r="AI25" s="51"/>
      <c r="AJ25" s="51"/>
      <c r="AK25" s="14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1"/>
      <c r="BE25" s="51"/>
      <c r="BF25" s="51"/>
      <c r="BG25" s="88"/>
      <c r="BH25" s="146"/>
    </row>
    <row r="26" spans="1:60" ht="26.25" x14ac:dyDescent="0.25">
      <c r="A26" s="56" cm="1">
        <f t="array" ref="A26">SUMPRODUCT(($AV$10:$AV$34&lt;&gt;"")*(ROW($AV$10:$AV$34)&lt;=ROW()))</f>
        <v>12</v>
      </c>
      <c r="B26" s="59" t="s">
        <v>209</v>
      </c>
      <c r="C26" s="60" t="s">
        <v>210</v>
      </c>
      <c r="D26" s="59" t="s">
        <v>3</v>
      </c>
      <c r="E26" s="43"/>
      <c r="F26" s="44">
        <f>H26-$H$7</f>
        <v>45797</v>
      </c>
      <c r="G26" s="45">
        <v>45859</v>
      </c>
      <c r="H26" s="44">
        <f>J26-$J$7</f>
        <v>45804</v>
      </c>
      <c r="I26" s="45">
        <v>45868</v>
      </c>
      <c r="J26" s="44">
        <f>L26-$L$7</f>
        <v>45810</v>
      </c>
      <c r="K26" s="45">
        <v>45868</v>
      </c>
      <c r="L26" s="44">
        <f>N26-$N$7</f>
        <v>45813</v>
      </c>
      <c r="M26" s="45">
        <v>45898</v>
      </c>
      <c r="N26" s="44">
        <f>P26-$P$7</f>
        <v>45843</v>
      </c>
      <c r="O26" s="45">
        <v>45960</v>
      </c>
      <c r="P26" s="44">
        <f>R26-$R$7</f>
        <v>45853</v>
      </c>
      <c r="Q26" s="45">
        <v>45960</v>
      </c>
      <c r="R26" s="44">
        <f>T26-$T$7</f>
        <v>45873</v>
      </c>
      <c r="S26" s="45">
        <v>45960</v>
      </c>
      <c r="T26" s="44">
        <f>V26-$V$7</f>
        <v>45880</v>
      </c>
      <c r="U26" s="45">
        <v>45979</v>
      </c>
      <c r="V26" s="44">
        <f>X26-$X$7</f>
        <v>45887</v>
      </c>
      <c r="W26" s="45">
        <v>46002</v>
      </c>
      <c r="X26" s="44">
        <f t="shared" ref="X26" si="43">AN26</f>
        <v>45892</v>
      </c>
      <c r="Y26" s="45">
        <v>46003</v>
      </c>
      <c r="Z26" s="46">
        <f>X26+$Z$7</f>
        <v>45902</v>
      </c>
      <c r="AA26" s="45"/>
      <c r="AB26" s="32" t="str">
        <f>IF(AV26="10. Issued to Contractor","-",IF(AV26="11. Subcontract Agreement signed","-",MAX(AN26,AR26)-$C$6))</f>
        <v>-</v>
      </c>
      <c r="AC26" s="16"/>
      <c r="AD26" s="131">
        <f t="shared" ref="AD26" si="44">SUM($H$7:$Y$7)</f>
        <v>95</v>
      </c>
      <c r="AE26" s="16"/>
      <c r="AF26" s="96">
        <v>28197056</v>
      </c>
      <c r="AG26" s="72"/>
      <c r="AH26" s="198">
        <v>4100000</v>
      </c>
      <c r="AI26" s="196">
        <v>17602759</v>
      </c>
      <c r="AJ26" s="73">
        <f>IF(AI26&gt;0,SUM(AH26)-SUM(AI26),"")</f>
        <v>-13502759</v>
      </c>
      <c r="AK26" s="140" t="s">
        <v>211</v>
      </c>
      <c r="AL26" s="48"/>
      <c r="AM26" s="104">
        <v>90</v>
      </c>
      <c r="AN26" s="74">
        <f>$M$3+AM26-1</f>
        <v>45892</v>
      </c>
      <c r="AO26" s="108">
        <f>AN26-AU26</f>
        <v>-111</v>
      </c>
      <c r="AP26" s="48"/>
      <c r="AQ26" s="110">
        <v>60</v>
      </c>
      <c r="AR26" s="75">
        <f>IFERROR(WORKDAY.INTL(AN26,AQ26,11),"")</f>
        <v>45962</v>
      </c>
      <c r="AS26" s="108">
        <f>AR26-AU26</f>
        <v>-41</v>
      </c>
      <c r="AT26" s="48"/>
      <c r="AU26" s="114">
        <f t="shared" ref="AU26" si="45">IF(Y26&gt;0,Y26,IFERROR(MAX(_xlfn.XLOOKUP($AV26,$H$8:$Z$8,$G26:$Y26),$C$6)+(AN26-_xlfn.XLOOKUP($AV26,$H$8:$Z$8,$F26:$X26))*AD26/SUM($H$7:$Y$7),$C$6+SUM(AD26)))</f>
        <v>46003</v>
      </c>
      <c r="AV26" s="120" t="str" cm="1">
        <f t="array" ref="AV26">IF(OR(G26&gt;$C$6,G26=""),$F$8,INDEX($E$8:$Z$8,MATCH(TRUE,(F26:AA26=""),0)))</f>
        <v>11. Subcontract Agreement signed</v>
      </c>
      <c r="AW26" s="117" t="b">
        <f>IF(AND(G26&gt;0,G26&lt;$C$6),TRUE,FALSE)</f>
        <v>1</v>
      </c>
      <c r="AX26" s="76" t="b">
        <f>IF(AND(I26&gt;0,I26&lt;$C$6),TRUE,FALSE)</f>
        <v>1</v>
      </c>
      <c r="AY26" s="76" t="b">
        <f>IF(AND(K26&gt;0,K26&lt;$C$6),TRUE,FALSE)</f>
        <v>1</v>
      </c>
      <c r="AZ26" s="76" t="b">
        <f>IF(AND(M26&gt;0,M26&lt;$C$6),TRUE,FALSE)</f>
        <v>1</v>
      </c>
      <c r="BA26" s="76" t="b">
        <f>IF(AND(O26&gt;0,O26&lt;$C$6),TRUE,FALSE)</f>
        <v>1</v>
      </c>
      <c r="BB26" s="76" t="b">
        <f>IF(AND(Q26&gt;0,Q26&lt;$C$6),TRUE,FALSE)</f>
        <v>1</v>
      </c>
      <c r="BC26" s="76" t="b">
        <f>IF(AND(S26&gt;0,S26&lt;$C$6),TRUE,FALSE)</f>
        <v>1</v>
      </c>
      <c r="BD26" s="76" t="b">
        <f>IF(AND(U26&gt;0,U26&lt;$C$6),TRUE,FALSE)</f>
        <v>1</v>
      </c>
      <c r="BE26" s="76" t="b">
        <f>IF(AND(W26&gt;0,W26&lt;$C$6),TRUE,FALSE)</f>
        <v>1</v>
      </c>
      <c r="BF26" s="76" t="b">
        <f>IF(AND(Y26&gt;0,Y26&lt;$C$6),TRUE,FALSE)</f>
        <v>1</v>
      </c>
      <c r="BG26" s="90" t="b">
        <f>IF(AND(AA26&gt;0,AA26&lt;$C$6),TRUE,FALSE)</f>
        <v>0</v>
      </c>
      <c r="BH26" s="146"/>
    </row>
    <row r="27" spans="1:60" ht="23.25" x14ac:dyDescent="0.25">
      <c r="A27" s="54"/>
      <c r="B27" s="49"/>
      <c r="C27" s="50" t="s">
        <v>163</v>
      </c>
      <c r="D27" s="51"/>
      <c r="E27" s="51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1"/>
      <c r="AC27" s="51"/>
      <c r="AD27" s="132"/>
      <c r="AE27" s="51"/>
      <c r="AF27" s="51"/>
      <c r="AG27" s="51"/>
      <c r="AH27" s="199"/>
      <c r="AI27" s="51"/>
      <c r="AJ27" s="51"/>
      <c r="AK27" s="14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88"/>
      <c r="BH27" s="146"/>
    </row>
    <row r="28" spans="1:60" ht="26.25" x14ac:dyDescent="0.25">
      <c r="A28" s="56" cm="1">
        <f t="array" ref="A28">SUMPRODUCT(($AV$10:$AV$34&lt;&gt;"")*(ROW($AV$10:$AV$34)&lt;=ROW()))</f>
        <v>13</v>
      </c>
      <c r="B28" s="59" t="s">
        <v>122</v>
      </c>
      <c r="C28" s="60" t="s">
        <v>212</v>
      </c>
      <c r="D28" s="59" t="s">
        <v>107</v>
      </c>
      <c r="E28" s="43"/>
      <c r="F28" s="44">
        <f t="shared" ref="F28:F34" si="46">H28-$H$7</f>
        <v>45797</v>
      </c>
      <c r="G28" s="45">
        <v>45819</v>
      </c>
      <c r="H28" s="44">
        <f t="shared" ref="H28:H34" si="47">J28-$J$7</f>
        <v>45804</v>
      </c>
      <c r="I28" s="45">
        <v>45820</v>
      </c>
      <c r="J28" s="44">
        <f t="shared" ref="J28:J34" si="48">L28-$L$7</f>
        <v>45810</v>
      </c>
      <c r="K28" s="45">
        <v>45824</v>
      </c>
      <c r="L28" s="44">
        <f t="shared" ref="L28:L34" si="49">N28-$N$7</f>
        <v>45813</v>
      </c>
      <c r="M28" s="45">
        <v>45841</v>
      </c>
      <c r="N28" s="44">
        <f t="shared" ref="N28:N34" si="50">P28-$P$7</f>
        <v>45843</v>
      </c>
      <c r="O28" s="45">
        <v>45855</v>
      </c>
      <c r="P28" s="44">
        <f t="shared" ref="P28:P34" si="51">R28-$R$7</f>
        <v>45853</v>
      </c>
      <c r="Q28" s="45">
        <v>45855</v>
      </c>
      <c r="R28" s="44">
        <f t="shared" ref="R28:R34" si="52">T28-$T$7</f>
        <v>45873</v>
      </c>
      <c r="S28" s="45">
        <v>45855</v>
      </c>
      <c r="T28" s="44">
        <f t="shared" ref="T28:T34" si="53">V28-$V$7</f>
        <v>45880</v>
      </c>
      <c r="U28" s="45">
        <v>45895</v>
      </c>
      <c r="V28" s="44">
        <f t="shared" ref="V28:V34" si="54">X28-$X$7</f>
        <v>45887</v>
      </c>
      <c r="W28" s="45">
        <v>45898</v>
      </c>
      <c r="X28" s="44">
        <f t="shared" ref="X28:X34" si="55">AN28</f>
        <v>45892</v>
      </c>
      <c r="Y28" s="45">
        <v>45903</v>
      </c>
      <c r="Z28" s="46">
        <f t="shared" ref="Z28:Z34" si="56">X28+$Z$7</f>
        <v>45902</v>
      </c>
      <c r="AA28" s="45"/>
      <c r="AB28" s="32" t="str">
        <f t="shared" ref="AB28:AB34" si="57">IF(AV28="10. Issued to Contractor","-",IF(AV28="11. Subcontract Agreement signed","-",MAX(AN28,AR28)-$C$6))</f>
        <v>-</v>
      </c>
      <c r="AC28" s="16"/>
      <c r="AD28" s="131">
        <f t="shared" ref="AD28:AD34" si="58">SUM($H$7:$Y$7)</f>
        <v>95</v>
      </c>
      <c r="AE28" s="16"/>
      <c r="AF28" s="96">
        <v>12436266</v>
      </c>
      <c r="AG28" s="72"/>
      <c r="AH28" s="198">
        <v>8000000</v>
      </c>
      <c r="AI28" s="72">
        <v>7503600</v>
      </c>
      <c r="AJ28" s="73">
        <f t="shared" ref="AJ28:AJ34" si="59">IF(AI28&gt;0,SUM(AH28)-SUM(AI28),"")</f>
        <v>496400</v>
      </c>
      <c r="AK28" s="140" t="s">
        <v>166</v>
      </c>
      <c r="AL28" s="48"/>
      <c r="AM28" s="104">
        <v>90</v>
      </c>
      <c r="AN28" s="74">
        <f t="shared" ref="AN28:AN34" si="60">$M$3+AM28-1</f>
        <v>45892</v>
      </c>
      <c r="AO28" s="108">
        <f t="shared" ref="AO28:AO30" si="61">AN28-AU28</f>
        <v>-11</v>
      </c>
      <c r="AP28" s="48"/>
      <c r="AQ28" s="110">
        <v>0</v>
      </c>
      <c r="AR28" s="75">
        <f t="shared" ref="AR28:AR30" si="62">IFERROR(WORKDAY.INTL(AN28,AQ28,11),"")</f>
        <v>45892</v>
      </c>
      <c r="AS28" s="108">
        <f t="shared" ref="AS28:AS30" si="63">AR28-AU28</f>
        <v>-11</v>
      </c>
      <c r="AT28" s="48"/>
      <c r="AU28" s="114">
        <f t="shared" ref="AU28:AU34" si="64">IF(Y28&gt;0,Y28,IFERROR(MAX(_xlfn.XLOOKUP($AV28,$H$8:$Z$8,$G28:$Y28),$C$6)+(AN28-_xlfn.XLOOKUP($AV28,$H$8:$Z$8,$F28:$X28))*AD28/SUM($H$7:$Y$7),$C$6+SUM(AD28)))</f>
        <v>45903</v>
      </c>
      <c r="AV28" s="120" t="str" cm="1">
        <f t="array" ref="AV28">IF(OR(G28&gt;$C$6,G28=""),$F$8,INDEX($E$8:$Z$8,MATCH(TRUE,(F28:AA28=""),0)))</f>
        <v>11. Subcontract Agreement signed</v>
      </c>
      <c r="AW28" s="117" t="b">
        <f t="shared" ref="AW28:AW34" si="65">IF(AND(G28&gt;0,G28&lt;$C$6),TRUE,FALSE)</f>
        <v>1</v>
      </c>
      <c r="AX28" s="76" t="b">
        <f t="shared" ref="AX28:AX34" si="66">IF(AND(I28&gt;0,I28&lt;$C$6),TRUE,FALSE)</f>
        <v>1</v>
      </c>
      <c r="AY28" s="76" t="b">
        <f t="shared" ref="AY28:AY34" si="67">IF(AND(K28&gt;0,K28&lt;$C$6),TRUE,FALSE)</f>
        <v>1</v>
      </c>
      <c r="AZ28" s="76" t="b">
        <f t="shared" ref="AZ28:AZ34" si="68">IF(AND(M28&gt;0,M28&lt;$C$6),TRUE,FALSE)</f>
        <v>1</v>
      </c>
      <c r="BA28" s="76" t="b">
        <f t="shared" ref="BA28:BA34" si="69">IF(AND(O28&gt;0,O28&lt;$C$6),TRUE,FALSE)</f>
        <v>1</v>
      </c>
      <c r="BB28" s="76" t="b">
        <f t="shared" ref="BB28:BB34" si="70">IF(AND(Q28&gt;0,Q28&lt;$C$6),TRUE,FALSE)</f>
        <v>1</v>
      </c>
      <c r="BC28" s="76" t="b">
        <f t="shared" ref="BC28:BC34" si="71">IF(AND(S28&gt;0,S28&lt;$C$6),TRUE,FALSE)</f>
        <v>1</v>
      </c>
      <c r="BD28" s="76" t="b">
        <f t="shared" ref="BD28:BD34" si="72">IF(AND(U28&gt;0,U28&lt;$C$6),TRUE,FALSE)</f>
        <v>1</v>
      </c>
      <c r="BE28" s="76" t="b">
        <f t="shared" ref="BE28:BE34" si="73">IF(AND(W28&gt;0,W28&lt;$C$6),TRUE,FALSE)</f>
        <v>1</v>
      </c>
      <c r="BF28" s="76" t="b">
        <f t="shared" ref="BF28:BF34" si="74">IF(AND(Y28&gt;0,Y28&lt;$C$6),TRUE,FALSE)</f>
        <v>1</v>
      </c>
      <c r="BG28" s="90" t="b">
        <f t="shared" ref="BG28:BG34" si="75">IF(AND(AA28&gt;0,AA28&lt;$C$6),TRUE,FALSE)</f>
        <v>0</v>
      </c>
      <c r="BH28" s="146"/>
    </row>
    <row r="29" spans="1:60" ht="26.25" x14ac:dyDescent="0.25">
      <c r="A29" s="56" cm="1">
        <f t="array" ref="A29">SUMPRODUCT(($AV$10:$AV$34&lt;&gt;"")*(ROW($AV$10:$AV$34)&lt;=ROW()))</f>
        <v>14</v>
      </c>
      <c r="B29" s="57" t="s">
        <v>213</v>
      </c>
      <c r="C29" s="58" t="s">
        <v>214</v>
      </c>
      <c r="D29" s="93" t="s">
        <v>13</v>
      </c>
      <c r="E29" s="16"/>
      <c r="F29" s="29">
        <f t="shared" si="46"/>
        <v>45887</v>
      </c>
      <c r="G29" s="42">
        <v>45910</v>
      </c>
      <c r="H29" s="29">
        <f t="shared" si="47"/>
        <v>45894</v>
      </c>
      <c r="I29" s="42">
        <v>45951</v>
      </c>
      <c r="J29" s="29">
        <f t="shared" si="48"/>
        <v>45900</v>
      </c>
      <c r="K29" s="42">
        <v>45951</v>
      </c>
      <c r="L29" s="29">
        <f t="shared" si="49"/>
        <v>45903</v>
      </c>
      <c r="M29" s="42">
        <v>45988</v>
      </c>
      <c r="N29" s="29">
        <f t="shared" si="50"/>
        <v>45933</v>
      </c>
      <c r="O29" s="42">
        <v>45996</v>
      </c>
      <c r="P29" s="29">
        <f t="shared" si="51"/>
        <v>45943</v>
      </c>
      <c r="Q29" s="42">
        <v>45996</v>
      </c>
      <c r="R29" s="29">
        <f t="shared" si="52"/>
        <v>45963</v>
      </c>
      <c r="S29" s="42">
        <v>45996</v>
      </c>
      <c r="T29" s="29">
        <f t="shared" si="53"/>
        <v>45970</v>
      </c>
      <c r="U29" s="42"/>
      <c r="V29" s="29">
        <f t="shared" si="54"/>
        <v>45977</v>
      </c>
      <c r="W29" s="42"/>
      <c r="X29" s="29">
        <f t="shared" si="55"/>
        <v>45982</v>
      </c>
      <c r="Y29" s="42"/>
      <c r="Z29" s="30">
        <f t="shared" si="56"/>
        <v>45992</v>
      </c>
      <c r="AA29" s="42"/>
      <c r="AB29" s="31">
        <f t="shared" si="57"/>
        <v>-60</v>
      </c>
      <c r="AC29" s="16"/>
      <c r="AD29" s="131">
        <f t="shared" si="58"/>
        <v>95</v>
      </c>
      <c r="AE29" s="16"/>
      <c r="AF29" s="95">
        <v>2074817</v>
      </c>
      <c r="AG29" s="67"/>
      <c r="AH29" s="200">
        <v>592844</v>
      </c>
      <c r="AI29" s="67"/>
      <c r="AJ29" s="68" t="str">
        <f t="shared" si="59"/>
        <v/>
      </c>
      <c r="AK29" s="102"/>
      <c r="AL29" s="48"/>
      <c r="AM29" s="105">
        <v>180</v>
      </c>
      <c r="AN29" s="69">
        <f t="shared" si="60"/>
        <v>45982</v>
      </c>
      <c r="AO29" s="107">
        <f t="shared" si="61"/>
        <v>-149</v>
      </c>
      <c r="AP29" s="48"/>
      <c r="AQ29" s="111">
        <v>60</v>
      </c>
      <c r="AR29" s="70">
        <f t="shared" si="62"/>
        <v>46052</v>
      </c>
      <c r="AS29" s="107">
        <f t="shared" si="63"/>
        <v>-79</v>
      </c>
      <c r="AT29" s="48"/>
      <c r="AU29" s="113">
        <f t="shared" si="64"/>
        <v>46131</v>
      </c>
      <c r="AV29" s="119" t="str" cm="1">
        <f t="array" ref="AV29">IF(OR(G29&gt;$C$6,G29=""),$F$8,INDEX($E$8:$Z$8,MATCH(TRUE,(F29:AA29=""),0)))</f>
        <v>8. Tech &amp; Com Review</v>
      </c>
      <c r="AW29" s="116" t="b">
        <f t="shared" si="65"/>
        <v>1</v>
      </c>
      <c r="AX29" s="71" t="b">
        <f t="shared" si="66"/>
        <v>1</v>
      </c>
      <c r="AY29" s="71" t="b">
        <f t="shared" si="67"/>
        <v>1</v>
      </c>
      <c r="AZ29" s="71" t="b">
        <f t="shared" si="68"/>
        <v>1</v>
      </c>
      <c r="BA29" s="71" t="b">
        <f t="shared" si="69"/>
        <v>1</v>
      </c>
      <c r="BB29" s="71" t="b">
        <f t="shared" si="70"/>
        <v>1</v>
      </c>
      <c r="BC29" s="71" t="b">
        <f t="shared" si="71"/>
        <v>1</v>
      </c>
      <c r="BD29" s="71" t="b">
        <f t="shared" si="72"/>
        <v>0</v>
      </c>
      <c r="BE29" s="71" t="b">
        <f t="shared" si="73"/>
        <v>0</v>
      </c>
      <c r="BF29" s="71" t="b">
        <f t="shared" si="74"/>
        <v>0</v>
      </c>
      <c r="BG29" s="89" t="b">
        <f t="shared" si="75"/>
        <v>0</v>
      </c>
      <c r="BH29" s="146"/>
    </row>
    <row r="30" spans="1:60" ht="26.25" x14ac:dyDescent="0.25">
      <c r="A30" s="56" cm="1">
        <f t="array" ref="A30">SUMPRODUCT(($AV$10:$AV$34&lt;&gt;"")*(ROW($AV$10:$AV$34)&lt;=ROW()))</f>
        <v>15</v>
      </c>
      <c r="B30" s="59" t="s">
        <v>176</v>
      </c>
      <c r="C30" s="60" t="s">
        <v>168</v>
      </c>
      <c r="D30" s="59" t="s">
        <v>7</v>
      </c>
      <c r="E30" s="43"/>
      <c r="F30" s="44">
        <f t="shared" si="46"/>
        <v>45887</v>
      </c>
      <c r="G30" s="45">
        <v>45863</v>
      </c>
      <c r="H30" s="44">
        <f t="shared" si="47"/>
        <v>45894</v>
      </c>
      <c r="I30" s="45">
        <v>45951</v>
      </c>
      <c r="J30" s="44">
        <f t="shared" si="48"/>
        <v>45900</v>
      </c>
      <c r="K30" s="45">
        <v>45951</v>
      </c>
      <c r="L30" s="44">
        <f t="shared" si="49"/>
        <v>45903</v>
      </c>
      <c r="M30" s="45">
        <v>45971</v>
      </c>
      <c r="N30" s="44">
        <f t="shared" si="50"/>
        <v>45933</v>
      </c>
      <c r="O30" s="45">
        <v>45979</v>
      </c>
      <c r="P30" s="44">
        <f t="shared" si="51"/>
        <v>45943</v>
      </c>
      <c r="Q30" s="45">
        <v>45979</v>
      </c>
      <c r="R30" s="44">
        <f t="shared" si="52"/>
        <v>45963</v>
      </c>
      <c r="S30" s="45">
        <v>45979</v>
      </c>
      <c r="T30" s="44">
        <f t="shared" si="53"/>
        <v>45970</v>
      </c>
      <c r="U30" s="45"/>
      <c r="V30" s="44">
        <f t="shared" si="54"/>
        <v>45977</v>
      </c>
      <c r="W30" s="45"/>
      <c r="X30" s="44">
        <f t="shared" si="55"/>
        <v>45982</v>
      </c>
      <c r="Y30" s="45"/>
      <c r="Z30" s="46">
        <f t="shared" si="56"/>
        <v>45992</v>
      </c>
      <c r="AA30" s="45"/>
      <c r="AB30" s="32">
        <f t="shared" si="57"/>
        <v>-60</v>
      </c>
      <c r="AC30" s="16"/>
      <c r="AD30" s="131">
        <f t="shared" si="58"/>
        <v>95</v>
      </c>
      <c r="AE30" s="16"/>
      <c r="AF30" s="96">
        <v>2584905</v>
      </c>
      <c r="AG30" s="72"/>
      <c r="AH30" s="203">
        <v>738593</v>
      </c>
      <c r="AI30" s="195">
        <v>1332000</v>
      </c>
      <c r="AJ30" s="73">
        <f t="shared" si="59"/>
        <v>-593407</v>
      </c>
      <c r="AK30" s="101"/>
      <c r="AL30" s="48"/>
      <c r="AM30" s="104">
        <v>180</v>
      </c>
      <c r="AN30" s="74">
        <f t="shared" si="60"/>
        <v>45982</v>
      </c>
      <c r="AO30" s="108">
        <f t="shared" si="61"/>
        <v>-149</v>
      </c>
      <c r="AP30" s="48"/>
      <c r="AQ30" s="110">
        <v>60</v>
      </c>
      <c r="AR30" s="75">
        <f t="shared" si="62"/>
        <v>46052</v>
      </c>
      <c r="AS30" s="108">
        <f t="shared" si="63"/>
        <v>-79</v>
      </c>
      <c r="AT30" s="48"/>
      <c r="AU30" s="114">
        <f t="shared" si="64"/>
        <v>46131</v>
      </c>
      <c r="AV30" s="120" t="str" cm="1">
        <f t="array" ref="AV30">IF(OR(G30&gt;$C$6,G30=""),$F$8,INDEX($E$8:$Z$8,MATCH(TRUE,(F30:AA30=""),0)))</f>
        <v>8. Tech &amp; Com Review</v>
      </c>
      <c r="AW30" s="117" t="b">
        <f t="shared" si="65"/>
        <v>1</v>
      </c>
      <c r="AX30" s="76" t="b">
        <f t="shared" si="66"/>
        <v>1</v>
      </c>
      <c r="AY30" s="76" t="b">
        <f t="shared" si="67"/>
        <v>1</v>
      </c>
      <c r="AZ30" s="76" t="b">
        <f t="shared" si="68"/>
        <v>1</v>
      </c>
      <c r="BA30" s="76" t="b">
        <f t="shared" si="69"/>
        <v>1</v>
      </c>
      <c r="BB30" s="76" t="b">
        <f t="shared" si="70"/>
        <v>1</v>
      </c>
      <c r="BC30" s="76" t="b">
        <f t="shared" si="71"/>
        <v>1</v>
      </c>
      <c r="BD30" s="76" t="b">
        <f t="shared" si="72"/>
        <v>0</v>
      </c>
      <c r="BE30" s="76" t="b">
        <f t="shared" si="73"/>
        <v>0</v>
      </c>
      <c r="BF30" s="76" t="b">
        <f t="shared" si="74"/>
        <v>0</v>
      </c>
      <c r="BG30" s="90" t="b">
        <f t="shared" si="75"/>
        <v>0</v>
      </c>
      <c r="BH30" s="146"/>
    </row>
    <row r="31" spans="1:60" ht="26.25" x14ac:dyDescent="0.25">
      <c r="A31" s="56" cm="1">
        <f t="array" ref="A31">SUMPRODUCT(($AV$10:$AV$34&lt;&gt;"")*(ROW($AV$10:$AV$34)&lt;=ROW()))</f>
        <v>16</v>
      </c>
      <c r="B31" s="57" t="s">
        <v>215</v>
      </c>
      <c r="C31" s="58" t="s">
        <v>216</v>
      </c>
      <c r="D31" s="93" t="s">
        <v>13</v>
      </c>
      <c r="E31" s="16"/>
      <c r="F31" s="29">
        <f t="shared" si="46"/>
        <v>45887</v>
      </c>
      <c r="G31" s="42">
        <v>45971</v>
      </c>
      <c r="H31" s="29">
        <f t="shared" si="47"/>
        <v>45894</v>
      </c>
      <c r="I31" s="42">
        <v>45971</v>
      </c>
      <c r="J31" s="29">
        <f t="shared" si="48"/>
        <v>45900</v>
      </c>
      <c r="K31" s="42">
        <v>45971</v>
      </c>
      <c r="L31" s="29">
        <f t="shared" si="49"/>
        <v>45903</v>
      </c>
      <c r="M31" s="42"/>
      <c r="N31" s="29">
        <f t="shared" si="50"/>
        <v>45933</v>
      </c>
      <c r="O31" s="42"/>
      <c r="P31" s="29">
        <f t="shared" si="51"/>
        <v>45943</v>
      </c>
      <c r="Q31" s="42"/>
      <c r="R31" s="29">
        <f t="shared" si="52"/>
        <v>45963</v>
      </c>
      <c r="S31" s="42"/>
      <c r="T31" s="29">
        <f t="shared" si="53"/>
        <v>45970</v>
      </c>
      <c r="U31" s="42"/>
      <c r="V31" s="29">
        <f t="shared" si="54"/>
        <v>45977</v>
      </c>
      <c r="W31" s="42"/>
      <c r="X31" s="29">
        <f t="shared" si="55"/>
        <v>45982</v>
      </c>
      <c r="Y31" s="42"/>
      <c r="Z31" s="30">
        <f t="shared" si="56"/>
        <v>45992</v>
      </c>
      <c r="AA31" s="42"/>
      <c r="AB31" s="31">
        <f t="shared" si="57"/>
        <v>-12</v>
      </c>
      <c r="AC31" s="16"/>
      <c r="AD31" s="131">
        <f t="shared" si="58"/>
        <v>95</v>
      </c>
      <c r="AE31" s="16"/>
      <c r="AF31" s="95">
        <v>712276.4</v>
      </c>
      <c r="AG31" s="67"/>
      <c r="AH31" s="197">
        <v>477225.99800000002</v>
      </c>
      <c r="AI31" s="67"/>
      <c r="AJ31" s="68" t="str">
        <f t="shared" si="59"/>
        <v/>
      </c>
      <c r="AK31" s="102"/>
      <c r="AL31" s="48"/>
      <c r="AM31" s="105">
        <v>180</v>
      </c>
      <c r="AN31" s="69">
        <f t="shared" si="60"/>
        <v>45982</v>
      </c>
      <c r="AO31" s="107">
        <f>AN31-AU31</f>
        <v>-212</v>
      </c>
      <c r="AP31" s="48"/>
      <c r="AQ31" s="111">
        <v>101</v>
      </c>
      <c r="AR31" s="70">
        <f>IFERROR(WORKDAY.INTL(AN31,AQ31,11),"")</f>
        <v>46100</v>
      </c>
      <c r="AS31" s="107">
        <f>AR31-AU31</f>
        <v>-94</v>
      </c>
      <c r="AT31" s="48"/>
      <c r="AU31" s="113">
        <f t="shared" si="64"/>
        <v>46194</v>
      </c>
      <c r="AV31" s="119" t="str" cm="1">
        <f t="array" ref="AV31">IF(OR(G31&gt;$C$6,G31=""),$F$8,INDEX($E$8:$Z$8,MATCH(TRUE,(F31:AA31=""),0)))</f>
        <v>4. Tender Float</v>
      </c>
      <c r="AW31" s="116" t="b">
        <f t="shared" si="65"/>
        <v>1</v>
      </c>
      <c r="AX31" s="71" t="b">
        <f t="shared" si="66"/>
        <v>1</v>
      </c>
      <c r="AY31" s="71" t="b">
        <f t="shared" si="67"/>
        <v>1</v>
      </c>
      <c r="AZ31" s="71" t="b">
        <f t="shared" si="68"/>
        <v>0</v>
      </c>
      <c r="BA31" s="71" t="b">
        <f t="shared" si="69"/>
        <v>0</v>
      </c>
      <c r="BB31" s="71" t="b">
        <f t="shared" si="70"/>
        <v>0</v>
      </c>
      <c r="BC31" s="71" t="b">
        <f t="shared" si="71"/>
        <v>0</v>
      </c>
      <c r="BD31" s="71" t="b">
        <f t="shared" si="72"/>
        <v>0</v>
      </c>
      <c r="BE31" s="71" t="b">
        <f t="shared" si="73"/>
        <v>0</v>
      </c>
      <c r="BF31" s="71" t="b">
        <f t="shared" si="74"/>
        <v>0</v>
      </c>
      <c r="BG31" s="89" t="b">
        <f t="shared" si="75"/>
        <v>0</v>
      </c>
      <c r="BH31" s="146"/>
    </row>
    <row r="32" spans="1:60" ht="26.25" x14ac:dyDescent="0.25">
      <c r="A32" s="56" cm="1">
        <f t="array" ref="A32">SUMPRODUCT(($AV$10:$AV$34&lt;&gt;"")*(ROW($AV$10:$AV$34)&lt;=ROW()))</f>
        <v>17</v>
      </c>
      <c r="B32" s="59" t="s">
        <v>217</v>
      </c>
      <c r="C32" s="60" t="s">
        <v>218</v>
      </c>
      <c r="D32" s="59" t="s">
        <v>13</v>
      </c>
      <c r="E32" s="43"/>
      <c r="F32" s="44">
        <f t="shared" si="46"/>
        <v>45887</v>
      </c>
      <c r="G32" s="45">
        <v>45971</v>
      </c>
      <c r="H32" s="44">
        <f t="shared" si="47"/>
        <v>45894</v>
      </c>
      <c r="I32" s="45">
        <v>45971</v>
      </c>
      <c r="J32" s="44">
        <f t="shared" si="48"/>
        <v>45900</v>
      </c>
      <c r="K32" s="45">
        <v>45971</v>
      </c>
      <c r="L32" s="44">
        <f t="shared" si="49"/>
        <v>45903</v>
      </c>
      <c r="M32" s="45">
        <v>46055</v>
      </c>
      <c r="N32" s="44">
        <f t="shared" si="50"/>
        <v>45933</v>
      </c>
      <c r="O32" s="45"/>
      <c r="P32" s="44">
        <f t="shared" si="51"/>
        <v>45943</v>
      </c>
      <c r="Q32" s="45"/>
      <c r="R32" s="44">
        <f t="shared" si="52"/>
        <v>45963</v>
      </c>
      <c r="S32" s="45"/>
      <c r="T32" s="44">
        <f t="shared" si="53"/>
        <v>45970</v>
      </c>
      <c r="U32" s="45"/>
      <c r="V32" s="44">
        <f t="shared" si="54"/>
        <v>45977</v>
      </c>
      <c r="W32" s="45"/>
      <c r="X32" s="44">
        <f t="shared" si="55"/>
        <v>45982</v>
      </c>
      <c r="Y32" s="45"/>
      <c r="Z32" s="46">
        <f t="shared" si="56"/>
        <v>45992</v>
      </c>
      <c r="AA32" s="45"/>
      <c r="AB32" s="32">
        <f t="shared" si="57"/>
        <v>-77</v>
      </c>
      <c r="AC32" s="16"/>
      <c r="AD32" s="131">
        <f t="shared" si="58"/>
        <v>95</v>
      </c>
      <c r="AE32" s="16"/>
      <c r="AF32" s="96">
        <v>26380869.600000001</v>
      </c>
      <c r="AG32" s="72"/>
      <c r="AH32" s="198">
        <v>17522774.002</v>
      </c>
      <c r="AI32" s="72"/>
      <c r="AJ32" s="73" t="str">
        <f t="shared" si="59"/>
        <v/>
      </c>
      <c r="AK32" s="101"/>
      <c r="AL32" s="48"/>
      <c r="AM32" s="104">
        <v>180</v>
      </c>
      <c r="AN32" s="74">
        <f t="shared" si="60"/>
        <v>45982</v>
      </c>
      <c r="AO32" s="108">
        <f t="shared" ref="AO32:AO34" si="76">AN32-AU32</f>
        <v>-209</v>
      </c>
      <c r="AP32" s="48"/>
      <c r="AQ32" s="110">
        <v>45</v>
      </c>
      <c r="AR32" s="75">
        <f t="shared" ref="AR32:AR34" si="77">IFERROR(WORKDAY.INTL(AN32,AQ32,11),"")</f>
        <v>46035</v>
      </c>
      <c r="AS32" s="108">
        <f t="shared" ref="AS32:AS34" si="78">AR32-AU32</f>
        <v>-156</v>
      </c>
      <c r="AT32" s="48"/>
      <c r="AU32" s="114">
        <f t="shared" si="64"/>
        <v>46191</v>
      </c>
      <c r="AV32" s="120" t="str" cm="1">
        <f t="array" ref="AV32">IF(OR(G32&gt;$C$6,G32=""),$F$8,INDEX($E$8:$Z$8,MATCH(TRUE,(F32:AA32=""),0)))</f>
        <v>5. Initial submission</v>
      </c>
      <c r="AW32" s="117" t="b">
        <f t="shared" si="65"/>
        <v>1</v>
      </c>
      <c r="AX32" s="76" t="b">
        <f t="shared" si="66"/>
        <v>1</v>
      </c>
      <c r="AY32" s="76" t="b">
        <f t="shared" si="67"/>
        <v>1</v>
      </c>
      <c r="AZ32" s="76" t="b">
        <f t="shared" si="68"/>
        <v>1</v>
      </c>
      <c r="BA32" s="76" t="b">
        <f t="shared" si="69"/>
        <v>0</v>
      </c>
      <c r="BB32" s="76" t="b">
        <f t="shared" si="70"/>
        <v>0</v>
      </c>
      <c r="BC32" s="76" t="b">
        <f t="shared" si="71"/>
        <v>0</v>
      </c>
      <c r="BD32" s="76" t="b">
        <f t="shared" si="72"/>
        <v>0</v>
      </c>
      <c r="BE32" s="76" t="b">
        <f t="shared" si="73"/>
        <v>0</v>
      </c>
      <c r="BF32" s="76" t="b">
        <f t="shared" si="74"/>
        <v>0</v>
      </c>
      <c r="BG32" s="90" t="b">
        <f t="shared" si="75"/>
        <v>0</v>
      </c>
      <c r="BH32" s="146"/>
    </row>
    <row r="33" spans="1:60" ht="26.25" x14ac:dyDescent="0.25">
      <c r="A33" s="56" cm="1">
        <f t="array" ref="A33">SUMPRODUCT(($AV$10:$AV$34&lt;&gt;"")*(ROW($AV$10:$AV$34)&lt;=ROW()))</f>
        <v>18</v>
      </c>
      <c r="B33" s="57" t="s">
        <v>219</v>
      </c>
      <c r="C33" s="58" t="s">
        <v>220</v>
      </c>
      <c r="D33" s="93" t="s">
        <v>13</v>
      </c>
      <c r="E33" s="16"/>
      <c r="F33" s="29">
        <f t="shared" si="46"/>
        <v>45947</v>
      </c>
      <c r="G33" s="42">
        <v>45971</v>
      </c>
      <c r="H33" s="29">
        <f t="shared" si="47"/>
        <v>45954</v>
      </c>
      <c r="I33" s="42">
        <v>45971</v>
      </c>
      <c r="J33" s="29">
        <f t="shared" si="48"/>
        <v>45960</v>
      </c>
      <c r="K33" s="42">
        <v>45971</v>
      </c>
      <c r="L33" s="29">
        <f t="shared" si="49"/>
        <v>45963</v>
      </c>
      <c r="M33" s="42"/>
      <c r="N33" s="29">
        <f t="shared" si="50"/>
        <v>45993</v>
      </c>
      <c r="O33" s="42"/>
      <c r="P33" s="29">
        <f t="shared" si="51"/>
        <v>46003</v>
      </c>
      <c r="Q33" s="42"/>
      <c r="R33" s="29">
        <f t="shared" si="52"/>
        <v>46023</v>
      </c>
      <c r="S33" s="42"/>
      <c r="T33" s="29">
        <f t="shared" si="53"/>
        <v>46030</v>
      </c>
      <c r="U33" s="42"/>
      <c r="V33" s="29">
        <f t="shared" si="54"/>
        <v>46037</v>
      </c>
      <c r="W33" s="42"/>
      <c r="X33" s="29">
        <f t="shared" si="55"/>
        <v>46042</v>
      </c>
      <c r="Y33" s="42"/>
      <c r="Z33" s="30">
        <f t="shared" si="56"/>
        <v>46052</v>
      </c>
      <c r="AA33" s="42"/>
      <c r="AB33" s="31">
        <f t="shared" si="57"/>
        <v>163</v>
      </c>
      <c r="AC33" s="16"/>
      <c r="AD33" s="131">
        <f t="shared" si="58"/>
        <v>95</v>
      </c>
      <c r="AE33" s="16"/>
      <c r="AF33" s="95">
        <v>8322316</v>
      </c>
      <c r="AG33" s="67"/>
      <c r="AH33" s="197">
        <v>6500000</v>
      </c>
      <c r="AI33" s="67"/>
      <c r="AJ33" s="68" t="str">
        <f t="shared" si="59"/>
        <v/>
      </c>
      <c r="AK33" s="102"/>
      <c r="AL33" s="48"/>
      <c r="AM33" s="105">
        <v>240</v>
      </c>
      <c r="AN33" s="69">
        <f t="shared" si="60"/>
        <v>46042</v>
      </c>
      <c r="AO33" s="107">
        <f t="shared" si="76"/>
        <v>-152</v>
      </c>
      <c r="AP33" s="48"/>
      <c r="AQ33" s="111">
        <v>200</v>
      </c>
      <c r="AR33" s="70">
        <f t="shared" si="77"/>
        <v>46275</v>
      </c>
      <c r="AS33" s="107">
        <f t="shared" si="78"/>
        <v>81</v>
      </c>
      <c r="AT33" s="48"/>
      <c r="AU33" s="113">
        <f t="shared" si="64"/>
        <v>46194</v>
      </c>
      <c r="AV33" s="119" t="str" cm="1">
        <f t="array" ref="AV33">IF(OR(G33&gt;$C$6,G33=""),$F$8,INDEX($E$8:$Z$8,MATCH(TRUE,(F33:AA33=""),0)))</f>
        <v>4. Tender Float</v>
      </c>
      <c r="AW33" s="116" t="b">
        <f t="shared" si="65"/>
        <v>1</v>
      </c>
      <c r="AX33" s="71" t="b">
        <f t="shared" si="66"/>
        <v>1</v>
      </c>
      <c r="AY33" s="71" t="b">
        <f t="shared" si="67"/>
        <v>1</v>
      </c>
      <c r="AZ33" s="71" t="b">
        <f t="shared" si="68"/>
        <v>0</v>
      </c>
      <c r="BA33" s="71" t="b">
        <f t="shared" si="69"/>
        <v>0</v>
      </c>
      <c r="BB33" s="71" t="b">
        <f t="shared" si="70"/>
        <v>0</v>
      </c>
      <c r="BC33" s="71" t="b">
        <f t="shared" si="71"/>
        <v>0</v>
      </c>
      <c r="BD33" s="71" t="b">
        <f t="shared" si="72"/>
        <v>0</v>
      </c>
      <c r="BE33" s="71" t="b">
        <f t="shared" si="73"/>
        <v>0</v>
      </c>
      <c r="BF33" s="71" t="b">
        <f t="shared" si="74"/>
        <v>0</v>
      </c>
      <c r="BG33" s="89" t="b">
        <f t="shared" si="75"/>
        <v>0</v>
      </c>
      <c r="BH33" s="146"/>
    </row>
    <row r="34" spans="1:60" ht="59.1" customHeight="1" x14ac:dyDescent="0.25">
      <c r="A34" s="56" cm="1">
        <f t="array" ref="A34">SUMPRODUCT(($AV$10:$AV$34&lt;&gt;"")*(ROW($AV$10:$AV$34)&lt;=ROW()))</f>
        <v>19</v>
      </c>
      <c r="B34" s="59" t="s">
        <v>209</v>
      </c>
      <c r="C34" s="60" t="s">
        <v>221</v>
      </c>
      <c r="D34" s="59" t="s">
        <v>13</v>
      </c>
      <c r="E34" s="43"/>
      <c r="F34" s="44">
        <f t="shared" si="46"/>
        <v>45797</v>
      </c>
      <c r="G34" s="45">
        <v>46023</v>
      </c>
      <c r="H34" s="44">
        <f t="shared" si="47"/>
        <v>45804</v>
      </c>
      <c r="I34" s="45">
        <v>46027</v>
      </c>
      <c r="J34" s="44">
        <f t="shared" si="48"/>
        <v>45810</v>
      </c>
      <c r="K34" s="45">
        <v>46032</v>
      </c>
      <c r="L34" s="44">
        <f t="shared" si="49"/>
        <v>45813</v>
      </c>
      <c r="M34" s="45">
        <v>46055</v>
      </c>
      <c r="N34" s="44">
        <f t="shared" si="50"/>
        <v>45843</v>
      </c>
      <c r="O34" s="45"/>
      <c r="P34" s="44">
        <f t="shared" si="51"/>
        <v>45853</v>
      </c>
      <c r="Q34" s="45"/>
      <c r="R34" s="44">
        <f t="shared" si="52"/>
        <v>45873</v>
      </c>
      <c r="S34" s="45"/>
      <c r="T34" s="44">
        <f t="shared" si="53"/>
        <v>45880</v>
      </c>
      <c r="U34" s="45"/>
      <c r="V34" s="44">
        <f t="shared" si="54"/>
        <v>45887</v>
      </c>
      <c r="W34" s="45"/>
      <c r="X34" s="44">
        <f t="shared" si="55"/>
        <v>45892</v>
      </c>
      <c r="Y34" s="45"/>
      <c r="Z34" s="46">
        <f t="shared" si="56"/>
        <v>45902</v>
      </c>
      <c r="AA34" s="45"/>
      <c r="AB34" s="32">
        <f t="shared" si="57"/>
        <v>72</v>
      </c>
      <c r="AC34" s="16"/>
      <c r="AD34" s="131">
        <f t="shared" si="58"/>
        <v>95</v>
      </c>
      <c r="AE34" s="16"/>
      <c r="AF34" s="96">
        <v>15073381</v>
      </c>
      <c r="AG34" s="72"/>
      <c r="AH34" s="201">
        <v>4306971</v>
      </c>
      <c r="AI34" s="72"/>
      <c r="AJ34" s="73" t="str">
        <f t="shared" si="59"/>
        <v/>
      </c>
      <c r="AK34" s="101"/>
      <c r="AL34" s="48"/>
      <c r="AM34" s="104">
        <v>90</v>
      </c>
      <c r="AN34" s="74">
        <f t="shared" si="60"/>
        <v>45892</v>
      </c>
      <c r="AO34" s="108">
        <f t="shared" si="76"/>
        <v>-299</v>
      </c>
      <c r="AP34" s="48"/>
      <c r="AQ34" s="110">
        <v>250</v>
      </c>
      <c r="AR34" s="75">
        <f t="shared" si="77"/>
        <v>46184</v>
      </c>
      <c r="AS34" s="108">
        <f t="shared" si="78"/>
        <v>-7</v>
      </c>
      <c r="AT34" s="48"/>
      <c r="AU34" s="114">
        <f t="shared" si="64"/>
        <v>46191</v>
      </c>
      <c r="AV34" s="120" t="str" cm="1">
        <f t="array" ref="AV34">IF(OR(G34&gt;$C$6,G34=""),$F$8,INDEX($E$8:$Z$8,MATCH(TRUE,(F34:AA34=""),0)))</f>
        <v>5. Initial submission</v>
      </c>
      <c r="AW34" s="117" t="b">
        <f t="shared" si="65"/>
        <v>1</v>
      </c>
      <c r="AX34" s="76" t="b">
        <f t="shared" si="66"/>
        <v>1</v>
      </c>
      <c r="AY34" s="76" t="b">
        <f t="shared" si="67"/>
        <v>1</v>
      </c>
      <c r="AZ34" s="76" t="b">
        <f t="shared" si="68"/>
        <v>1</v>
      </c>
      <c r="BA34" s="76" t="b">
        <f t="shared" si="69"/>
        <v>0</v>
      </c>
      <c r="BB34" s="76" t="b">
        <f t="shared" si="70"/>
        <v>0</v>
      </c>
      <c r="BC34" s="76" t="b">
        <f t="shared" si="71"/>
        <v>0</v>
      </c>
      <c r="BD34" s="76" t="b">
        <f t="shared" si="72"/>
        <v>0</v>
      </c>
      <c r="BE34" s="76" t="b">
        <f t="shared" si="73"/>
        <v>0</v>
      </c>
      <c r="BF34" s="76" t="b">
        <f t="shared" si="74"/>
        <v>0</v>
      </c>
      <c r="BG34" s="90" t="b">
        <f t="shared" si="75"/>
        <v>0</v>
      </c>
      <c r="BH34" s="146"/>
    </row>
    <row r="35" spans="1:60" ht="23.25" x14ac:dyDescent="0.25">
      <c r="A35" s="8"/>
      <c r="B35" s="8"/>
      <c r="C35" s="34" t="s">
        <v>189</v>
      </c>
      <c r="D35" s="100"/>
      <c r="E35" s="16"/>
      <c r="F35" s="123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124"/>
      <c r="AC35" s="16"/>
      <c r="AD35" s="130"/>
      <c r="AE35" s="16"/>
      <c r="AF35" s="99">
        <f>SUM(AF10:AF34)</f>
        <v>638589585</v>
      </c>
      <c r="AG35" s="10">
        <f>SUM(AG10:AG34)</f>
        <v>0</v>
      </c>
      <c r="AH35" s="10">
        <f>SUM(AH10:AH34)</f>
        <v>474400000</v>
      </c>
      <c r="AI35" s="10">
        <f>SUM(AI10:AI34)</f>
        <v>453029998</v>
      </c>
      <c r="AJ35" s="10">
        <f>SUM(AJ10:AJ34)</f>
        <v>-18029813</v>
      </c>
      <c r="AK35" s="9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92"/>
      <c r="BH35" s="146"/>
    </row>
    <row r="36" spans="1:60" ht="23.25" x14ac:dyDescent="0.25">
      <c r="BH36" s="146"/>
    </row>
    <row r="37" spans="1:60" ht="23.25" x14ac:dyDescent="0.25">
      <c r="C37" s="174" t="s">
        <v>121</v>
      </c>
      <c r="BH37" s="146"/>
    </row>
    <row r="38" spans="1:60" ht="23.25" x14ac:dyDescent="0.25">
      <c r="B38" s="6">
        <v>1</v>
      </c>
      <c r="C38" s="174" t="s">
        <v>467</v>
      </c>
      <c r="AF38" s="3" t="s">
        <v>468</v>
      </c>
      <c r="AI38" s="3" t="s">
        <v>471</v>
      </c>
      <c r="BH38" s="146"/>
    </row>
    <row r="39" spans="1:60" ht="23.25" x14ac:dyDescent="0.25">
      <c r="B39" s="6">
        <v>2</v>
      </c>
      <c r="C39" s="174" t="s">
        <v>469</v>
      </c>
      <c r="AF39" s="3" t="s">
        <v>470</v>
      </c>
      <c r="BH39" s="146"/>
    </row>
    <row r="40" spans="1:60" ht="23.25" x14ac:dyDescent="0.25">
      <c r="B40" s="6">
        <v>3</v>
      </c>
      <c r="C40" s="7" t="s">
        <v>472</v>
      </c>
      <c r="BH40" s="146"/>
    </row>
    <row r="41" spans="1:60" x14ac:dyDescent="0.25">
      <c r="B41" s="6">
        <v>4</v>
      </c>
    </row>
    <row r="42" spans="1:60" x14ac:dyDescent="0.25">
      <c r="B42" s="6">
        <v>5</v>
      </c>
    </row>
    <row r="43" spans="1:60" x14ac:dyDescent="0.25">
      <c r="B43" s="6">
        <v>6</v>
      </c>
    </row>
    <row r="44" spans="1:60" x14ac:dyDescent="0.25">
      <c r="B44" s="6">
        <v>7</v>
      </c>
    </row>
    <row r="45" spans="1:60" x14ac:dyDescent="0.25">
      <c r="B45" s="6">
        <v>8</v>
      </c>
    </row>
    <row r="46" spans="1:60" x14ac:dyDescent="0.25">
      <c r="B46" s="6">
        <v>9</v>
      </c>
    </row>
    <row r="47" spans="1:60" x14ac:dyDescent="0.25">
      <c r="B47" s="6">
        <v>10</v>
      </c>
    </row>
  </sheetData>
  <sheetProtection formatColumns="0" formatRows="0" autoFilter="0"/>
  <mergeCells count="75">
    <mergeCell ref="AU7:AU9"/>
    <mergeCell ref="AG7:AG9"/>
    <mergeCell ref="AH7:AH9"/>
    <mergeCell ref="AI7:AI9"/>
    <mergeCell ref="AJ7:AJ9"/>
    <mergeCell ref="AK7:AK9"/>
    <mergeCell ref="AN7:AN9"/>
    <mergeCell ref="AO7:AO9"/>
    <mergeCell ref="AQ7:AQ9"/>
    <mergeCell ref="AR7:AR9"/>
    <mergeCell ref="AS7:AS9"/>
    <mergeCell ref="AM7:AM9"/>
    <mergeCell ref="BF7:BF9"/>
    <mergeCell ref="BG7:BG9"/>
    <mergeCell ref="AV7:AV9"/>
    <mergeCell ref="AW7:AW9"/>
    <mergeCell ref="AX7:AX9"/>
    <mergeCell ref="AY7:AY9"/>
    <mergeCell ref="AZ7:AZ9"/>
    <mergeCell ref="BA7:BA9"/>
    <mergeCell ref="BB7:BB9"/>
    <mergeCell ref="BC7:BC9"/>
    <mergeCell ref="BD7:BD9"/>
    <mergeCell ref="BE7:BE9"/>
    <mergeCell ref="AF7:AF9"/>
    <mergeCell ref="V8:W8"/>
    <mergeCell ref="X8:Y8"/>
    <mergeCell ref="Z8:AA8"/>
    <mergeCell ref="T7:U7"/>
    <mergeCell ref="V7:W7"/>
    <mergeCell ref="X7:Y7"/>
    <mergeCell ref="Z7:AA7"/>
    <mergeCell ref="AB7:AB9"/>
    <mergeCell ref="AD7:AD9"/>
    <mergeCell ref="A7:A9"/>
    <mergeCell ref="B7:B9"/>
    <mergeCell ref="C7:C9"/>
    <mergeCell ref="D7:D9"/>
    <mergeCell ref="F7:G7"/>
    <mergeCell ref="H7:I7"/>
    <mergeCell ref="F8:G8"/>
    <mergeCell ref="H8:I8"/>
    <mergeCell ref="J7:K7"/>
    <mergeCell ref="L7:M7"/>
    <mergeCell ref="L8:M8"/>
    <mergeCell ref="N7:O7"/>
    <mergeCell ref="P7:Q7"/>
    <mergeCell ref="R7:S7"/>
    <mergeCell ref="T8:U8"/>
    <mergeCell ref="J8:K8"/>
    <mergeCell ref="N8:O8"/>
    <mergeCell ref="P8:Q8"/>
    <mergeCell ref="R8:S8"/>
    <mergeCell ref="H3:H4"/>
    <mergeCell ref="I3:I4"/>
    <mergeCell ref="J3:J4"/>
    <mergeCell ref="K3:K4"/>
    <mergeCell ref="L3:L4"/>
    <mergeCell ref="M3:N4"/>
    <mergeCell ref="I1:I2"/>
    <mergeCell ref="J1:J2"/>
    <mergeCell ref="K1:K2"/>
    <mergeCell ref="L1:L2"/>
    <mergeCell ref="M1:N2"/>
    <mergeCell ref="A3:B4"/>
    <mergeCell ref="C3:C4"/>
    <mergeCell ref="D3:D4"/>
    <mergeCell ref="F3:F4"/>
    <mergeCell ref="G3:G4"/>
    <mergeCell ref="H1:H2"/>
    <mergeCell ref="A1:B2"/>
    <mergeCell ref="C1:C2"/>
    <mergeCell ref="D1:D2"/>
    <mergeCell ref="F1:F2"/>
    <mergeCell ref="G1:G2"/>
  </mergeCells>
  <conditionalFormatting sqref="G11:G13 I11:I13 K11:K13 M11:M13 O11:O13 Q11:Q13 S11:S13 U11:U13 W11:W13 Y11:Y13 AA11:AA13 G15:G16 I15:I16 K15:K16 M15:M16 O15:O16 Q15:Q16 S15:S16 U15:U16 W15:W16 Y15:Y16 AA15:AA16 G18:G20 I18:I20 K18:K20 M18:M20 O18:O20 Q18:Q20 S18:S20 U18:U20 W18:W20 Y18:Y20 AA18:AA20 G22:G24 I22:I24 K22:K24 M22:M24 O22:O24 Q22:Q24 S22:S24 U22:U24 W22:W24 Y22:Y24 AA22:AA24 G26 I26 K26 M26 O26 Q26 S26 U26 W26 Y26 AA26 G28:G34 I28:I34 K28:K34 M28:M34 O28:O34 Q28:Q34 S28:S34 U28:U34 W28:W34 Y28:Y34 AA28:AA34">
    <cfRule type="cellIs" dxfId="152" priority="12" operator="between">
      <formula>1</formula>
      <formula>$C$6</formula>
    </cfRule>
  </conditionalFormatting>
  <conditionalFormatting sqref="AB10:AB35 AO15:AO16 AS15:AS16">
    <cfRule type="cellIs" dxfId="151" priority="16" operator="lessThan">
      <formula>0</formula>
    </cfRule>
  </conditionalFormatting>
  <conditionalFormatting sqref="AO11:AO13 AS11:AS13 AO18:AO20 AS18:AS20 AO26 AS26 AO28:AO34 AS28:AS34">
    <cfRule type="cellIs" dxfId="150" priority="17" operator="lessThan">
      <formula>0</formula>
    </cfRule>
  </conditionalFormatting>
  <conditionalFormatting sqref="AO22:AO24 AS22:AS24">
    <cfRule type="cellIs" dxfId="149" priority="1" operator="lessThan">
      <formula>0</formula>
    </cfRule>
  </conditionalFormatting>
  <conditionalFormatting sqref="AW11:BG13 BB14:BG14 AW15:BG16 BB17:BG17 AW18:BG20 BB21:BG21 AW22:BG24 BB25:BG25 AW26:BG26 BB27:BG27 AW28:BG34 AL35:BG35">
    <cfRule type="cellIs" dxfId="142" priority="13" operator="equal">
      <formula>TRUE</formula>
    </cfRule>
  </conditionalFormatting>
  <conditionalFormatting sqref="BB10:BG10">
    <cfRule type="cellIs" dxfId="141" priority="11" operator="equal">
      <formula>TRUE</formula>
    </cfRule>
  </conditionalFormatting>
  <pageMargins left="3.937007874015748E-2" right="3.937007874015748E-2" top="0.74803149606299213" bottom="0.74803149606299213" header="0.31496062992125984" footer="0.31496062992125984"/>
  <pageSetup paperSize="8" scale="71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0" id="{50752F27-1CEF-42C4-BFDE-AD8F59DD67BA}">
            <xm:f>AV11=Data!$B$12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4" stopIfTrue="1" id="{59FD195D-BE1F-4A66-BCE5-752537D2531B}">
            <xm:f>AV11=Data!$B$11</xm:f>
            <x14:dxf>
              <fill>
                <patternFill>
                  <bgColor theme="9" tint="0.79998168889431442"/>
                </patternFill>
              </fill>
            </x14:dxf>
          </x14:cfRule>
          <x14:cfRule type="expression" priority="15" id="{10A2C3AF-7484-4496-A5B2-05ED745C0562}">
            <xm:f>AV11=Data!$B$2</xm:f>
            <x14:dxf>
              <fill>
                <patternFill>
                  <bgColor rgb="FFFFE5E5"/>
                </patternFill>
              </fill>
            </x14:dxf>
          </x14:cfRule>
          <xm:sqref>AU11:AU36</xm:sqref>
        </x14:conditionalFormatting>
        <x14:conditionalFormatting xmlns:xm="http://schemas.microsoft.com/office/excel/2006/main">
          <x14:cfRule type="cellIs" priority="7" operator="equal" id="{B4BBCC81-0758-4203-9F5C-8D0FD5CE23E7}">
            <xm:f>Data!$B$12</xm:f>
            <x14:dxf>
              <fill>
                <patternFill>
                  <bgColor theme="9" tint="0.59996337778862885"/>
                </patternFill>
              </fill>
            </x14:dxf>
          </x14:cfRule>
          <x14:cfRule type="cellIs" priority="8" stopIfTrue="1" operator="equal" id="{5D224B81-7C64-46F9-9E72-C3AF801153EC}">
            <xm:f>Data!$B$11</xm:f>
            <x14:dxf>
              <fill>
                <patternFill>
                  <bgColor theme="9" tint="0.79998168889431442"/>
                </patternFill>
              </fill>
            </x14:dxf>
          </x14:cfRule>
          <x14:cfRule type="cellIs" priority="9" operator="equal" id="{4FC40E67-01F2-47D9-A581-DC9D204857DD}">
            <xm:f>Data!$B$2</xm:f>
            <x14:dxf>
              <fill>
                <patternFill>
                  <bgColor rgb="FFFFE5E5"/>
                </patternFill>
              </fill>
            </x14:dxf>
          </x14:cfRule>
          <xm:sqref>AV11:AV13 AV15:AV16 AV18:AV20 AV22:AV24 AV26 AV28:AV34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8D9DAE7-A8CF-4DCA-969B-F03EA7C80055}">
          <x14:formula1>
            <xm:f>Data!$B$2:$B$13</xm:f>
          </x14:formula1>
          <xm:sqref>AV26 AV11:AV13 AV28:AV34 AV18:AV20 AV22:AV24 AV15:AV16</xm:sqref>
        </x14:dataValidation>
        <x14:dataValidation type="list" allowBlank="1" showInputMessage="1" showErrorMessage="1" xr:uid="{7F4BA2B7-DD4F-4F4E-AECF-50517C8266C6}">
          <x14:formula1>
            <xm:f>Data!$C$2:$C$12</xm:f>
          </x14:formula1>
          <xm:sqref>D11:D13 D26 D28:D34 D18:D20 D22:D24 D15:D16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5F05F-7D3B-4D79-865D-C151F6F9A711}">
  <sheetPr codeName="Sheet5">
    <tabColor theme="9" tint="0.59999389629810485"/>
    <pageSetUpPr fitToPage="1"/>
  </sheetPr>
  <dimension ref="A1:CC79"/>
  <sheetViews>
    <sheetView showGridLines="0" zoomScale="70" zoomScaleNormal="70" zoomScalePageLayoutView="55" workbookViewId="0">
      <pane xSplit="3" ySplit="9" topLeftCell="T10" activePane="bottomRight" state="frozen"/>
      <selection pane="topRight" activeCell="AI6" sqref="AI6:AI8"/>
      <selection pane="bottomLeft" activeCell="AI6" sqref="AI6:AI8"/>
      <selection pane="bottomRight" activeCell="AW1" sqref="AW1:BE1048576"/>
    </sheetView>
  </sheetViews>
  <sheetFormatPr defaultColWidth="9.140625" defaultRowHeight="12.75" outlineLevelRow="1" outlineLevelCol="1" x14ac:dyDescent="0.25"/>
  <cols>
    <col min="1" max="2" width="7.42578125" style="3" customWidth="1"/>
    <col min="3" max="3" width="39.140625" style="7" customWidth="1"/>
    <col min="4" max="4" width="14.5703125" style="5" customWidth="1" outlineLevel="1"/>
    <col min="5" max="5" width="1.42578125" style="3" customWidth="1" outlineLevel="1"/>
    <col min="6" max="27" width="11.5703125" style="4" customWidth="1" outlineLevel="1"/>
    <col min="28" max="28" width="11.5703125" style="5" customWidth="1" outlineLevel="1"/>
    <col min="29" max="29" width="1" style="3" customWidth="1" outlineLevel="1"/>
    <col min="30" max="30" width="14.42578125" style="5" customWidth="1" outlineLevel="1"/>
    <col min="31" max="31" width="1.42578125" style="3" customWidth="1" outlineLevel="1"/>
    <col min="32" max="35" width="14.85546875" style="3" customWidth="1"/>
    <col min="36" max="36" width="15.5703125" style="3" customWidth="1" outlineLevel="1"/>
    <col min="37" max="37" width="23.5703125" style="3" customWidth="1"/>
    <col min="38" max="38" width="0.85546875" style="3" customWidth="1"/>
    <col min="39" max="39" width="7.42578125" style="3" customWidth="1"/>
    <col min="40" max="40" width="13.5703125" style="3" customWidth="1"/>
    <col min="41" max="41" width="7.140625" style="5" customWidth="1"/>
    <col min="42" max="42" width="0.85546875" style="3" customWidth="1"/>
    <col min="43" max="43" width="10.5703125" style="5" customWidth="1"/>
    <col min="44" max="44" width="16.85546875" style="3" customWidth="1"/>
    <col min="45" max="45" width="7.140625" style="5" customWidth="1"/>
    <col min="46" max="46" width="0.85546875" style="3" customWidth="1"/>
    <col min="47" max="47" width="12" style="3" customWidth="1"/>
    <col min="48" max="48" width="35" style="3" bestFit="1" customWidth="1"/>
    <col min="49" max="59" width="4.140625" style="6" customWidth="1"/>
    <col min="60" max="60" width="10.140625" style="3" customWidth="1"/>
    <col min="61" max="16383" width="9.140625" style="3"/>
    <col min="16384" max="16384" width="9.140625" style="3" bestFit="1"/>
  </cols>
  <sheetData>
    <row r="1" spans="1:81" s="11" customFormat="1" ht="15" customHeight="1" outlineLevel="1" x14ac:dyDescent="0.25">
      <c r="A1" s="208" t="s">
        <v>57</v>
      </c>
      <c r="B1" s="208"/>
      <c r="C1" s="206" t="s">
        <v>58</v>
      </c>
      <c r="D1" s="211" t="s">
        <v>59</v>
      </c>
      <c r="F1" s="206" t="s">
        <v>60</v>
      </c>
      <c r="G1" s="206" t="s">
        <v>61</v>
      </c>
      <c r="H1" s="206" t="s">
        <v>62</v>
      </c>
      <c r="I1" s="206" t="s">
        <v>63</v>
      </c>
      <c r="J1" s="206" t="s">
        <v>64</v>
      </c>
      <c r="K1" s="206" t="s">
        <v>19</v>
      </c>
      <c r="L1" s="206" t="s">
        <v>65</v>
      </c>
      <c r="M1" s="211" t="s">
        <v>66</v>
      </c>
      <c r="N1" s="211"/>
      <c r="P1" s="27" t="s">
        <v>67</v>
      </c>
      <c r="Q1" s="26"/>
      <c r="R1" s="26"/>
      <c r="S1" s="26"/>
      <c r="U1" s="26" t="s">
        <v>20</v>
      </c>
      <c r="V1" s="26"/>
      <c r="W1" s="26"/>
      <c r="X1" s="26"/>
      <c r="Y1" s="26"/>
      <c r="AA1" s="27" t="s">
        <v>68</v>
      </c>
      <c r="AB1" s="26"/>
      <c r="AC1" s="26"/>
      <c r="AD1" s="28"/>
      <c r="AF1" s="27" t="s">
        <v>33</v>
      </c>
      <c r="AG1" s="26"/>
      <c r="AH1" s="39" t="s">
        <v>34</v>
      </c>
      <c r="AI1" s="40" t="s">
        <v>35</v>
      </c>
      <c r="AY1" s="33"/>
      <c r="AZ1" s="33"/>
      <c r="BA1" s="33"/>
      <c r="BB1" s="33"/>
      <c r="BC1" s="33"/>
      <c r="BD1" s="33"/>
      <c r="BE1" s="33"/>
      <c r="BF1" s="33"/>
      <c r="BG1" s="33"/>
      <c r="BH1" s="145" t="b" cm="1">
        <f t="array" ref="BH1:CC1">(F11:AA11&gt;=$C$6)&gt;0</f>
        <v>1</v>
      </c>
      <c r="BI1" s="11" t="b">
        <v>1</v>
      </c>
      <c r="BJ1" s="11" t="b">
        <v>1</v>
      </c>
      <c r="BK1" s="11" t="b">
        <v>1</v>
      </c>
      <c r="BL1" s="11" t="b">
        <v>1</v>
      </c>
      <c r="BM1" s="11" t="b">
        <v>1</v>
      </c>
      <c r="BN1" s="11" t="b">
        <v>1</v>
      </c>
      <c r="BO1" s="11" t="b">
        <v>1</v>
      </c>
      <c r="BP1" s="11" t="b">
        <v>1</v>
      </c>
      <c r="BQ1" s="11" t="b">
        <v>1</v>
      </c>
      <c r="BR1" s="11" t="b">
        <v>1</v>
      </c>
      <c r="BS1" s="11" t="b">
        <v>1</v>
      </c>
      <c r="BT1" s="11" t="b">
        <v>1</v>
      </c>
      <c r="BU1" s="11" t="b">
        <v>1</v>
      </c>
      <c r="BV1" s="11" t="b">
        <v>1</v>
      </c>
      <c r="BW1" s="11" t="b">
        <v>1</v>
      </c>
      <c r="BX1" s="11" t="b">
        <v>1</v>
      </c>
      <c r="BY1" s="11" t="b">
        <v>1</v>
      </c>
      <c r="BZ1" s="11" t="b">
        <v>1</v>
      </c>
      <c r="CA1" s="11" t="b">
        <v>1</v>
      </c>
      <c r="CB1" s="11" t="b">
        <v>1</v>
      </c>
      <c r="CC1" s="11" t="b">
        <v>1</v>
      </c>
    </row>
    <row r="2" spans="1:81" s="11" customFormat="1" ht="15" outlineLevel="1" x14ac:dyDescent="0.25">
      <c r="A2" s="208"/>
      <c r="B2" s="208"/>
      <c r="C2" s="206"/>
      <c r="D2" s="211"/>
      <c r="E2" s="15"/>
      <c r="F2" s="206"/>
      <c r="G2" s="206"/>
      <c r="H2" s="206"/>
      <c r="I2" s="206"/>
      <c r="J2" s="206"/>
      <c r="K2" s="206"/>
      <c r="L2" s="206"/>
      <c r="M2" s="211"/>
      <c r="N2" s="211"/>
      <c r="P2" s="22" t="s">
        <v>69</v>
      </c>
      <c r="Q2" s="23"/>
      <c r="R2" s="23"/>
      <c r="S2" s="147"/>
      <c r="U2" s="22" t="s">
        <v>25</v>
      </c>
      <c r="V2" s="23"/>
      <c r="W2" s="23"/>
      <c r="X2" s="35">
        <f>AI69</f>
        <v>200928000</v>
      </c>
      <c r="Y2" s="37">
        <f>X2/(SUM(AH10:$AH$68)+SUM(AI10:$AI$68)-SUMIFS(AH10:$AH$68,$AI$10:$AI$68,"&lt;&gt;"))</f>
        <v>0.33222744293918272</v>
      </c>
      <c r="AA2" s="24" t="s">
        <v>70</v>
      </c>
      <c r="AB2" s="25"/>
      <c r="AC2" s="25"/>
      <c r="AD2" s="12" cm="1">
        <f t="array" ref="AD2">SUM(ISNUMBER($AO$10:AO68)*1)</f>
        <v>52</v>
      </c>
      <c r="AF2" s="22" t="s">
        <v>444</v>
      </c>
      <c r="AG2" s="23"/>
      <c r="AH2" s="13">
        <f>COUNTIFS($AB$10:AB68,"&lt;0")</f>
        <v>3</v>
      </c>
      <c r="AI2" s="13">
        <f>MIN(AB10:AB68)</f>
        <v>-1</v>
      </c>
      <c r="BH2" s="145" t="b" cm="1">
        <f t="array" ref="BH2:CC2">(F11:AA11="")</f>
        <v>0</v>
      </c>
      <c r="BI2" s="145" t="b">
        <v>0</v>
      </c>
      <c r="BJ2" s="145" t="b">
        <v>0</v>
      </c>
      <c r="BK2" s="145" t="b">
        <v>0</v>
      </c>
      <c r="BL2" s="145" t="b">
        <v>0</v>
      </c>
      <c r="BM2" s="145" t="b">
        <v>0</v>
      </c>
      <c r="BN2" s="145" t="b">
        <v>0</v>
      </c>
      <c r="BO2" s="145" t="b">
        <v>0</v>
      </c>
      <c r="BP2" s="145" t="b">
        <v>0</v>
      </c>
      <c r="BQ2" s="145" t="b">
        <v>0</v>
      </c>
      <c r="BR2" s="145" t="b">
        <v>0</v>
      </c>
      <c r="BS2" s="145" t="b">
        <v>0</v>
      </c>
      <c r="BT2" s="145" t="b">
        <v>0</v>
      </c>
      <c r="BU2" s="145" t="b">
        <v>0</v>
      </c>
      <c r="BV2" s="145" t="b">
        <v>0</v>
      </c>
      <c r="BW2" s="145" t="b">
        <v>0</v>
      </c>
      <c r="BX2" s="145" t="b">
        <v>0</v>
      </c>
      <c r="BY2" s="145" t="b">
        <v>0</v>
      </c>
      <c r="BZ2" s="145" t="b">
        <v>0</v>
      </c>
      <c r="CA2" s="145" t="b">
        <v>0</v>
      </c>
      <c r="CB2" s="145" t="b">
        <v>0</v>
      </c>
      <c r="CC2" s="145" t="b">
        <v>1</v>
      </c>
    </row>
    <row r="3" spans="1:81" s="11" customFormat="1" ht="15" customHeight="1" outlineLevel="1" x14ac:dyDescent="0.25">
      <c r="A3" s="212" t="s">
        <v>222</v>
      </c>
      <c r="B3" s="212"/>
      <c r="C3" s="216" t="s">
        <v>223</v>
      </c>
      <c r="D3" s="218" t="s">
        <v>73</v>
      </c>
      <c r="E3" s="122"/>
      <c r="F3" s="218" t="s">
        <v>74</v>
      </c>
      <c r="G3" s="218" t="s">
        <v>75</v>
      </c>
      <c r="H3" s="218" t="s">
        <v>74</v>
      </c>
      <c r="I3" s="218" t="s">
        <v>224</v>
      </c>
      <c r="J3" s="227">
        <v>146848</v>
      </c>
      <c r="K3" s="227">
        <v>71043</v>
      </c>
      <c r="L3" s="218">
        <v>46022</v>
      </c>
      <c r="M3" s="220">
        <v>46112</v>
      </c>
      <c r="N3" s="220"/>
      <c r="P3" s="22" t="s">
        <v>77</v>
      </c>
      <c r="Q3" s="23"/>
      <c r="R3" s="23"/>
      <c r="S3" s="148">
        <f>AF69</f>
        <v>0</v>
      </c>
      <c r="U3" s="22" t="s">
        <v>78</v>
      </c>
      <c r="V3" s="23"/>
      <c r="W3" s="23"/>
      <c r="X3" s="36">
        <f>S4-SUMIFS(AH10:$AH$68,$AI$10:$AI$68,"&lt;&gt;")</f>
        <v>403862496</v>
      </c>
      <c r="Y3" s="153">
        <f>X3/(X2+X3)</f>
        <v>0.66777255706081728</v>
      </c>
      <c r="AA3" s="22" t="s">
        <v>79</v>
      </c>
      <c r="AB3" s="23"/>
      <c r="AC3" s="23"/>
      <c r="AD3" s="13">
        <f>COUNTIFS($AV$10:AV68,Z8)</f>
        <v>1</v>
      </c>
      <c r="AF3" s="22" t="s">
        <v>447</v>
      </c>
      <c r="AG3" s="23"/>
      <c r="AH3" s="13">
        <f>COUNTIFS($AO$10:AO68,"&lt;0")</f>
        <v>32</v>
      </c>
      <c r="AI3" s="14">
        <f>MIN(AO10:AO68)</f>
        <v>-96</v>
      </c>
      <c r="BH3" s="11" t="b" cm="1">
        <f t="array" ref="BH3:CC3">(F11:AA11="")+(F11:AA11&gt;=$C$6)&gt;0</f>
        <v>0</v>
      </c>
      <c r="BI3" s="145" t="b">
        <v>0</v>
      </c>
      <c r="BJ3" s="145" t="b">
        <v>0</v>
      </c>
      <c r="BK3" s="145" t="b">
        <v>0</v>
      </c>
      <c r="BL3" s="145" t="b">
        <v>0</v>
      </c>
      <c r="BM3" s="145" t="b">
        <v>0</v>
      </c>
      <c r="BN3" s="145" t="b">
        <v>0</v>
      </c>
      <c r="BO3" s="145" t="b">
        <v>0</v>
      </c>
      <c r="BP3" s="145" t="b">
        <v>0</v>
      </c>
      <c r="BQ3" s="145" t="b">
        <v>0</v>
      </c>
      <c r="BR3" s="145" t="b">
        <v>0</v>
      </c>
      <c r="BS3" s="145" t="b">
        <v>0</v>
      </c>
      <c r="BT3" s="145" t="b">
        <v>0</v>
      </c>
      <c r="BU3" s="145" t="b">
        <v>0</v>
      </c>
      <c r="BV3" s="145" t="b">
        <v>0</v>
      </c>
      <c r="BW3" s="145" t="b">
        <v>0</v>
      </c>
      <c r="BX3" s="145" t="b">
        <v>0</v>
      </c>
      <c r="BY3" s="145" t="b">
        <v>0</v>
      </c>
      <c r="BZ3" s="145" t="b">
        <v>0</v>
      </c>
      <c r="CA3" s="145" t="b">
        <v>0</v>
      </c>
      <c r="CB3" s="145" t="b">
        <v>1</v>
      </c>
      <c r="CC3" s="145" t="b">
        <v>1</v>
      </c>
    </row>
    <row r="4" spans="1:81" s="11" customFormat="1" ht="15" outlineLevel="1" x14ac:dyDescent="0.25">
      <c r="A4" s="212"/>
      <c r="B4" s="212"/>
      <c r="C4" s="216"/>
      <c r="D4" s="218"/>
      <c r="E4" s="122"/>
      <c r="F4" s="218"/>
      <c r="G4" s="218"/>
      <c r="H4" s="218"/>
      <c r="I4" s="218"/>
      <c r="J4" s="227"/>
      <c r="K4" s="227"/>
      <c r="L4" s="218"/>
      <c r="M4" s="220"/>
      <c r="N4" s="220"/>
      <c r="P4" s="22" t="s">
        <v>23</v>
      </c>
      <c r="Q4" s="23"/>
      <c r="R4" s="23"/>
      <c r="S4" s="148">
        <f>AH69</f>
        <v>630893318</v>
      </c>
      <c r="U4" s="22" t="s">
        <v>80</v>
      </c>
      <c r="V4" s="23"/>
      <c r="W4" s="23"/>
      <c r="X4" s="36">
        <f>SUMIFS(AF10:$AF$68,$AI$10:$AI$68,"&lt;&gt;")-X2</f>
        <v>-200928000</v>
      </c>
      <c r="Y4" s="38" t="e">
        <f>X4/$S$2</f>
        <v>#DIV/0!</v>
      </c>
      <c r="AA4" s="22" t="s">
        <v>81</v>
      </c>
      <c r="AB4" s="23"/>
      <c r="AC4" s="23"/>
      <c r="AD4" s="13">
        <f>C6-L3</f>
        <v>90</v>
      </c>
      <c r="AF4" s="22" t="s">
        <v>448</v>
      </c>
      <c r="AG4" s="23"/>
      <c r="AH4" s="13">
        <f>COUNTIFS($AS$10:AS68,"&lt;0")</f>
        <v>32</v>
      </c>
      <c r="AI4" s="14">
        <f>MIN(AS10:AS68)</f>
        <v>-96</v>
      </c>
      <c r="BH4" s="11" t="b" cm="1">
        <f t="array" ref="BH4:CC4">(F11:AA11&gt;=$C$6)&gt;0+(F11:AA11="")</f>
        <v>1</v>
      </c>
      <c r="BI4" s="11" t="b">
        <v>1</v>
      </c>
      <c r="BJ4" s="11" t="b">
        <v>1</v>
      </c>
      <c r="BK4" s="11" t="b">
        <v>1</v>
      </c>
      <c r="BL4" s="11" t="b">
        <v>1</v>
      </c>
      <c r="BM4" s="11" t="b">
        <v>1</v>
      </c>
      <c r="BN4" s="11" t="b">
        <v>1</v>
      </c>
      <c r="BO4" s="11" t="b">
        <v>1</v>
      </c>
      <c r="BP4" s="11" t="b">
        <v>1</v>
      </c>
      <c r="BQ4" s="11" t="b">
        <v>1</v>
      </c>
      <c r="BR4" s="11" t="b">
        <v>1</v>
      </c>
      <c r="BS4" s="11" t="b">
        <v>1</v>
      </c>
      <c r="BT4" s="11" t="b">
        <v>1</v>
      </c>
      <c r="BU4" s="11" t="b">
        <v>1</v>
      </c>
      <c r="BV4" s="11" t="b">
        <v>1</v>
      </c>
      <c r="BW4" s="11" t="b">
        <v>1</v>
      </c>
      <c r="BX4" s="11" t="b">
        <v>1</v>
      </c>
      <c r="BY4" s="11" t="b">
        <v>1</v>
      </c>
      <c r="BZ4" s="11" t="b">
        <v>1</v>
      </c>
      <c r="CA4" s="11" t="b">
        <v>1</v>
      </c>
      <c r="CB4" s="11" t="b">
        <v>1</v>
      </c>
      <c r="CC4" s="11" t="b">
        <v>1</v>
      </c>
    </row>
    <row r="5" spans="1:81" s="11" customFormat="1" ht="15" outlineLevel="1" x14ac:dyDescent="0.25">
      <c r="U5" s="22" t="s">
        <v>82</v>
      </c>
      <c r="V5" s="23"/>
      <c r="W5" s="23"/>
      <c r="X5" s="36">
        <f>SUMIFS(AH10:$AH$68,$AI$10:$AI$68,"&lt;&gt;")-X2</f>
        <v>26102822</v>
      </c>
      <c r="Y5" s="38" t="e">
        <f>X5/$S$2</f>
        <v>#DIV/0!</v>
      </c>
      <c r="Z5" s="160"/>
      <c r="AA5" s="160"/>
      <c r="AB5" s="160"/>
      <c r="AC5" s="160"/>
      <c r="AD5" s="160"/>
      <c r="AE5" s="160"/>
      <c r="AF5" s="160"/>
      <c r="AG5" s="160"/>
      <c r="AH5" s="160"/>
      <c r="AI5" s="160"/>
    </row>
    <row r="6" spans="1:81" ht="23.25" outlineLevel="1" x14ac:dyDescent="0.25">
      <c r="A6" s="127" t="s">
        <v>83</v>
      </c>
      <c r="B6" s="128"/>
      <c r="C6" s="129">
        <v>46112</v>
      </c>
      <c r="D6" s="19"/>
      <c r="E6" s="16"/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5"/>
      <c r="AB6" s="126"/>
      <c r="AC6" s="19"/>
      <c r="AD6" s="19"/>
      <c r="AE6" s="19"/>
      <c r="AF6" s="19"/>
      <c r="AG6" s="19"/>
      <c r="AH6" s="19"/>
      <c r="AI6" s="19"/>
      <c r="AJ6" s="19"/>
      <c r="AK6" s="19"/>
      <c r="AL6" s="16"/>
      <c r="AM6" s="168" t="s">
        <v>446</v>
      </c>
      <c r="AN6" s="16"/>
      <c r="AO6" s="16"/>
      <c r="AP6" s="16"/>
      <c r="AQ6" s="16"/>
      <c r="AR6" s="16"/>
      <c r="AS6" s="16"/>
      <c r="AT6" s="16"/>
      <c r="AU6" s="16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45" cm="1">
        <f t="array" ref="BH6">MATCH(TRUE,(F11:AA11="")+(F11:AA11&gt;=$C$6)&gt;0,0)</f>
        <v>21</v>
      </c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</row>
    <row r="7" spans="1:81" ht="18.75" customHeight="1" x14ac:dyDescent="0.25">
      <c r="A7" s="233" t="s">
        <v>84</v>
      </c>
      <c r="B7" s="236" t="s">
        <v>85</v>
      </c>
      <c r="C7" s="236" t="s">
        <v>86</v>
      </c>
      <c r="D7" s="238" t="s">
        <v>1</v>
      </c>
      <c r="F7" s="229">
        <v>15</v>
      </c>
      <c r="G7" s="229"/>
      <c r="H7" s="229">
        <v>7</v>
      </c>
      <c r="I7" s="229"/>
      <c r="J7" s="229">
        <v>6</v>
      </c>
      <c r="K7" s="229"/>
      <c r="L7" s="229">
        <v>3</v>
      </c>
      <c r="M7" s="229"/>
      <c r="N7" s="229">
        <v>30</v>
      </c>
      <c r="O7" s="229"/>
      <c r="P7" s="229">
        <v>10</v>
      </c>
      <c r="Q7" s="229"/>
      <c r="R7" s="229">
        <v>20</v>
      </c>
      <c r="S7" s="229"/>
      <c r="T7" s="229">
        <v>7</v>
      </c>
      <c r="U7" s="229"/>
      <c r="V7" s="229">
        <v>7</v>
      </c>
      <c r="W7" s="229"/>
      <c r="X7" s="229">
        <v>5</v>
      </c>
      <c r="Y7" s="229"/>
      <c r="Z7" s="229">
        <v>10</v>
      </c>
      <c r="AA7" s="229"/>
      <c r="AB7" s="243" t="s">
        <v>87</v>
      </c>
      <c r="AC7" s="16"/>
      <c r="AD7" s="244" t="s">
        <v>88</v>
      </c>
      <c r="AE7" s="16"/>
      <c r="AF7" s="241" t="s">
        <v>77</v>
      </c>
      <c r="AG7" s="257" t="s">
        <v>89</v>
      </c>
      <c r="AH7" s="257" t="s">
        <v>23</v>
      </c>
      <c r="AI7" s="257" t="s">
        <v>90</v>
      </c>
      <c r="AJ7" s="257" t="s">
        <v>91</v>
      </c>
      <c r="AK7" s="258" t="s">
        <v>92</v>
      </c>
      <c r="AL7" s="86"/>
      <c r="AM7" s="255" t="s">
        <v>93</v>
      </c>
      <c r="AN7" s="257" t="s">
        <v>94</v>
      </c>
      <c r="AO7" s="259" t="s">
        <v>95</v>
      </c>
      <c r="AP7" s="86"/>
      <c r="AQ7" s="261" t="s">
        <v>96</v>
      </c>
      <c r="AR7" s="252" t="s">
        <v>97</v>
      </c>
      <c r="AS7" s="259" t="s">
        <v>95</v>
      </c>
      <c r="AT7" s="86"/>
      <c r="AU7" s="255" t="s">
        <v>98</v>
      </c>
      <c r="AV7" s="252" t="s">
        <v>99</v>
      </c>
      <c r="AW7" s="246" t="s">
        <v>2</v>
      </c>
      <c r="AX7" s="246" t="s">
        <v>4</v>
      </c>
      <c r="AY7" s="246" t="s">
        <v>6</v>
      </c>
      <c r="AZ7" s="246" t="s">
        <v>100</v>
      </c>
      <c r="BA7" s="246" t="s">
        <v>10</v>
      </c>
      <c r="BB7" s="246" t="s">
        <v>12</v>
      </c>
      <c r="BC7" s="246" t="s">
        <v>14</v>
      </c>
      <c r="BD7" s="246" t="s">
        <v>15</v>
      </c>
      <c r="BE7" s="246" t="s">
        <v>16</v>
      </c>
      <c r="BF7" s="246" t="s">
        <v>17</v>
      </c>
      <c r="BG7" s="249" t="s">
        <v>101</v>
      </c>
      <c r="BH7" s="86"/>
    </row>
    <row r="8" spans="1:81" ht="26.25" x14ac:dyDescent="0.25">
      <c r="A8" s="233"/>
      <c r="B8" s="236"/>
      <c r="C8" s="236"/>
      <c r="D8" s="238"/>
      <c r="E8" s="16"/>
      <c r="F8" s="231" t="s">
        <v>2</v>
      </c>
      <c r="G8" s="231"/>
      <c r="H8" s="231" t="s">
        <v>4</v>
      </c>
      <c r="I8" s="231"/>
      <c r="J8" s="231" t="s">
        <v>6</v>
      </c>
      <c r="K8" s="231"/>
      <c r="L8" s="231" t="s">
        <v>8</v>
      </c>
      <c r="M8" s="231"/>
      <c r="N8" s="231" t="s">
        <v>10</v>
      </c>
      <c r="O8" s="231"/>
      <c r="P8" s="231" t="s">
        <v>12</v>
      </c>
      <c r="Q8" s="231"/>
      <c r="R8" s="231" t="s">
        <v>14</v>
      </c>
      <c r="S8" s="231"/>
      <c r="T8" s="231" t="s">
        <v>15</v>
      </c>
      <c r="U8" s="231"/>
      <c r="V8" s="231" t="s">
        <v>16</v>
      </c>
      <c r="W8" s="231"/>
      <c r="X8" s="231" t="s">
        <v>17</v>
      </c>
      <c r="Y8" s="231"/>
      <c r="Z8" s="231" t="s">
        <v>18</v>
      </c>
      <c r="AA8" s="231"/>
      <c r="AB8" s="243"/>
      <c r="AC8" s="16"/>
      <c r="AD8" s="244"/>
      <c r="AE8" s="16"/>
      <c r="AF8" s="241"/>
      <c r="AG8" s="257"/>
      <c r="AH8" s="257"/>
      <c r="AI8" s="257"/>
      <c r="AJ8" s="257"/>
      <c r="AK8" s="258"/>
      <c r="AL8" s="48"/>
      <c r="AM8" s="255"/>
      <c r="AN8" s="257"/>
      <c r="AO8" s="259"/>
      <c r="AP8" s="48"/>
      <c r="AQ8" s="261"/>
      <c r="AR8" s="252"/>
      <c r="AS8" s="259"/>
      <c r="AT8" s="48"/>
      <c r="AU8" s="255"/>
      <c r="AV8" s="252"/>
      <c r="AW8" s="246"/>
      <c r="AX8" s="246"/>
      <c r="AY8" s="246"/>
      <c r="AZ8" s="246"/>
      <c r="BA8" s="246"/>
      <c r="BB8" s="246"/>
      <c r="BC8" s="246"/>
      <c r="BD8" s="246"/>
      <c r="BE8" s="246"/>
      <c r="BF8" s="246"/>
      <c r="BG8" s="249"/>
      <c r="BH8" s="146"/>
    </row>
    <row r="9" spans="1:81" s="7" customFormat="1" ht="22.5" x14ac:dyDescent="0.25">
      <c r="A9" s="233"/>
      <c r="B9" s="236"/>
      <c r="C9" s="236"/>
      <c r="D9" s="238"/>
      <c r="E9" s="20"/>
      <c r="F9" s="65" t="s">
        <v>102</v>
      </c>
      <c r="G9" s="66" t="s">
        <v>103</v>
      </c>
      <c r="H9" s="65" t="s">
        <v>102</v>
      </c>
      <c r="I9" s="66" t="s">
        <v>103</v>
      </c>
      <c r="J9" s="65" t="s">
        <v>102</v>
      </c>
      <c r="K9" s="66" t="s">
        <v>103</v>
      </c>
      <c r="L9" s="65" t="s">
        <v>102</v>
      </c>
      <c r="M9" s="66" t="s">
        <v>103</v>
      </c>
      <c r="N9" s="65" t="s">
        <v>102</v>
      </c>
      <c r="O9" s="66" t="s">
        <v>103</v>
      </c>
      <c r="P9" s="65" t="s">
        <v>102</v>
      </c>
      <c r="Q9" s="66" t="s">
        <v>103</v>
      </c>
      <c r="R9" s="65" t="s">
        <v>102</v>
      </c>
      <c r="S9" s="66" t="s">
        <v>103</v>
      </c>
      <c r="T9" s="65" t="s">
        <v>102</v>
      </c>
      <c r="U9" s="66" t="s">
        <v>103</v>
      </c>
      <c r="V9" s="65" t="s">
        <v>102</v>
      </c>
      <c r="W9" s="66" t="s">
        <v>103</v>
      </c>
      <c r="X9" s="65" t="s">
        <v>102</v>
      </c>
      <c r="Y9" s="66" t="s">
        <v>103</v>
      </c>
      <c r="Z9" s="65" t="s">
        <v>102</v>
      </c>
      <c r="AA9" s="66" t="s">
        <v>103</v>
      </c>
      <c r="AB9" s="243"/>
      <c r="AC9" s="20"/>
      <c r="AD9" s="244"/>
      <c r="AE9" s="20"/>
      <c r="AF9" s="241"/>
      <c r="AG9" s="257"/>
      <c r="AH9" s="257"/>
      <c r="AI9" s="257"/>
      <c r="AJ9" s="257"/>
      <c r="AK9" s="258"/>
      <c r="AL9" s="87"/>
      <c r="AM9" s="255"/>
      <c r="AN9" s="257"/>
      <c r="AO9" s="259"/>
      <c r="AP9" s="87"/>
      <c r="AQ9" s="261"/>
      <c r="AR9" s="252"/>
      <c r="AS9" s="259"/>
      <c r="AT9" s="87"/>
      <c r="AU9" s="255"/>
      <c r="AV9" s="252"/>
      <c r="AW9" s="246"/>
      <c r="AX9" s="246"/>
      <c r="AY9" s="246"/>
      <c r="AZ9" s="246"/>
      <c r="BA9" s="246"/>
      <c r="BB9" s="246"/>
      <c r="BC9" s="246"/>
      <c r="BD9" s="246"/>
      <c r="BE9" s="246"/>
      <c r="BF9" s="246"/>
      <c r="BG9" s="249"/>
      <c r="BH9" s="87"/>
    </row>
    <row r="10" spans="1:81" ht="23.25" x14ac:dyDescent="0.25">
      <c r="A10" s="53"/>
      <c r="B10" s="49"/>
      <c r="C10" s="50" t="s">
        <v>115</v>
      </c>
      <c r="D10" s="61"/>
      <c r="E10" s="51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1"/>
      <c r="BF10" s="51"/>
      <c r="BG10" s="88"/>
      <c r="BH10" s="146"/>
    </row>
    <row r="11" spans="1:81" ht="26.25" x14ac:dyDescent="0.25">
      <c r="A11" s="56" cm="1">
        <f t="array" ref="A11">SUMPRODUCT(($AV$10:$AV$68&lt;&gt;"")*(ROW($AV$10:$AV$68)&lt;=ROW()))</f>
        <v>1</v>
      </c>
      <c r="B11" s="57"/>
      <c r="C11" s="58" t="s">
        <v>115</v>
      </c>
      <c r="D11" s="93" t="s">
        <v>107</v>
      </c>
      <c r="E11" s="16"/>
      <c r="F11" s="29">
        <f>H11-$H$7</f>
        <v>46016</v>
      </c>
      <c r="G11" s="42">
        <v>46016</v>
      </c>
      <c r="H11" s="29">
        <f>J11-$J$7</f>
        <v>46023</v>
      </c>
      <c r="I11" s="42">
        <v>46023</v>
      </c>
      <c r="J11" s="29">
        <f>L11-$L$7</f>
        <v>46029</v>
      </c>
      <c r="K11" s="42">
        <v>46029</v>
      </c>
      <c r="L11" s="29">
        <f>N11-$N$7</f>
        <v>46032</v>
      </c>
      <c r="M11" s="42">
        <v>46032</v>
      </c>
      <c r="N11" s="29">
        <f>P11-$P$7</f>
        <v>46062</v>
      </c>
      <c r="O11" s="42">
        <v>46062</v>
      </c>
      <c r="P11" s="29">
        <f>R11-$R$7</f>
        <v>46072</v>
      </c>
      <c r="Q11" s="42">
        <v>46072</v>
      </c>
      <c r="R11" s="29">
        <f>T11-$T$7</f>
        <v>46092</v>
      </c>
      <c r="S11" s="42">
        <v>46092</v>
      </c>
      <c r="T11" s="29">
        <f>V11-$V$7</f>
        <v>46099</v>
      </c>
      <c r="U11" s="42">
        <v>46099</v>
      </c>
      <c r="V11" s="29">
        <f>X11-$X$7</f>
        <v>46106</v>
      </c>
      <c r="W11" s="42">
        <v>46106</v>
      </c>
      <c r="X11" s="29">
        <f>AN11</f>
        <v>46111</v>
      </c>
      <c r="Y11" s="42">
        <v>46111</v>
      </c>
      <c r="Z11" s="30">
        <f>X11+$Z$7</f>
        <v>46121</v>
      </c>
      <c r="AA11" s="42"/>
      <c r="AB11" s="31" t="str">
        <f>IF(AV11="10. Issued to Contractor","-",IF(AV11="11. Subcontract Agreement signed","-",MAX(AN11,AR11)-$C$6))</f>
        <v>-</v>
      </c>
      <c r="AC11" s="16"/>
      <c r="AD11" s="131">
        <f>SUM($H$7:$Y$7)</f>
        <v>95</v>
      </c>
      <c r="AE11" s="16"/>
      <c r="AF11" s="95"/>
      <c r="AG11" s="67"/>
      <c r="AH11" s="67">
        <v>227030822</v>
      </c>
      <c r="AI11" s="67">
        <v>200928000</v>
      </c>
      <c r="AJ11" s="68">
        <f>IF(AI11&gt;0,SUM(AH11)-SUM(AI11),"")</f>
        <v>26102822</v>
      </c>
      <c r="AK11" s="102" t="s">
        <v>195</v>
      </c>
      <c r="AL11" s="48"/>
      <c r="AM11" s="105">
        <v>0</v>
      </c>
      <c r="AN11" s="69">
        <f>$M$3+AM11-1</f>
        <v>46111</v>
      </c>
      <c r="AO11" s="107">
        <f>AN11-AU11</f>
        <v>0</v>
      </c>
      <c r="AP11" s="48"/>
      <c r="AQ11" s="111"/>
      <c r="AR11" s="70">
        <f>IFERROR(WORKDAY.INTL(AN11,AQ11,11),"")</f>
        <v>46111</v>
      </c>
      <c r="AS11" s="107">
        <f>AR11-AU11</f>
        <v>0</v>
      </c>
      <c r="AT11" s="48"/>
      <c r="AU11" s="113">
        <f>IF(Y11&gt;0,Y11,IFERROR(MAX(_xlfn.XLOOKUP($AV11,$H$8:$Z$8,$G11:$Y11),$C$6)+(AN11-_xlfn.XLOOKUP($AV11,$H$8:$Z$8,$F11:$X11))*AD11/SUM($H$7:$Y$7),$C$6+SUM(AD11)))</f>
        <v>46111</v>
      </c>
      <c r="AV11" s="119" t="str" cm="1">
        <f t="array" ref="AV11">IF(OR(G11&gt;$C$6,G11=""),$F$8,INDEX($E$8:$Z$8,MATCH(TRUE,(F11:AA11=""),0)))</f>
        <v>11. Subcontract Agreement signed</v>
      </c>
      <c r="AW11" s="116" t="b">
        <f>IF(AND(G11&gt;0,G11&lt;$C$6),TRUE,FALSE)</f>
        <v>1</v>
      </c>
      <c r="AX11" s="71" t="b">
        <f>IF(AND(I11&gt;0,I11&lt;$C$6),TRUE,FALSE)</f>
        <v>1</v>
      </c>
      <c r="AY11" s="71" t="b">
        <f>IF(AND(K11&gt;0,K11&lt;$C$6),TRUE,FALSE)</f>
        <v>1</v>
      </c>
      <c r="AZ11" s="71" t="b">
        <f>IF(AND(M11&gt;0,M11&lt;$C$6),TRUE,FALSE)</f>
        <v>1</v>
      </c>
      <c r="BA11" s="71" t="b">
        <f>IF(AND(O11&gt;0,O11&lt;$C$6),TRUE,FALSE)</f>
        <v>1</v>
      </c>
      <c r="BB11" s="71" t="b">
        <f>IF(AND(Q11&gt;0,Q11&lt;$C$6),TRUE,FALSE)</f>
        <v>1</v>
      </c>
      <c r="BC11" s="71" t="b">
        <f>IF(AND(S11&gt;0,S11&lt;$C$6),TRUE,FALSE)</f>
        <v>1</v>
      </c>
      <c r="BD11" s="71" t="b">
        <f>IF(AND(U11&gt;0,U11&lt;$C$6),TRUE,FALSE)</f>
        <v>1</v>
      </c>
      <c r="BE11" s="71" t="b">
        <f>IF(AND(W11&gt;0,W11&lt;$C$6),TRUE,FALSE)</f>
        <v>1</v>
      </c>
      <c r="BF11" s="71" t="b">
        <f>IF(AND(Y11&gt;0,Y11&lt;$C$6),TRUE,FALSE)</f>
        <v>1</v>
      </c>
      <c r="BG11" s="89" t="b">
        <f>IF(AND(AA11&gt;0,AA11&lt;$C$6),TRUE,FALSE)</f>
        <v>0</v>
      </c>
      <c r="BH11" s="146"/>
    </row>
    <row r="12" spans="1:81" ht="26.25" x14ac:dyDescent="0.25">
      <c r="A12" s="56" cm="1">
        <f t="array" ref="A12">SUMPRODUCT(($AV$10:$AV$68&lt;&gt;"")*(ROW($AV$10:$AV$68)&lt;=ROW()))</f>
        <v>2</v>
      </c>
      <c r="B12" s="59"/>
      <c r="C12" s="60" t="s">
        <v>225</v>
      </c>
      <c r="D12" s="59" t="s">
        <v>107</v>
      </c>
      <c r="E12" s="43"/>
      <c r="F12" s="44">
        <f>H12-$H$7</f>
        <v>46136</v>
      </c>
      <c r="G12" s="45"/>
      <c r="H12" s="44">
        <f>J12-$J$7</f>
        <v>46143</v>
      </c>
      <c r="I12" s="45"/>
      <c r="J12" s="44">
        <f>L12-$L$7</f>
        <v>46149</v>
      </c>
      <c r="K12" s="45"/>
      <c r="L12" s="44">
        <f>N12-$N$7</f>
        <v>46152</v>
      </c>
      <c r="M12" s="45"/>
      <c r="N12" s="44">
        <f>P12-$P$7</f>
        <v>46182</v>
      </c>
      <c r="O12" s="45"/>
      <c r="P12" s="44">
        <f>R12-$R$7</f>
        <v>46192</v>
      </c>
      <c r="Q12" s="45"/>
      <c r="R12" s="44">
        <f>T12-$T$7</f>
        <v>46212</v>
      </c>
      <c r="S12" s="45"/>
      <c r="T12" s="44">
        <f>V12-$V$7</f>
        <v>46219</v>
      </c>
      <c r="U12" s="45"/>
      <c r="V12" s="44">
        <f>X12-$X$7</f>
        <v>46226</v>
      </c>
      <c r="W12" s="45"/>
      <c r="X12" s="44">
        <f t="shared" ref="X12:X13" si="0">AN12</f>
        <v>46231</v>
      </c>
      <c r="Y12" s="45"/>
      <c r="Z12" s="46">
        <f>X12+$Z$7</f>
        <v>46241</v>
      </c>
      <c r="AA12" s="45"/>
      <c r="AB12" s="47">
        <f>IF(AV12="10. Issued to Contractor","-",IF(AV12="11. Subcontract Agreement signed","-",MAX(AN12,AR12)-$C$6))</f>
        <v>119</v>
      </c>
      <c r="AC12" s="16"/>
      <c r="AD12" s="131">
        <f t="shared" ref="AD12:AD14" si="1">SUM($H$7:$Y$7)</f>
        <v>95</v>
      </c>
      <c r="AE12" s="16"/>
      <c r="AF12" s="96"/>
      <c r="AG12" s="72"/>
      <c r="AH12" s="72">
        <v>14824000</v>
      </c>
      <c r="AI12" s="72"/>
      <c r="AJ12" s="73" t="str">
        <f>IF(AI12&gt;0,SUM(AH12)-SUM(AI12),"")</f>
        <v/>
      </c>
      <c r="AK12" s="101"/>
      <c r="AL12" s="48"/>
      <c r="AM12" s="104">
        <v>120</v>
      </c>
      <c r="AN12" s="74">
        <f>$M$3+AM12-1</f>
        <v>46231</v>
      </c>
      <c r="AO12" s="108">
        <f>AN12-AU12</f>
        <v>24</v>
      </c>
      <c r="AP12" s="48"/>
      <c r="AQ12" s="110"/>
      <c r="AR12" s="75">
        <f>IFERROR(WORKDAY.INTL(AN12,AQ12,11),"")</f>
        <v>46231</v>
      </c>
      <c r="AS12" s="108">
        <f>AR12-AU12</f>
        <v>24</v>
      </c>
      <c r="AT12" s="48"/>
      <c r="AU12" s="114">
        <f t="shared" ref="AU12:AU13" si="2">IF(Y12&gt;0,Y12,IFERROR(MAX(_xlfn.XLOOKUP($AV12,$H$8:$Z$8,$G12:$Y12),$C$6)+(AN12-_xlfn.XLOOKUP($AV12,$H$8:$Z$8,$F12:$X12))*AD12/SUM($H$7:$Y$7),$C$6+SUM(AD12)))</f>
        <v>46207</v>
      </c>
      <c r="AV12" s="120" t="str" cm="1">
        <f t="array" ref="AV12">IF(OR(G12&gt;$C$6,G12=""),$F$8,INDEX($E$8:$Z$8,MATCH(TRUE,(F12:AA12=""),0)))</f>
        <v>1. Tender Docs &amp; BOQ</v>
      </c>
      <c r="AW12" s="117" t="b">
        <f>IF(AND(G12&gt;0,G12&lt;$C$6),TRUE,FALSE)</f>
        <v>0</v>
      </c>
      <c r="AX12" s="76" t="b">
        <f>IF(AND(I12&gt;0,I12&lt;$C$6),TRUE,FALSE)</f>
        <v>0</v>
      </c>
      <c r="AY12" s="76" t="b">
        <f>IF(AND(K12&gt;0,K12&lt;$C$6),TRUE,FALSE)</f>
        <v>0</v>
      </c>
      <c r="AZ12" s="76" t="b">
        <f>IF(AND(M12&gt;0,M12&lt;$C$6),TRUE,FALSE)</f>
        <v>0</v>
      </c>
      <c r="BA12" s="76" t="b">
        <f>IF(AND(O12&gt;0,O12&lt;$C$6),TRUE,FALSE)</f>
        <v>0</v>
      </c>
      <c r="BB12" s="76" t="b">
        <f>IF(AND(Q12&gt;0,Q12&lt;$C$6),TRUE,FALSE)</f>
        <v>0</v>
      </c>
      <c r="BC12" s="76" t="b">
        <f>IF(AND(S12&gt;0,S12&lt;$C$6),TRUE,FALSE)</f>
        <v>0</v>
      </c>
      <c r="BD12" s="76" t="b">
        <f>IF(AND(U12&gt;0,U12&lt;$C$6),TRUE,FALSE)</f>
        <v>0</v>
      </c>
      <c r="BE12" s="76" t="b">
        <f>IF(AND(W12&gt;0,W12&lt;$C$6),TRUE,FALSE)</f>
        <v>0</v>
      </c>
      <c r="BF12" s="76" t="b">
        <f>IF(AND(Y12&gt;0,Y12&lt;$C$6),TRUE,FALSE)</f>
        <v>0</v>
      </c>
      <c r="BG12" s="90" t="b">
        <f>IF(AND(AA12&gt;0,AA12&lt;$C$6),TRUE,FALSE)</f>
        <v>0</v>
      </c>
      <c r="BH12" s="146"/>
    </row>
    <row r="13" spans="1:81" ht="26.25" x14ac:dyDescent="0.25">
      <c r="A13" s="56" cm="1">
        <f t="array" ref="A13">SUMPRODUCT(($AV$10:$AV$68&lt;&gt;"")*(ROW($AV$10:$AV$68)&lt;=ROW()))</f>
        <v>3</v>
      </c>
      <c r="B13" s="57"/>
      <c r="C13" s="58" t="s">
        <v>226</v>
      </c>
      <c r="D13" s="93" t="s">
        <v>107</v>
      </c>
      <c r="E13" s="16"/>
      <c r="F13" s="29">
        <f>H13-$H$7</f>
        <v>46136</v>
      </c>
      <c r="G13" s="42"/>
      <c r="H13" s="29">
        <f>J13-$J$7</f>
        <v>46143</v>
      </c>
      <c r="I13" s="42"/>
      <c r="J13" s="29">
        <f>L13-$L$7</f>
        <v>46149</v>
      </c>
      <c r="K13" s="42"/>
      <c r="L13" s="29">
        <f>N13-$N$7</f>
        <v>46152</v>
      </c>
      <c r="M13" s="42"/>
      <c r="N13" s="29">
        <f>P13-$P$7</f>
        <v>46182</v>
      </c>
      <c r="O13" s="42"/>
      <c r="P13" s="29">
        <f>R13-$R$7</f>
        <v>46192</v>
      </c>
      <c r="Q13" s="42"/>
      <c r="R13" s="29">
        <f>T13-$T$7</f>
        <v>46212</v>
      </c>
      <c r="S13" s="42"/>
      <c r="T13" s="29">
        <f>V13-$V$7</f>
        <v>46219</v>
      </c>
      <c r="U13" s="42"/>
      <c r="V13" s="29">
        <f>X13-$X$7</f>
        <v>46226</v>
      </c>
      <c r="W13" s="42"/>
      <c r="X13" s="29">
        <f t="shared" si="0"/>
        <v>46231</v>
      </c>
      <c r="Y13" s="42"/>
      <c r="Z13" s="30">
        <f>X13+$Z$7</f>
        <v>46241</v>
      </c>
      <c r="AA13" s="42"/>
      <c r="AB13" s="31">
        <f>IF(AV13="10. Issued to Contractor","-",IF(AV13="11. Subcontract Agreement signed","-",MAX(AN13,AR13)-$C$6))</f>
        <v>119</v>
      </c>
      <c r="AC13" s="16"/>
      <c r="AD13" s="131">
        <f t="shared" si="1"/>
        <v>95</v>
      </c>
      <c r="AE13" s="16"/>
      <c r="AF13" s="95"/>
      <c r="AG13" s="67"/>
      <c r="AH13" s="67">
        <v>24128344</v>
      </c>
      <c r="AI13" s="67"/>
      <c r="AJ13" s="68" t="str">
        <f>IF(AI13&gt;0,SUM(AH13)-SUM(AI13),"")</f>
        <v/>
      </c>
      <c r="AK13" s="102"/>
      <c r="AL13" s="48"/>
      <c r="AM13" s="105">
        <v>120</v>
      </c>
      <c r="AN13" s="69">
        <f>$M$3+AM13-1</f>
        <v>46231</v>
      </c>
      <c r="AO13" s="107">
        <f>AN13-AU13</f>
        <v>24</v>
      </c>
      <c r="AP13" s="48"/>
      <c r="AQ13" s="111"/>
      <c r="AR13" s="70">
        <f>IFERROR(WORKDAY.INTL(AN13,AQ13,11),"")</f>
        <v>46231</v>
      </c>
      <c r="AS13" s="107">
        <f>AR13-AU13</f>
        <v>24</v>
      </c>
      <c r="AT13" s="48"/>
      <c r="AU13" s="113">
        <f t="shared" si="2"/>
        <v>46207</v>
      </c>
      <c r="AV13" s="119" t="str" cm="1">
        <f t="array" ref="AV13">IF(OR(G13&gt;$C$6,G13=""),$F$8,INDEX($E$8:$Z$8,MATCH(TRUE,(F13:AA13=""),0)))</f>
        <v>1. Tender Docs &amp; BOQ</v>
      </c>
      <c r="AW13" s="116" t="b">
        <f>IF(AND(G13&gt;0,G13&lt;$C$6),TRUE,FALSE)</f>
        <v>0</v>
      </c>
      <c r="AX13" s="71" t="b">
        <f>IF(AND(I13&gt;0,I13&lt;$C$6),TRUE,FALSE)</f>
        <v>0</v>
      </c>
      <c r="AY13" s="71" t="b">
        <f>IF(AND(K13&gt;0,K13&lt;$C$6),TRUE,FALSE)</f>
        <v>0</v>
      </c>
      <c r="AZ13" s="71" t="b">
        <f>IF(AND(M13&gt;0,M13&lt;$C$6),TRUE,FALSE)</f>
        <v>0</v>
      </c>
      <c r="BA13" s="71" t="b">
        <f>IF(AND(O13&gt;0,O13&lt;$C$6),TRUE,FALSE)</f>
        <v>0</v>
      </c>
      <c r="BB13" s="71" t="b">
        <f>IF(AND(Q13&gt;0,Q13&lt;$C$6),TRUE,FALSE)</f>
        <v>0</v>
      </c>
      <c r="BC13" s="71" t="b">
        <f>IF(AND(S13&gt;0,S13&lt;$C$6),TRUE,FALSE)</f>
        <v>0</v>
      </c>
      <c r="BD13" s="71" t="b">
        <f>IF(AND(U13&gt;0,U13&lt;$C$6),TRUE,FALSE)</f>
        <v>0</v>
      </c>
      <c r="BE13" s="71" t="b">
        <f>IF(AND(W13&gt;0,W13&lt;$C$6),TRUE,FALSE)</f>
        <v>0</v>
      </c>
      <c r="BF13" s="71" t="b">
        <f>IF(AND(Y13&gt;0,Y13&lt;$C$6),TRUE,FALSE)</f>
        <v>0</v>
      </c>
      <c r="BG13" s="89" t="b">
        <f>IF(AND(AA13&gt;0,AA13&lt;$C$6),TRUE,FALSE)</f>
        <v>0</v>
      </c>
      <c r="BH13" s="146"/>
    </row>
    <row r="14" spans="1:81" ht="26.25" x14ac:dyDescent="0.25">
      <c r="A14" s="56" cm="1">
        <f t="array" ref="A14">SUMPRODUCT(($AV$10:$AV$68&lt;&gt;"")*(ROW($AV$10:$AV$68)&lt;=ROW()))</f>
        <v>4</v>
      </c>
      <c r="B14" s="59"/>
      <c r="C14" s="60" t="s">
        <v>227</v>
      </c>
      <c r="D14" s="59" t="s">
        <v>107</v>
      </c>
      <c r="E14" s="43"/>
      <c r="F14" s="44">
        <f>H14-$H$7</f>
        <v>46136</v>
      </c>
      <c r="G14" s="45"/>
      <c r="H14" s="44">
        <f>J14-$J$7</f>
        <v>46143</v>
      </c>
      <c r="I14" s="45"/>
      <c r="J14" s="44">
        <f>L14-$L$7</f>
        <v>46149</v>
      </c>
      <c r="K14" s="45"/>
      <c r="L14" s="44">
        <f>N14-$N$7</f>
        <v>46152</v>
      </c>
      <c r="M14" s="45"/>
      <c r="N14" s="44">
        <f>P14-$P$7</f>
        <v>46182</v>
      </c>
      <c r="O14" s="45"/>
      <c r="P14" s="44">
        <f>R14-$R$7</f>
        <v>46192</v>
      </c>
      <c r="Q14" s="45"/>
      <c r="R14" s="44">
        <f>T14-$T$7</f>
        <v>46212</v>
      </c>
      <c r="S14" s="45"/>
      <c r="T14" s="44">
        <f>V14-$V$7</f>
        <v>46219</v>
      </c>
      <c r="U14" s="45"/>
      <c r="V14" s="44">
        <f>X14-$X$7</f>
        <v>46226</v>
      </c>
      <c r="W14" s="45"/>
      <c r="X14" s="44">
        <f t="shared" ref="X14" si="3">AN14</f>
        <v>46231</v>
      </c>
      <c r="Y14" s="45"/>
      <c r="Z14" s="46">
        <f>X14+$Z$7</f>
        <v>46241</v>
      </c>
      <c r="AA14" s="45"/>
      <c r="AB14" s="47">
        <f>IF(AV14="10. Issued to Contractor","-",IF(AV14="11. Subcontract Agreement signed","-",MAX(AN14,AR14)-$C$6))</f>
        <v>119</v>
      </c>
      <c r="AC14" s="16"/>
      <c r="AD14" s="131">
        <f t="shared" si="1"/>
        <v>95</v>
      </c>
      <c r="AE14" s="16"/>
      <c r="AF14" s="96"/>
      <c r="AG14" s="72"/>
      <c r="AH14" s="72">
        <v>29792022</v>
      </c>
      <c r="AI14" s="72"/>
      <c r="AJ14" s="73" t="str">
        <f>IF(AI14&gt;0,SUM(AH14)-SUM(AI14),"")</f>
        <v/>
      </c>
      <c r="AK14" s="101"/>
      <c r="AL14" s="48"/>
      <c r="AM14" s="104">
        <v>120</v>
      </c>
      <c r="AN14" s="74">
        <f>$M$3+AM14-1</f>
        <v>46231</v>
      </c>
      <c r="AO14" s="108">
        <f>AN14-AU14</f>
        <v>24</v>
      </c>
      <c r="AP14" s="48"/>
      <c r="AQ14" s="110"/>
      <c r="AR14" s="75">
        <f>IFERROR(WORKDAY.INTL(AN14,AQ14,11),"")</f>
        <v>46231</v>
      </c>
      <c r="AS14" s="108">
        <f>AR14-AU14</f>
        <v>24</v>
      </c>
      <c r="AT14" s="48"/>
      <c r="AU14" s="114">
        <f t="shared" ref="AU14" si="4">IF(Y14&gt;0,Y14,IFERROR(MAX(_xlfn.XLOOKUP($AV14,$H$8:$Z$8,$G14:$Y14),$C$6)+(AN14-_xlfn.XLOOKUP($AV14,$H$8:$Z$8,$F14:$X14))*AD14/SUM($H$7:$Y$7),$C$6+SUM(AD14)))</f>
        <v>46207</v>
      </c>
      <c r="AV14" s="120" t="str" cm="1">
        <f t="array" ref="AV14">IF(OR(G14&gt;$C$6,G14=""),$F$8,INDEX($E$8:$Z$8,MATCH(TRUE,(F14:AA14=""),0)))</f>
        <v>1. Tender Docs &amp; BOQ</v>
      </c>
      <c r="AW14" s="117" t="b">
        <f>IF(AND(G14&gt;0,G14&lt;$C$6),TRUE,FALSE)</f>
        <v>0</v>
      </c>
      <c r="AX14" s="76" t="b">
        <f>IF(AND(I14&gt;0,I14&lt;$C$6),TRUE,FALSE)</f>
        <v>0</v>
      </c>
      <c r="AY14" s="76" t="b">
        <f>IF(AND(K14&gt;0,K14&lt;$C$6),TRUE,FALSE)</f>
        <v>0</v>
      </c>
      <c r="AZ14" s="76" t="b">
        <f>IF(AND(M14&gt;0,M14&lt;$C$6),TRUE,FALSE)</f>
        <v>0</v>
      </c>
      <c r="BA14" s="76" t="b">
        <f>IF(AND(O14&gt;0,O14&lt;$C$6),TRUE,FALSE)</f>
        <v>0</v>
      </c>
      <c r="BB14" s="76" t="b">
        <f>IF(AND(Q14&gt;0,Q14&lt;$C$6),TRUE,FALSE)</f>
        <v>0</v>
      </c>
      <c r="BC14" s="76" t="b">
        <f>IF(AND(S14&gt;0,S14&lt;$C$6),TRUE,FALSE)</f>
        <v>0</v>
      </c>
      <c r="BD14" s="76" t="b">
        <f>IF(AND(U14&gt;0,U14&lt;$C$6),TRUE,FALSE)</f>
        <v>0</v>
      </c>
      <c r="BE14" s="76" t="b">
        <f>IF(AND(W14&gt;0,W14&lt;$C$6),TRUE,FALSE)</f>
        <v>0</v>
      </c>
      <c r="BF14" s="76" t="b">
        <f>IF(AND(Y14&gt;0,Y14&lt;$C$6),TRUE,FALSE)</f>
        <v>0</v>
      </c>
      <c r="BG14" s="90" t="b">
        <f>IF(AND(AA14&gt;0,AA14&lt;$C$6),TRUE,FALSE)</f>
        <v>0</v>
      </c>
      <c r="BH14" s="146"/>
    </row>
    <row r="15" spans="1:81" ht="23.25" x14ac:dyDescent="0.25">
      <c r="A15" s="53"/>
      <c r="B15" s="49"/>
      <c r="C15" s="50" t="s">
        <v>445</v>
      </c>
      <c r="D15" s="51"/>
      <c r="E15" s="51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1"/>
      <c r="AC15" s="51"/>
      <c r="AD15" s="132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51"/>
      <c r="BD15" s="51"/>
      <c r="BE15" s="51"/>
      <c r="BF15" s="51"/>
      <c r="BG15" s="88"/>
      <c r="BH15" s="146"/>
    </row>
    <row r="16" spans="1:81" ht="26.25" x14ac:dyDescent="0.25">
      <c r="A16" s="56" cm="1">
        <f t="array" ref="A16">SUMPRODUCT(($AV$10:$AV$68&lt;&gt;"")*(ROW($AV$10:$AV$68)&lt;=ROW()))</f>
        <v>5</v>
      </c>
      <c r="B16" s="57"/>
      <c r="C16" s="58" t="s">
        <v>228</v>
      </c>
      <c r="D16" s="93" t="s">
        <v>7</v>
      </c>
      <c r="E16" s="16"/>
      <c r="F16" s="29">
        <f t="shared" ref="F16:F20" si="5">H16-$H$7</f>
        <v>46091</v>
      </c>
      <c r="G16" s="42"/>
      <c r="H16" s="29">
        <f t="shared" ref="H16:H20" si="6">J16-$J$7</f>
        <v>46098</v>
      </c>
      <c r="I16" s="42"/>
      <c r="J16" s="29">
        <f t="shared" ref="J16:J20" si="7">L16-$L$7</f>
        <v>46104</v>
      </c>
      <c r="K16" s="42"/>
      <c r="L16" s="29">
        <f t="shared" ref="L16:L20" si="8">N16-$N$7</f>
        <v>46107</v>
      </c>
      <c r="M16" s="42"/>
      <c r="N16" s="29">
        <f t="shared" ref="N16:N20" si="9">P16-$P$7</f>
        <v>46137</v>
      </c>
      <c r="O16" s="42"/>
      <c r="P16" s="29">
        <f t="shared" ref="P16:P20" si="10">R16-$R$7</f>
        <v>46147</v>
      </c>
      <c r="Q16" s="42"/>
      <c r="R16" s="29">
        <f t="shared" ref="R16:R20" si="11">T16-$T$7</f>
        <v>46167</v>
      </c>
      <c r="S16" s="42"/>
      <c r="T16" s="29">
        <f t="shared" ref="T16:T20" si="12">V16-$V$7</f>
        <v>46174</v>
      </c>
      <c r="U16" s="42"/>
      <c r="V16" s="29">
        <f t="shared" ref="V16:V20" si="13">X16-$X$7</f>
        <v>46181</v>
      </c>
      <c r="W16" s="42"/>
      <c r="X16" s="29">
        <f t="shared" ref="X16:X19" si="14">AN16</f>
        <v>46186</v>
      </c>
      <c r="Y16" s="42"/>
      <c r="Z16" s="30">
        <f t="shared" ref="Z16:Z20" si="15">X16+$Z$7</f>
        <v>46196</v>
      </c>
      <c r="AA16" s="42"/>
      <c r="AB16" s="31">
        <f t="shared" ref="AB16:AB20" si="16">IF(AV16="10. Issued to Contractor","-",IF(AV16="11. Subcontract Agreement signed","-",MAX(AN16,AR16)-$C$6))</f>
        <v>74</v>
      </c>
      <c r="AC16" s="16"/>
      <c r="AD16" s="131">
        <f t="shared" ref="AD16:AD20" si="17">SUM($H$7:$Y$7)</f>
        <v>95</v>
      </c>
      <c r="AE16" s="16"/>
      <c r="AF16" s="95"/>
      <c r="AG16" s="67"/>
      <c r="AH16" s="67">
        <v>27835330</v>
      </c>
      <c r="AI16" s="67"/>
      <c r="AJ16" s="68" t="str">
        <f>IF(AI16&gt;0,SUM(AH16)-SUM(AI16),"")</f>
        <v/>
      </c>
      <c r="AK16" s="102"/>
      <c r="AL16" s="48"/>
      <c r="AM16" s="105">
        <v>75</v>
      </c>
      <c r="AN16" s="69">
        <f t="shared" ref="AN16:AN20" si="18">$M$3+AM16-1</f>
        <v>46186</v>
      </c>
      <c r="AO16" s="107">
        <f t="shared" ref="AO16:AO20" si="19">AN16-AU16</f>
        <v>-21</v>
      </c>
      <c r="AP16" s="48"/>
      <c r="AQ16" s="111"/>
      <c r="AR16" s="70">
        <f t="shared" ref="AR16:AR20" si="20">IFERROR(WORKDAY.INTL(AN16,AQ16,11),"")</f>
        <v>46186</v>
      </c>
      <c r="AS16" s="107">
        <f t="shared" ref="AS16:AS20" si="21">AR16-AU16</f>
        <v>-21</v>
      </c>
      <c r="AT16" s="48"/>
      <c r="AU16" s="113">
        <f t="shared" ref="AU16:AU19" si="22">IF(Y16&gt;0,Y16,IFERROR(MAX(_xlfn.XLOOKUP($AV16,$H$8:$Z$8,$G16:$Y16),$C$6)+(AN16-_xlfn.XLOOKUP($AV16,$H$8:$Z$8,$F16:$X16))*AD16/SUM($H$7:$Y$7),$C$6+SUM(AD16)))</f>
        <v>46207</v>
      </c>
      <c r="AV16" s="119" t="str" cm="1">
        <f t="array" ref="AV16">IF(OR(G16&gt;$C$6,G16=""),$F$8,INDEX($E$8:$Z$8,MATCH(TRUE,(F16:AA16=""),0)))</f>
        <v>1. Tender Docs &amp; BOQ</v>
      </c>
      <c r="AW16" s="116" t="b">
        <f t="shared" ref="AW16:AW20" si="23">IF(AND(G16&gt;0,G16&lt;$C$6),TRUE,FALSE)</f>
        <v>0</v>
      </c>
      <c r="AX16" s="71" t="b">
        <f t="shared" ref="AX16:AX20" si="24">IF(AND(I16&gt;0,I16&lt;$C$6),TRUE,FALSE)</f>
        <v>0</v>
      </c>
      <c r="AY16" s="71" t="b">
        <f t="shared" ref="AY16:AY20" si="25">IF(AND(K16&gt;0,K16&lt;$C$6),TRUE,FALSE)</f>
        <v>0</v>
      </c>
      <c r="AZ16" s="71" t="b">
        <f t="shared" ref="AZ16:AZ20" si="26">IF(AND(M16&gt;0,M16&lt;$C$6),TRUE,FALSE)</f>
        <v>0</v>
      </c>
      <c r="BA16" s="71" t="b">
        <f t="shared" ref="BA16:BA20" si="27">IF(AND(O16&gt;0,O16&lt;$C$6),TRUE,FALSE)</f>
        <v>0</v>
      </c>
      <c r="BB16" s="71" t="b">
        <f t="shared" ref="BB16:BB20" si="28">IF(AND(Q16&gt;0,Q16&lt;$C$6),TRUE,FALSE)</f>
        <v>0</v>
      </c>
      <c r="BC16" s="71" t="b">
        <f t="shared" ref="BC16:BC20" si="29">IF(AND(S16&gt;0,S16&lt;$C$6),TRUE,FALSE)</f>
        <v>0</v>
      </c>
      <c r="BD16" s="71" t="b">
        <f t="shared" ref="BD16:BD20" si="30">IF(AND(U16&gt;0,U16&lt;$C$6),TRUE,FALSE)</f>
        <v>0</v>
      </c>
      <c r="BE16" s="71" t="b">
        <f t="shared" ref="BE16:BE20" si="31">IF(AND(W16&gt;0,W16&lt;$C$6),TRUE,FALSE)</f>
        <v>0</v>
      </c>
      <c r="BF16" s="71" t="b">
        <f t="shared" ref="BF16:BF20" si="32">IF(AND(Y16&gt;0,Y16&lt;$C$6),TRUE,FALSE)</f>
        <v>0</v>
      </c>
      <c r="BG16" s="89" t="b">
        <f t="shared" ref="BG16:BG20" si="33">IF(AND(AA16&gt;0,AA16&lt;$C$6),TRUE,FALSE)</f>
        <v>0</v>
      </c>
      <c r="BH16" s="146"/>
    </row>
    <row r="17" spans="1:60" ht="26.25" x14ac:dyDescent="0.25">
      <c r="A17" s="56" cm="1">
        <f t="array" ref="A17">SUMPRODUCT(($AV$10:$AV$68&lt;&gt;"")*(ROW($AV$10:$AV$68)&lt;=ROW()))</f>
        <v>6</v>
      </c>
      <c r="B17" s="59"/>
      <c r="C17" s="60" t="s">
        <v>229</v>
      </c>
      <c r="D17" s="59" t="s">
        <v>7</v>
      </c>
      <c r="E17" s="43"/>
      <c r="F17" s="44">
        <f t="shared" si="5"/>
        <v>46091</v>
      </c>
      <c r="G17" s="45"/>
      <c r="H17" s="44">
        <f t="shared" si="6"/>
        <v>46098</v>
      </c>
      <c r="I17" s="45"/>
      <c r="J17" s="44">
        <f t="shared" si="7"/>
        <v>46104</v>
      </c>
      <c r="K17" s="45"/>
      <c r="L17" s="44">
        <f t="shared" si="8"/>
        <v>46107</v>
      </c>
      <c r="M17" s="45"/>
      <c r="N17" s="44">
        <f t="shared" si="9"/>
        <v>46137</v>
      </c>
      <c r="O17" s="45"/>
      <c r="P17" s="44">
        <f t="shared" si="10"/>
        <v>46147</v>
      </c>
      <c r="Q17" s="45"/>
      <c r="R17" s="44">
        <f t="shared" si="11"/>
        <v>46167</v>
      </c>
      <c r="S17" s="45"/>
      <c r="T17" s="44">
        <f t="shared" si="12"/>
        <v>46174</v>
      </c>
      <c r="U17" s="45"/>
      <c r="V17" s="44">
        <f t="shared" si="13"/>
        <v>46181</v>
      </c>
      <c r="W17" s="45"/>
      <c r="X17" s="44">
        <f t="shared" si="14"/>
        <v>46186</v>
      </c>
      <c r="Y17" s="45"/>
      <c r="Z17" s="46">
        <f t="shared" si="15"/>
        <v>46196</v>
      </c>
      <c r="AA17" s="45"/>
      <c r="AB17" s="32">
        <f t="shared" si="16"/>
        <v>74</v>
      </c>
      <c r="AC17" s="16"/>
      <c r="AD17" s="131">
        <f t="shared" si="17"/>
        <v>95</v>
      </c>
      <c r="AE17" s="16"/>
      <c r="AF17" s="96"/>
      <c r="AG17" s="72"/>
      <c r="AH17" s="72" t="s">
        <v>134</v>
      </c>
      <c r="AI17" s="72"/>
      <c r="AJ17" s="73" t="str">
        <f>IF(AI17&gt;0,SUM(AH17)-SUM(AI17),"")</f>
        <v/>
      </c>
      <c r="AK17" s="101"/>
      <c r="AL17" s="48"/>
      <c r="AM17" s="104">
        <v>75</v>
      </c>
      <c r="AN17" s="74">
        <f t="shared" si="18"/>
        <v>46186</v>
      </c>
      <c r="AO17" s="108">
        <f t="shared" si="19"/>
        <v>-21</v>
      </c>
      <c r="AP17" s="48"/>
      <c r="AQ17" s="110"/>
      <c r="AR17" s="75">
        <f t="shared" si="20"/>
        <v>46186</v>
      </c>
      <c r="AS17" s="108">
        <f t="shared" si="21"/>
        <v>-21</v>
      </c>
      <c r="AT17" s="48"/>
      <c r="AU17" s="114">
        <f t="shared" si="22"/>
        <v>46207</v>
      </c>
      <c r="AV17" s="120" t="str" cm="1">
        <f t="array" ref="AV17">IF(OR(G17&gt;$C$6,G17=""),$F$8,INDEX($E$8:$Z$8,MATCH(TRUE,(F17:AA17=""),0)))</f>
        <v>1. Tender Docs &amp; BOQ</v>
      </c>
      <c r="AW17" s="117" t="b">
        <f t="shared" si="23"/>
        <v>0</v>
      </c>
      <c r="AX17" s="76" t="b">
        <f t="shared" si="24"/>
        <v>0</v>
      </c>
      <c r="AY17" s="76" t="b">
        <f t="shared" si="25"/>
        <v>0</v>
      </c>
      <c r="AZ17" s="76" t="b">
        <f t="shared" si="26"/>
        <v>0</v>
      </c>
      <c r="BA17" s="76" t="b">
        <f t="shared" si="27"/>
        <v>0</v>
      </c>
      <c r="BB17" s="76" t="b">
        <f t="shared" si="28"/>
        <v>0</v>
      </c>
      <c r="BC17" s="76" t="b">
        <f t="shared" si="29"/>
        <v>0</v>
      </c>
      <c r="BD17" s="76" t="b">
        <f t="shared" si="30"/>
        <v>0</v>
      </c>
      <c r="BE17" s="76" t="b">
        <f t="shared" si="31"/>
        <v>0</v>
      </c>
      <c r="BF17" s="76" t="b">
        <f t="shared" si="32"/>
        <v>0</v>
      </c>
      <c r="BG17" s="90" t="b">
        <f t="shared" si="33"/>
        <v>0</v>
      </c>
      <c r="BH17" s="146"/>
    </row>
    <row r="18" spans="1:60" ht="26.25" x14ac:dyDescent="0.25">
      <c r="A18" s="56" cm="1">
        <f t="array" ref="A18">SUMPRODUCT(($AV$10:$AV$68&lt;&gt;"")*(ROW($AV$10:$AV$68)&lt;=ROW()))</f>
        <v>7</v>
      </c>
      <c r="B18" s="57"/>
      <c r="C18" s="169" t="s">
        <v>230</v>
      </c>
      <c r="D18" s="93" t="s">
        <v>7</v>
      </c>
      <c r="E18" s="16"/>
      <c r="F18" s="29">
        <f t="shared" si="5"/>
        <v>46091</v>
      </c>
      <c r="G18" s="42"/>
      <c r="H18" s="29">
        <f t="shared" si="6"/>
        <v>46098</v>
      </c>
      <c r="I18" s="42"/>
      <c r="J18" s="29">
        <f t="shared" si="7"/>
        <v>46104</v>
      </c>
      <c r="K18" s="42"/>
      <c r="L18" s="29">
        <f t="shared" si="8"/>
        <v>46107</v>
      </c>
      <c r="M18" s="42"/>
      <c r="N18" s="29">
        <f t="shared" si="9"/>
        <v>46137</v>
      </c>
      <c r="O18" s="42"/>
      <c r="P18" s="29">
        <f t="shared" si="10"/>
        <v>46147</v>
      </c>
      <c r="Q18" s="42"/>
      <c r="R18" s="29">
        <f t="shared" si="11"/>
        <v>46167</v>
      </c>
      <c r="S18" s="42"/>
      <c r="T18" s="29">
        <f t="shared" si="12"/>
        <v>46174</v>
      </c>
      <c r="U18" s="42"/>
      <c r="V18" s="29">
        <f t="shared" si="13"/>
        <v>46181</v>
      </c>
      <c r="W18" s="42"/>
      <c r="X18" s="29">
        <f t="shared" si="14"/>
        <v>46186</v>
      </c>
      <c r="Y18" s="42"/>
      <c r="Z18" s="30">
        <f t="shared" si="15"/>
        <v>46196</v>
      </c>
      <c r="AA18" s="42"/>
      <c r="AB18" s="31">
        <f t="shared" si="16"/>
        <v>74</v>
      </c>
      <c r="AC18" s="16"/>
      <c r="AD18" s="131">
        <f t="shared" si="17"/>
        <v>95</v>
      </c>
      <c r="AE18" s="16"/>
      <c r="AF18" s="95"/>
      <c r="AG18" s="67"/>
      <c r="AH18" s="67">
        <v>71870400</v>
      </c>
      <c r="AI18" s="67"/>
      <c r="AJ18" s="68" t="str">
        <f>IF(AI18&gt;0,SUM(AH18)-SUM(AI18),"")</f>
        <v/>
      </c>
      <c r="AK18" s="102"/>
      <c r="AL18" s="48"/>
      <c r="AM18" s="105">
        <v>75</v>
      </c>
      <c r="AN18" s="69">
        <f t="shared" si="18"/>
        <v>46186</v>
      </c>
      <c r="AO18" s="107">
        <f t="shared" si="19"/>
        <v>-21</v>
      </c>
      <c r="AP18" s="48"/>
      <c r="AQ18" s="111"/>
      <c r="AR18" s="70">
        <f t="shared" si="20"/>
        <v>46186</v>
      </c>
      <c r="AS18" s="107">
        <f t="shared" si="21"/>
        <v>-21</v>
      </c>
      <c r="AT18" s="48"/>
      <c r="AU18" s="113">
        <f t="shared" si="22"/>
        <v>46207</v>
      </c>
      <c r="AV18" s="119" t="str" cm="1">
        <f t="array" ref="AV18">IF(OR(G18&gt;$C$6,G18=""),$F$8,INDEX($E$8:$Z$8,MATCH(TRUE,(F18:AA18=""),0)))</f>
        <v>1. Tender Docs &amp; BOQ</v>
      </c>
      <c r="AW18" s="116" t="b">
        <f t="shared" si="23"/>
        <v>0</v>
      </c>
      <c r="AX18" s="71" t="b">
        <f t="shared" si="24"/>
        <v>0</v>
      </c>
      <c r="AY18" s="71" t="b">
        <f t="shared" si="25"/>
        <v>0</v>
      </c>
      <c r="AZ18" s="71" t="b">
        <f t="shared" si="26"/>
        <v>0</v>
      </c>
      <c r="BA18" s="71" t="b">
        <f t="shared" si="27"/>
        <v>0</v>
      </c>
      <c r="BB18" s="71" t="b">
        <f t="shared" si="28"/>
        <v>0</v>
      </c>
      <c r="BC18" s="71" t="b">
        <f t="shared" si="29"/>
        <v>0</v>
      </c>
      <c r="BD18" s="71" t="b">
        <f t="shared" si="30"/>
        <v>0</v>
      </c>
      <c r="BE18" s="71" t="b">
        <f t="shared" si="31"/>
        <v>0</v>
      </c>
      <c r="BF18" s="71" t="b">
        <f t="shared" si="32"/>
        <v>0</v>
      </c>
      <c r="BG18" s="89" t="b">
        <f t="shared" si="33"/>
        <v>0</v>
      </c>
      <c r="BH18" s="146"/>
    </row>
    <row r="19" spans="1:60" ht="26.25" x14ac:dyDescent="0.25">
      <c r="A19" s="56" cm="1">
        <f t="array" ref="A19">SUMPRODUCT(($AV$10:$AV$68&lt;&gt;"")*(ROW($AV$10:$AV$68)&lt;=ROW()))</f>
        <v>8</v>
      </c>
      <c r="B19" s="57"/>
      <c r="C19" s="169" t="s">
        <v>231</v>
      </c>
      <c r="D19" s="93" t="s">
        <v>7</v>
      </c>
      <c r="E19" s="16"/>
      <c r="F19" s="29">
        <f t="shared" si="5"/>
        <v>46091</v>
      </c>
      <c r="G19" s="42"/>
      <c r="H19" s="29">
        <f t="shared" si="6"/>
        <v>46098</v>
      </c>
      <c r="I19" s="42"/>
      <c r="J19" s="29">
        <f t="shared" si="7"/>
        <v>46104</v>
      </c>
      <c r="K19" s="42"/>
      <c r="L19" s="29">
        <f t="shared" si="8"/>
        <v>46107</v>
      </c>
      <c r="M19" s="42"/>
      <c r="N19" s="29">
        <f t="shared" si="9"/>
        <v>46137</v>
      </c>
      <c r="O19" s="42"/>
      <c r="P19" s="29">
        <f t="shared" si="10"/>
        <v>46147</v>
      </c>
      <c r="Q19" s="42"/>
      <c r="R19" s="29">
        <f t="shared" si="11"/>
        <v>46167</v>
      </c>
      <c r="S19" s="42"/>
      <c r="T19" s="29">
        <f t="shared" si="12"/>
        <v>46174</v>
      </c>
      <c r="U19" s="42"/>
      <c r="V19" s="29">
        <f t="shared" si="13"/>
        <v>46181</v>
      </c>
      <c r="W19" s="42"/>
      <c r="X19" s="29">
        <f t="shared" si="14"/>
        <v>46186</v>
      </c>
      <c r="Y19" s="42"/>
      <c r="Z19" s="30">
        <f t="shared" si="15"/>
        <v>46196</v>
      </c>
      <c r="AA19" s="42"/>
      <c r="AB19" s="31">
        <f t="shared" si="16"/>
        <v>74</v>
      </c>
      <c r="AC19" s="16"/>
      <c r="AD19" s="131">
        <f t="shared" si="17"/>
        <v>95</v>
      </c>
      <c r="AE19" s="16"/>
      <c r="AF19" s="95"/>
      <c r="AG19" s="67"/>
      <c r="AH19" s="67" t="s">
        <v>134</v>
      </c>
      <c r="AI19" s="67"/>
      <c r="AJ19" s="68" t="str">
        <f>IF(AI19&gt;0,SUM(AH19)-SUM(AI19),"")</f>
        <v/>
      </c>
      <c r="AK19" s="102"/>
      <c r="AL19" s="48"/>
      <c r="AM19" s="105">
        <v>75</v>
      </c>
      <c r="AN19" s="69">
        <f t="shared" si="18"/>
        <v>46186</v>
      </c>
      <c r="AO19" s="107">
        <f t="shared" si="19"/>
        <v>-21</v>
      </c>
      <c r="AP19" s="48"/>
      <c r="AQ19" s="111"/>
      <c r="AR19" s="70">
        <f t="shared" si="20"/>
        <v>46186</v>
      </c>
      <c r="AS19" s="107">
        <f t="shared" si="21"/>
        <v>-21</v>
      </c>
      <c r="AT19" s="48"/>
      <c r="AU19" s="113">
        <f t="shared" si="22"/>
        <v>46207</v>
      </c>
      <c r="AV19" s="119" t="str" cm="1">
        <f t="array" ref="AV19">IF(OR(G19&gt;$C$6,G19=""),$F$8,INDEX($E$8:$Z$8,MATCH(TRUE,(F19:AA19=""),0)))</f>
        <v>1. Tender Docs &amp; BOQ</v>
      </c>
      <c r="AW19" s="116" t="b">
        <f t="shared" si="23"/>
        <v>0</v>
      </c>
      <c r="AX19" s="71" t="b">
        <f t="shared" si="24"/>
        <v>0</v>
      </c>
      <c r="AY19" s="71" t="b">
        <f t="shared" si="25"/>
        <v>0</v>
      </c>
      <c r="AZ19" s="71" t="b">
        <f t="shared" si="26"/>
        <v>0</v>
      </c>
      <c r="BA19" s="71" t="b">
        <f t="shared" si="27"/>
        <v>0</v>
      </c>
      <c r="BB19" s="71" t="b">
        <f t="shared" si="28"/>
        <v>0</v>
      </c>
      <c r="BC19" s="71" t="b">
        <f t="shared" si="29"/>
        <v>0</v>
      </c>
      <c r="BD19" s="71" t="b">
        <f t="shared" si="30"/>
        <v>0</v>
      </c>
      <c r="BE19" s="71" t="b">
        <f t="shared" si="31"/>
        <v>0</v>
      </c>
      <c r="BF19" s="71" t="b">
        <f t="shared" si="32"/>
        <v>0</v>
      </c>
      <c r="BG19" s="89" t="b">
        <f t="shared" si="33"/>
        <v>0</v>
      </c>
      <c r="BH19" s="146"/>
    </row>
    <row r="20" spans="1:60" ht="26.25" x14ac:dyDescent="0.25">
      <c r="A20" s="56" cm="1">
        <f t="array" ref="A20">SUMPRODUCT(($AV$10:$AV$68&lt;&gt;"")*(ROW($AV$10:$AV$68)&lt;=ROW()))</f>
        <v>9</v>
      </c>
      <c r="B20" s="59"/>
      <c r="C20" s="170" t="s">
        <v>232</v>
      </c>
      <c r="D20" s="59" t="s">
        <v>7</v>
      </c>
      <c r="E20" s="43"/>
      <c r="F20" s="44">
        <f t="shared" si="5"/>
        <v>46091</v>
      </c>
      <c r="G20" s="45"/>
      <c r="H20" s="44">
        <f t="shared" si="6"/>
        <v>46098</v>
      </c>
      <c r="I20" s="45"/>
      <c r="J20" s="44">
        <f t="shared" si="7"/>
        <v>46104</v>
      </c>
      <c r="K20" s="45"/>
      <c r="L20" s="44">
        <f t="shared" si="8"/>
        <v>46107</v>
      </c>
      <c r="M20" s="45"/>
      <c r="N20" s="44">
        <f t="shared" si="9"/>
        <v>46137</v>
      </c>
      <c r="O20" s="45"/>
      <c r="P20" s="44">
        <f t="shared" si="10"/>
        <v>46147</v>
      </c>
      <c r="Q20" s="45"/>
      <c r="R20" s="44">
        <f t="shared" si="11"/>
        <v>46167</v>
      </c>
      <c r="S20" s="45"/>
      <c r="T20" s="44">
        <f t="shared" si="12"/>
        <v>46174</v>
      </c>
      <c r="U20" s="45"/>
      <c r="V20" s="44">
        <f t="shared" si="13"/>
        <v>46181</v>
      </c>
      <c r="W20" s="45"/>
      <c r="X20" s="44">
        <f t="shared" ref="X20" si="34">AN20</f>
        <v>46186</v>
      </c>
      <c r="Y20" s="45"/>
      <c r="Z20" s="46">
        <f t="shared" si="15"/>
        <v>46196</v>
      </c>
      <c r="AA20" s="45"/>
      <c r="AB20" s="32">
        <f t="shared" si="16"/>
        <v>74</v>
      </c>
      <c r="AC20" s="16"/>
      <c r="AD20" s="131">
        <f t="shared" si="17"/>
        <v>95</v>
      </c>
      <c r="AE20" s="16"/>
      <c r="AF20" s="96"/>
      <c r="AG20" s="72"/>
      <c r="AH20" s="72" t="s">
        <v>134</v>
      </c>
      <c r="AI20" s="72"/>
      <c r="AJ20" s="73" t="str">
        <f>IF(AI20&gt;0,SUM(AH20)-SUM(AI20),"")</f>
        <v/>
      </c>
      <c r="AK20" s="101"/>
      <c r="AL20" s="48"/>
      <c r="AM20" s="104">
        <v>75</v>
      </c>
      <c r="AN20" s="74">
        <f t="shared" si="18"/>
        <v>46186</v>
      </c>
      <c r="AO20" s="108">
        <f t="shared" si="19"/>
        <v>-21</v>
      </c>
      <c r="AP20" s="48"/>
      <c r="AQ20" s="110"/>
      <c r="AR20" s="75">
        <f t="shared" si="20"/>
        <v>46186</v>
      </c>
      <c r="AS20" s="108">
        <f t="shared" si="21"/>
        <v>-21</v>
      </c>
      <c r="AT20" s="48"/>
      <c r="AU20" s="114">
        <f t="shared" ref="AU20" si="35">IF(Y20&gt;0,Y20,IFERROR(MAX(_xlfn.XLOOKUP($AV20,$H$8:$Z$8,$G20:$Y20),$C$6)+(AN20-_xlfn.XLOOKUP($AV20,$H$8:$Z$8,$F20:$X20))*AD20/SUM($H$7:$Y$7),$C$6+SUM(AD20)))</f>
        <v>46207</v>
      </c>
      <c r="AV20" s="120" t="str" cm="1">
        <f t="array" ref="AV20">IF(OR(G20&gt;$C$6,G20=""),$F$8,INDEX($E$8:$Z$8,MATCH(TRUE,(F20:AA20=""),0)))</f>
        <v>1. Tender Docs &amp; BOQ</v>
      </c>
      <c r="AW20" s="117" t="b">
        <f t="shared" si="23"/>
        <v>0</v>
      </c>
      <c r="AX20" s="76" t="b">
        <f t="shared" si="24"/>
        <v>0</v>
      </c>
      <c r="AY20" s="76" t="b">
        <f t="shared" si="25"/>
        <v>0</v>
      </c>
      <c r="AZ20" s="76" t="b">
        <f t="shared" si="26"/>
        <v>0</v>
      </c>
      <c r="BA20" s="76" t="b">
        <f t="shared" si="27"/>
        <v>0</v>
      </c>
      <c r="BB20" s="76" t="b">
        <f t="shared" si="28"/>
        <v>0</v>
      </c>
      <c r="BC20" s="76" t="b">
        <f t="shared" si="29"/>
        <v>0</v>
      </c>
      <c r="BD20" s="76" t="b">
        <f t="shared" si="30"/>
        <v>0</v>
      </c>
      <c r="BE20" s="76" t="b">
        <f t="shared" si="31"/>
        <v>0</v>
      </c>
      <c r="BF20" s="76" t="b">
        <f t="shared" si="32"/>
        <v>0</v>
      </c>
      <c r="BG20" s="90" t="b">
        <f t="shared" si="33"/>
        <v>0</v>
      </c>
      <c r="BH20" s="146"/>
    </row>
    <row r="21" spans="1:60" ht="23.25" x14ac:dyDescent="0.25">
      <c r="A21" s="54"/>
      <c r="B21" s="49"/>
      <c r="C21" s="50" t="s">
        <v>128</v>
      </c>
      <c r="D21" s="51"/>
      <c r="E21" s="51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1"/>
      <c r="AC21" s="51"/>
      <c r="AD21" s="132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  <c r="BC21" s="51"/>
      <c r="BD21" s="51"/>
      <c r="BE21" s="51"/>
      <c r="BF21" s="51"/>
      <c r="BG21" s="88"/>
      <c r="BH21" s="146"/>
    </row>
    <row r="22" spans="1:60" ht="26.25" x14ac:dyDescent="0.25">
      <c r="A22" s="56" cm="1">
        <f t="array" ref="A22">SUMPRODUCT(($AV$10:$AV$68&lt;&gt;"")*(ROW($AV$10:$AV$68)&lt;=ROW()))</f>
        <v>10</v>
      </c>
      <c r="B22" s="59"/>
      <c r="C22" s="60" t="s">
        <v>233</v>
      </c>
      <c r="D22" s="59" t="s">
        <v>3</v>
      </c>
      <c r="E22" s="43"/>
      <c r="F22" s="44">
        <f>H22-$H$7</f>
        <v>46116</v>
      </c>
      <c r="G22" s="45"/>
      <c r="H22" s="44">
        <f>J22-$J$7</f>
        <v>46123</v>
      </c>
      <c r="I22" s="45"/>
      <c r="J22" s="44">
        <f>L22-$L$7</f>
        <v>46129</v>
      </c>
      <c r="K22" s="45"/>
      <c r="L22" s="44">
        <f>N22-$N$7</f>
        <v>46132</v>
      </c>
      <c r="M22" s="45"/>
      <c r="N22" s="44">
        <f>P22-$P$7</f>
        <v>46162</v>
      </c>
      <c r="O22" s="45"/>
      <c r="P22" s="44">
        <f>R22-$R$7</f>
        <v>46172</v>
      </c>
      <c r="Q22" s="45"/>
      <c r="R22" s="44">
        <f>T22-$T$7</f>
        <v>46192</v>
      </c>
      <c r="S22" s="45"/>
      <c r="T22" s="44">
        <f>V22-$V$7</f>
        <v>46199</v>
      </c>
      <c r="U22" s="45"/>
      <c r="V22" s="44">
        <f>X22-$X$7</f>
        <v>46206</v>
      </c>
      <c r="W22" s="45"/>
      <c r="X22" s="44">
        <f t="shared" ref="X22:X25" si="36">AN22</f>
        <v>46211</v>
      </c>
      <c r="Y22" s="45"/>
      <c r="Z22" s="46">
        <f>X22+$Z$7</f>
        <v>46221</v>
      </c>
      <c r="AA22" s="45"/>
      <c r="AB22" s="32">
        <f>IF(AV22="10. Issued to Contractor","-",IF(AV22="11. Subcontract Agreement signed","-",MAX(AN22,AR22)-$C$6))</f>
        <v>99</v>
      </c>
      <c r="AC22" s="16"/>
      <c r="AD22" s="131">
        <f t="shared" ref="AD22:AD26" si="37">SUM($H$7:$Y$7)</f>
        <v>95</v>
      </c>
      <c r="AE22" s="16"/>
      <c r="AF22" s="96"/>
      <c r="AG22" s="72"/>
      <c r="AH22" s="72">
        <v>43705730</v>
      </c>
      <c r="AI22" s="72"/>
      <c r="AJ22" s="73" t="str">
        <f>IF(AI22&gt;0,SUM(AH22)-SUM(AI22),"")</f>
        <v/>
      </c>
      <c r="AK22" s="101"/>
      <c r="AL22" s="48"/>
      <c r="AM22" s="104">
        <v>100</v>
      </c>
      <c r="AN22" s="74">
        <f>$M$3+AM22-1</f>
        <v>46211</v>
      </c>
      <c r="AO22" s="108">
        <f>AN22-AU22</f>
        <v>4</v>
      </c>
      <c r="AP22" s="48"/>
      <c r="AQ22" s="110"/>
      <c r="AR22" s="75">
        <f>IFERROR(WORKDAY.INTL(AN22,AQ22,11),"")</f>
        <v>46211</v>
      </c>
      <c r="AS22" s="108">
        <f>AR22-AU22</f>
        <v>4</v>
      </c>
      <c r="AT22" s="48"/>
      <c r="AU22" s="114">
        <f t="shared" ref="AU22:AU25" si="38">IF(Y22&gt;0,Y22,IFERROR(MAX(_xlfn.XLOOKUP($AV22,$H$8:$Z$8,$G22:$Y22),$C$6)+(AN22-_xlfn.XLOOKUP($AV22,$H$8:$Z$8,$F22:$X22))*AD22/SUM($H$7:$Y$7),$C$6+SUM(AD22)))</f>
        <v>46207</v>
      </c>
      <c r="AV22" s="120" t="str" cm="1">
        <f t="array" ref="AV22">IF(OR(G22&gt;$C$6,G22=""),$F$8,INDEX($E$8:$Z$8,MATCH(TRUE,(F22:AA22=""),0)))</f>
        <v>1. Tender Docs &amp; BOQ</v>
      </c>
      <c r="AW22" s="117" t="b">
        <f>IF(AND(G22&gt;0,G22&lt;$C$6),TRUE,FALSE)</f>
        <v>0</v>
      </c>
      <c r="AX22" s="76" t="b">
        <f>IF(AND(I22&gt;0,I22&lt;$C$6),TRUE,FALSE)</f>
        <v>0</v>
      </c>
      <c r="AY22" s="76" t="b">
        <f>IF(AND(K22&gt;0,K22&lt;$C$6),TRUE,FALSE)</f>
        <v>0</v>
      </c>
      <c r="AZ22" s="76" t="b">
        <f>IF(AND(M22&gt;0,M22&lt;$C$6),TRUE,FALSE)</f>
        <v>0</v>
      </c>
      <c r="BA22" s="76" t="b">
        <f>IF(AND(O22&gt;0,O22&lt;$C$6),TRUE,FALSE)</f>
        <v>0</v>
      </c>
      <c r="BB22" s="76" t="b">
        <f>IF(AND(Q22&gt;0,Q22&lt;$C$6),TRUE,FALSE)</f>
        <v>0</v>
      </c>
      <c r="BC22" s="76" t="b">
        <f>IF(AND(S22&gt;0,S22&lt;$C$6),TRUE,FALSE)</f>
        <v>0</v>
      </c>
      <c r="BD22" s="76" t="b">
        <f>IF(AND(U22&gt;0,U22&lt;$C$6),TRUE,FALSE)</f>
        <v>0</v>
      </c>
      <c r="BE22" s="76" t="b">
        <f>IF(AND(W22&gt;0,W22&lt;$C$6),TRUE,FALSE)</f>
        <v>0</v>
      </c>
      <c r="BF22" s="76" t="b">
        <f>IF(AND(Y22&gt;0,Y22&lt;$C$6),TRUE,FALSE)</f>
        <v>0</v>
      </c>
      <c r="BG22" s="90" t="b">
        <f>IF(AND(AA22&gt;0,AA22&lt;$C$6),TRUE,FALSE)</f>
        <v>0</v>
      </c>
      <c r="BH22" s="146"/>
    </row>
    <row r="23" spans="1:60" ht="26.25" x14ac:dyDescent="0.25">
      <c r="A23" s="56"/>
      <c r="B23" s="59"/>
      <c r="C23" s="60"/>
      <c r="D23" s="59"/>
      <c r="E23" s="43"/>
      <c r="F23" s="44"/>
      <c r="G23" s="45"/>
      <c r="H23" s="44"/>
      <c r="I23" s="45"/>
      <c r="J23" s="44"/>
      <c r="K23" s="45"/>
      <c r="L23" s="44"/>
      <c r="M23" s="45"/>
      <c r="N23" s="44"/>
      <c r="O23" s="45"/>
      <c r="P23" s="44"/>
      <c r="Q23" s="45"/>
      <c r="R23" s="44"/>
      <c r="S23" s="45"/>
      <c r="T23" s="44"/>
      <c r="U23" s="45"/>
      <c r="V23" s="44"/>
      <c r="W23" s="45"/>
      <c r="X23" s="44"/>
      <c r="Y23" s="45"/>
      <c r="Z23" s="46"/>
      <c r="AA23" s="45"/>
      <c r="AB23" s="32"/>
      <c r="AC23" s="16"/>
      <c r="AD23" s="131"/>
      <c r="AE23" s="16"/>
      <c r="AF23" s="96"/>
      <c r="AG23" s="72"/>
      <c r="AH23" s="72"/>
      <c r="AI23" s="72"/>
      <c r="AJ23" s="73"/>
      <c r="AK23" s="101"/>
      <c r="AL23" s="48"/>
      <c r="AM23" s="104"/>
      <c r="AN23" s="74"/>
      <c r="AO23" s="108"/>
      <c r="AP23" s="48"/>
      <c r="AQ23" s="110"/>
      <c r="AR23" s="75"/>
      <c r="AS23" s="108"/>
      <c r="AT23" s="48"/>
      <c r="AU23" s="114"/>
      <c r="AV23" s="120"/>
      <c r="AW23" s="166" t="b">
        <v>0</v>
      </c>
      <c r="AX23" s="166" t="b">
        <v>0</v>
      </c>
      <c r="AY23" s="166" t="b">
        <v>0</v>
      </c>
      <c r="AZ23" s="166" t="b">
        <v>0</v>
      </c>
      <c r="BA23" s="166" t="b">
        <v>0</v>
      </c>
      <c r="BB23" s="166" t="b">
        <v>0</v>
      </c>
      <c r="BC23" s="166" t="b">
        <v>0</v>
      </c>
      <c r="BD23" s="166" t="b">
        <v>0</v>
      </c>
      <c r="BE23" s="166" t="b">
        <v>0</v>
      </c>
      <c r="BF23" s="166" t="b">
        <v>0</v>
      </c>
      <c r="BG23" s="167" t="b">
        <v>0</v>
      </c>
      <c r="BH23" s="146"/>
    </row>
    <row r="24" spans="1:60" ht="26.25" x14ac:dyDescent="0.25">
      <c r="A24" s="56" cm="1">
        <f t="array" ref="A24">SUMPRODUCT(($AV$10:$AV$68&lt;&gt;"")*(ROW($AV$10:$AV$68)&lt;=ROW()))</f>
        <v>11</v>
      </c>
      <c r="B24" s="59"/>
      <c r="C24" s="60" t="s">
        <v>235</v>
      </c>
      <c r="D24" s="59" t="s">
        <v>3</v>
      </c>
      <c r="E24" s="43"/>
      <c r="F24" s="44">
        <f>H24-$H$7</f>
        <v>46016</v>
      </c>
      <c r="G24" s="45"/>
      <c r="H24" s="44">
        <f>J24-$J$7</f>
        <v>46023</v>
      </c>
      <c r="I24" s="45"/>
      <c r="J24" s="44">
        <f>L24-$L$7</f>
        <v>46029</v>
      </c>
      <c r="K24" s="45"/>
      <c r="L24" s="44">
        <f>N24-$N$7</f>
        <v>46032</v>
      </c>
      <c r="M24" s="45"/>
      <c r="N24" s="44">
        <f>P24-$P$7</f>
        <v>46062</v>
      </c>
      <c r="O24" s="45"/>
      <c r="P24" s="44">
        <f>R24-$R$7</f>
        <v>46072</v>
      </c>
      <c r="Q24" s="45"/>
      <c r="R24" s="44">
        <f>T24-$T$7</f>
        <v>46092</v>
      </c>
      <c r="S24" s="45"/>
      <c r="T24" s="44">
        <f>V24-$V$7</f>
        <v>46099</v>
      </c>
      <c r="U24" s="45"/>
      <c r="V24" s="44">
        <f>X24-$X$7</f>
        <v>46106</v>
      </c>
      <c r="W24" s="45"/>
      <c r="X24" s="44">
        <f t="shared" si="36"/>
        <v>46111</v>
      </c>
      <c r="Y24" s="45"/>
      <c r="Z24" s="46">
        <f>X24+$Z$7</f>
        <v>46121</v>
      </c>
      <c r="AA24" s="45"/>
      <c r="AB24" s="32">
        <f>IF(AV24="10. Issued to Contractor","-",IF(AV24="11. Subcontract Agreement signed","-",MAX(AN24,AR24)-$C$6))</f>
        <v>-1</v>
      </c>
      <c r="AC24" s="16"/>
      <c r="AD24" s="131">
        <f t="shared" si="37"/>
        <v>95</v>
      </c>
      <c r="AE24" s="16"/>
      <c r="AF24" s="96"/>
      <c r="AG24" s="72"/>
      <c r="AH24" s="72" t="s">
        <v>134</v>
      </c>
      <c r="AI24" s="72"/>
      <c r="AJ24" s="73" t="str">
        <f>IF(AI24&gt;0,SUM(AH24)-SUM(AI24),"")</f>
        <v/>
      </c>
      <c r="AK24" s="101"/>
      <c r="AL24" s="48"/>
      <c r="AM24" s="104">
        <f t="shared" ref="AM24:AM26" si="39">AM23</f>
        <v>0</v>
      </c>
      <c r="AN24" s="74">
        <f>$M$3+AM24-1</f>
        <v>46111</v>
      </c>
      <c r="AO24" s="108">
        <f>AN24-AU24</f>
        <v>-96</v>
      </c>
      <c r="AP24" s="48"/>
      <c r="AQ24" s="110"/>
      <c r="AR24" s="75">
        <f>IFERROR(WORKDAY.INTL(AN24,AQ24,11),"")</f>
        <v>46111</v>
      </c>
      <c r="AS24" s="108">
        <f>AR24-AU24</f>
        <v>-96</v>
      </c>
      <c r="AT24" s="48"/>
      <c r="AU24" s="114">
        <f t="shared" si="38"/>
        <v>46207</v>
      </c>
      <c r="AV24" s="120" t="str" cm="1">
        <f t="array" ref="AV24">IF(OR(G24&gt;$C$6,G24=""),$F$8,INDEX($E$8:$Z$8,MATCH(TRUE,(F24:AA24=""),0)))</f>
        <v>1. Tender Docs &amp; BOQ</v>
      </c>
      <c r="AW24" s="117" t="b">
        <f>IF(AND(G24&gt;0,G24&lt;$C$6),TRUE,FALSE)</f>
        <v>0</v>
      </c>
      <c r="AX24" s="76" t="b">
        <f>IF(AND(I24&gt;0,I24&lt;$C$6),TRUE,FALSE)</f>
        <v>0</v>
      </c>
      <c r="AY24" s="76" t="b">
        <f>IF(AND(K24&gt;0,K24&lt;$C$6),TRUE,FALSE)</f>
        <v>0</v>
      </c>
      <c r="AZ24" s="76" t="b">
        <f>IF(AND(M24&gt;0,M24&lt;$C$6),TRUE,FALSE)</f>
        <v>0</v>
      </c>
      <c r="BA24" s="76" t="b">
        <f>IF(AND(O24&gt;0,O24&lt;$C$6),TRUE,FALSE)</f>
        <v>0</v>
      </c>
      <c r="BB24" s="76" t="b">
        <f>IF(AND(Q24&gt;0,Q24&lt;$C$6),TRUE,FALSE)</f>
        <v>0</v>
      </c>
      <c r="BC24" s="76" t="b">
        <f>IF(AND(S24&gt;0,S24&lt;$C$6),TRUE,FALSE)</f>
        <v>0</v>
      </c>
      <c r="BD24" s="76" t="b">
        <f>IF(AND(U24&gt;0,U24&lt;$C$6),TRUE,FALSE)</f>
        <v>0</v>
      </c>
      <c r="BE24" s="76" t="b">
        <f>IF(AND(W24&gt;0,W24&lt;$C$6),TRUE,FALSE)</f>
        <v>0</v>
      </c>
      <c r="BF24" s="76" t="b">
        <f>IF(AND(Y24&gt;0,Y24&lt;$C$6),TRUE,FALSE)</f>
        <v>0</v>
      </c>
      <c r="BG24" s="90" t="b">
        <f>IF(AND(AA24&gt;0,AA24&lt;$C$6),TRUE,FALSE)</f>
        <v>0</v>
      </c>
      <c r="BH24" s="146"/>
    </row>
    <row r="25" spans="1:60" ht="26.25" x14ac:dyDescent="0.25">
      <c r="A25" s="56" cm="1">
        <f t="array" ref="A25">SUMPRODUCT(($AV$10:$AV$68&lt;&gt;"")*(ROW($AV$10:$AV$68)&lt;=ROW()))</f>
        <v>12</v>
      </c>
      <c r="B25" s="57"/>
      <c r="C25" s="58" t="s">
        <v>236</v>
      </c>
      <c r="D25" s="93" t="s">
        <v>3</v>
      </c>
      <c r="E25" s="16"/>
      <c r="F25" s="29">
        <f>H25-$H$7</f>
        <v>46016</v>
      </c>
      <c r="G25" s="42"/>
      <c r="H25" s="29">
        <f>J25-$J$7</f>
        <v>46023</v>
      </c>
      <c r="I25" s="42"/>
      <c r="J25" s="29">
        <f>L25-$L$7</f>
        <v>46029</v>
      </c>
      <c r="K25" s="42"/>
      <c r="L25" s="29">
        <f>N25-$N$7</f>
        <v>46032</v>
      </c>
      <c r="M25" s="42"/>
      <c r="N25" s="29">
        <f>P25-$P$7</f>
        <v>46062</v>
      </c>
      <c r="O25" s="42"/>
      <c r="P25" s="29">
        <f>R25-$R$7</f>
        <v>46072</v>
      </c>
      <c r="Q25" s="42"/>
      <c r="R25" s="29">
        <f>T25-$T$7</f>
        <v>46092</v>
      </c>
      <c r="S25" s="42"/>
      <c r="T25" s="29">
        <f>V25-$V$7</f>
        <v>46099</v>
      </c>
      <c r="U25" s="42"/>
      <c r="V25" s="29">
        <f>X25-$X$7</f>
        <v>46106</v>
      </c>
      <c r="W25" s="42"/>
      <c r="X25" s="29">
        <f t="shared" si="36"/>
        <v>46111</v>
      </c>
      <c r="Y25" s="42"/>
      <c r="Z25" s="30">
        <f>X25+$Z$7</f>
        <v>46121</v>
      </c>
      <c r="AA25" s="42"/>
      <c r="AB25" s="31">
        <f>IF(AV25="10. Issued to Contractor","-",IF(AV25="11. Subcontract Agreement signed","-",MAX(AN25,AR25)-$C$6))</f>
        <v>-1</v>
      </c>
      <c r="AC25" s="16"/>
      <c r="AD25" s="131">
        <f t="shared" si="37"/>
        <v>95</v>
      </c>
      <c r="AE25" s="16"/>
      <c r="AF25" s="95"/>
      <c r="AG25" s="67"/>
      <c r="AH25" s="67" t="s">
        <v>134</v>
      </c>
      <c r="AI25" s="67"/>
      <c r="AJ25" s="68" t="str">
        <f>IF(AI25&gt;0,SUM(AH25)-SUM(AI25),"")</f>
        <v/>
      </c>
      <c r="AK25" s="102"/>
      <c r="AL25" s="48"/>
      <c r="AM25" s="105">
        <f t="shared" si="39"/>
        <v>0</v>
      </c>
      <c r="AN25" s="69">
        <f>$M$3+AM25-1</f>
        <v>46111</v>
      </c>
      <c r="AO25" s="107">
        <f>AN25-AU25</f>
        <v>-96</v>
      </c>
      <c r="AP25" s="48"/>
      <c r="AQ25" s="111"/>
      <c r="AR25" s="70">
        <f>IFERROR(WORKDAY.INTL(AN25,AQ25,11),"")</f>
        <v>46111</v>
      </c>
      <c r="AS25" s="107">
        <f>AR25-AU25</f>
        <v>-96</v>
      </c>
      <c r="AT25" s="48"/>
      <c r="AU25" s="113">
        <f t="shared" si="38"/>
        <v>46207</v>
      </c>
      <c r="AV25" s="119" t="str" cm="1">
        <f t="array" ref="AV25">IF(OR(G25&gt;$C$6,G25=""),$F$8,INDEX($E$8:$Z$8,MATCH(TRUE,(F25:AA25=""),0)))</f>
        <v>1. Tender Docs &amp; BOQ</v>
      </c>
      <c r="AW25" s="116" t="b">
        <f>IF(AND(G25&gt;0,G25&lt;$C$6),TRUE,FALSE)</f>
        <v>0</v>
      </c>
      <c r="AX25" s="71" t="b">
        <f>IF(AND(I25&gt;0,I25&lt;$C$6),TRUE,FALSE)</f>
        <v>0</v>
      </c>
      <c r="AY25" s="71" t="b">
        <f>IF(AND(K25&gt;0,K25&lt;$C$6),TRUE,FALSE)</f>
        <v>0</v>
      </c>
      <c r="AZ25" s="71" t="b">
        <f>IF(AND(M25&gt;0,M25&lt;$C$6),TRUE,FALSE)</f>
        <v>0</v>
      </c>
      <c r="BA25" s="71" t="b">
        <f>IF(AND(O25&gt;0,O25&lt;$C$6),TRUE,FALSE)</f>
        <v>0</v>
      </c>
      <c r="BB25" s="71" t="b">
        <f>IF(AND(Q25&gt;0,Q25&lt;$C$6),TRUE,FALSE)</f>
        <v>0</v>
      </c>
      <c r="BC25" s="71" t="b">
        <f>IF(AND(S25&gt;0,S25&lt;$C$6),TRUE,FALSE)</f>
        <v>0</v>
      </c>
      <c r="BD25" s="71" t="b">
        <f>IF(AND(U25&gt;0,U25&lt;$C$6),TRUE,FALSE)</f>
        <v>0</v>
      </c>
      <c r="BE25" s="71" t="b">
        <f>IF(AND(W25&gt;0,W25&lt;$C$6),TRUE,FALSE)</f>
        <v>0</v>
      </c>
      <c r="BF25" s="71" t="b">
        <f>IF(AND(Y25&gt;0,Y25&lt;$C$6),TRUE,FALSE)</f>
        <v>0</v>
      </c>
      <c r="BG25" s="89" t="b">
        <f>IF(AND(AA25&gt;0,AA25&lt;$C$6),TRUE,FALSE)</f>
        <v>0</v>
      </c>
      <c r="BH25" s="146"/>
    </row>
    <row r="26" spans="1:60" ht="26.25" x14ac:dyDescent="0.25">
      <c r="A26" s="56" cm="1">
        <f t="array" ref="A26">SUMPRODUCT(($AV$10:$AV$68&lt;&gt;"")*(ROW($AV$10:$AV$68)&lt;=ROW()))</f>
        <v>13</v>
      </c>
      <c r="B26" s="59"/>
      <c r="C26" s="60" t="s">
        <v>237</v>
      </c>
      <c r="D26" s="59" t="s">
        <v>3</v>
      </c>
      <c r="E26" s="43"/>
      <c r="F26" s="44">
        <f>H26-$H$7</f>
        <v>46016</v>
      </c>
      <c r="G26" s="45"/>
      <c r="H26" s="44">
        <f>J26-$J$7</f>
        <v>46023</v>
      </c>
      <c r="I26" s="45"/>
      <c r="J26" s="44">
        <f>L26-$L$7</f>
        <v>46029</v>
      </c>
      <c r="K26" s="45"/>
      <c r="L26" s="44">
        <f>N26-$N$7</f>
        <v>46032</v>
      </c>
      <c r="M26" s="45"/>
      <c r="N26" s="44">
        <f>P26-$P$7</f>
        <v>46062</v>
      </c>
      <c r="O26" s="45"/>
      <c r="P26" s="44">
        <f>R26-$R$7</f>
        <v>46072</v>
      </c>
      <c r="Q26" s="45"/>
      <c r="R26" s="44">
        <f>T26-$T$7</f>
        <v>46092</v>
      </c>
      <c r="S26" s="45"/>
      <c r="T26" s="44">
        <f>V26-$V$7</f>
        <v>46099</v>
      </c>
      <c r="U26" s="45"/>
      <c r="V26" s="44">
        <f>X26-$X$7</f>
        <v>46106</v>
      </c>
      <c r="W26" s="45"/>
      <c r="X26" s="44">
        <f t="shared" ref="X26" si="40">AN26</f>
        <v>46111</v>
      </c>
      <c r="Y26" s="45"/>
      <c r="Z26" s="46">
        <f>X26+$Z$7</f>
        <v>46121</v>
      </c>
      <c r="AA26" s="45"/>
      <c r="AB26" s="32">
        <f>IF(AV26="10. Issued to Contractor","-",IF(AV26="11. Subcontract Agreement signed","-",MAX(AN26,AR26)-$C$6))</f>
        <v>-1</v>
      </c>
      <c r="AC26" s="16"/>
      <c r="AD26" s="131">
        <f t="shared" si="37"/>
        <v>95</v>
      </c>
      <c r="AE26" s="16"/>
      <c r="AF26" s="96"/>
      <c r="AG26" s="72"/>
      <c r="AH26" s="72" t="s">
        <v>134</v>
      </c>
      <c r="AI26" s="72"/>
      <c r="AJ26" s="73" t="str">
        <f>IF(AI26&gt;0,SUM(AH26)-SUM(AI26),"")</f>
        <v/>
      </c>
      <c r="AK26" s="101"/>
      <c r="AL26" s="48"/>
      <c r="AM26" s="104">
        <f t="shared" si="39"/>
        <v>0</v>
      </c>
      <c r="AN26" s="74">
        <f>$M$3+AM26-1</f>
        <v>46111</v>
      </c>
      <c r="AO26" s="108">
        <f>AN26-AU26</f>
        <v>-96</v>
      </c>
      <c r="AP26" s="48"/>
      <c r="AQ26" s="110"/>
      <c r="AR26" s="75">
        <f>IFERROR(WORKDAY.INTL(AN26,AQ26,11),"")</f>
        <v>46111</v>
      </c>
      <c r="AS26" s="108">
        <f>AR26-AU26</f>
        <v>-96</v>
      </c>
      <c r="AT26" s="48"/>
      <c r="AU26" s="114">
        <f t="shared" ref="AU26" si="41">IF(Y26&gt;0,Y26,IFERROR(MAX(_xlfn.XLOOKUP($AV26,$H$8:$Z$8,$G26:$Y26),$C$6)+(AN26-_xlfn.XLOOKUP($AV26,$H$8:$Z$8,$F26:$X26))*AD26/SUM($H$7:$Y$7),$C$6+SUM(AD26)))</f>
        <v>46207</v>
      </c>
      <c r="AV26" s="120" t="str" cm="1">
        <f t="array" ref="AV26">IF(OR(G26&gt;$C$6,G26=""),$F$8,INDEX($E$8:$Z$8,MATCH(TRUE,(F26:AA26=""),0)))</f>
        <v>1. Tender Docs &amp; BOQ</v>
      </c>
      <c r="AW26" s="117" t="b">
        <f>IF(AND(G26&gt;0,G26&lt;$C$6),TRUE,FALSE)</f>
        <v>0</v>
      </c>
      <c r="AX26" s="76" t="b">
        <f>IF(AND(I26&gt;0,I26&lt;$C$6),TRUE,FALSE)</f>
        <v>0</v>
      </c>
      <c r="AY26" s="76" t="b">
        <f>IF(AND(K26&gt;0,K26&lt;$C$6),TRUE,FALSE)</f>
        <v>0</v>
      </c>
      <c r="AZ26" s="76" t="b">
        <f>IF(AND(M26&gt;0,M26&lt;$C$6),TRUE,FALSE)</f>
        <v>0</v>
      </c>
      <c r="BA26" s="76" t="b">
        <f>IF(AND(O26&gt;0,O26&lt;$C$6),TRUE,FALSE)</f>
        <v>0</v>
      </c>
      <c r="BB26" s="76" t="b">
        <f>IF(AND(Q26&gt;0,Q26&lt;$C$6),TRUE,FALSE)</f>
        <v>0</v>
      </c>
      <c r="BC26" s="76" t="b">
        <f>IF(AND(S26&gt;0,S26&lt;$C$6),TRUE,FALSE)</f>
        <v>0</v>
      </c>
      <c r="BD26" s="76" t="b">
        <f>IF(AND(U26&gt;0,U26&lt;$C$6),TRUE,FALSE)</f>
        <v>0</v>
      </c>
      <c r="BE26" s="76" t="b">
        <f>IF(AND(W26&gt;0,W26&lt;$C$6),TRUE,FALSE)</f>
        <v>0</v>
      </c>
      <c r="BF26" s="76" t="b">
        <f>IF(AND(Y26&gt;0,Y26&lt;$C$6),TRUE,FALSE)</f>
        <v>0</v>
      </c>
      <c r="BG26" s="90" t="b">
        <f>IF(AND(AA26&gt;0,AA26&lt;$C$6),TRUE,FALSE)</f>
        <v>0</v>
      </c>
      <c r="BH26" s="146"/>
    </row>
    <row r="27" spans="1:60" ht="23.25" x14ac:dyDescent="0.25">
      <c r="A27" s="54"/>
      <c r="B27" s="49"/>
      <c r="C27" s="50" t="s">
        <v>137</v>
      </c>
      <c r="D27" s="51"/>
      <c r="E27" s="51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1"/>
      <c r="AC27" s="51"/>
      <c r="AD27" s="132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88"/>
      <c r="BH27" s="146"/>
    </row>
    <row r="28" spans="1:60" ht="26.25" x14ac:dyDescent="0.25">
      <c r="A28" s="56" cm="1">
        <f t="array" ref="A28">SUMPRODUCT(($AV$10:$AV$68&lt;&gt;"")*(ROW($AV$10:$AV$68)&lt;=ROW()))</f>
        <v>14</v>
      </c>
      <c r="B28" s="59"/>
      <c r="C28" s="60" t="s">
        <v>238</v>
      </c>
      <c r="D28" s="59" t="s">
        <v>11</v>
      </c>
      <c r="E28" s="43"/>
      <c r="F28" s="44">
        <f t="shared" ref="F28:F40" si="42">H28-$H$7</f>
        <v>46096</v>
      </c>
      <c r="G28" s="45"/>
      <c r="H28" s="44">
        <f t="shared" ref="H28:H40" si="43">J28-$J$7</f>
        <v>46103</v>
      </c>
      <c r="I28" s="45"/>
      <c r="J28" s="44">
        <f t="shared" ref="J28:J40" si="44">L28-$L$7</f>
        <v>46109</v>
      </c>
      <c r="K28" s="45"/>
      <c r="L28" s="44">
        <f t="shared" ref="L28:L40" si="45">N28-$N$7</f>
        <v>46112</v>
      </c>
      <c r="M28" s="45"/>
      <c r="N28" s="44">
        <f t="shared" ref="N28:N40" si="46">P28-$P$7</f>
        <v>46142</v>
      </c>
      <c r="O28" s="45"/>
      <c r="P28" s="44">
        <f t="shared" ref="P28:P40" si="47">R28-$R$7</f>
        <v>46152</v>
      </c>
      <c r="Q28" s="45"/>
      <c r="R28" s="44">
        <f t="shared" ref="R28:R40" si="48">T28-$T$7</f>
        <v>46172</v>
      </c>
      <c r="S28" s="45"/>
      <c r="T28" s="44">
        <f t="shared" ref="T28:T40" si="49">V28-$V$7</f>
        <v>46179</v>
      </c>
      <c r="U28" s="45"/>
      <c r="V28" s="44">
        <f t="shared" ref="V28:V40" si="50">X28-$X$7</f>
        <v>46186</v>
      </c>
      <c r="W28" s="45"/>
      <c r="X28" s="44">
        <f t="shared" ref="X28:X40" si="51">AN28</f>
        <v>46191</v>
      </c>
      <c r="Y28" s="45"/>
      <c r="Z28" s="46">
        <f t="shared" ref="Z28:Z40" si="52">X28+$Z$7</f>
        <v>46201</v>
      </c>
      <c r="AA28" s="45"/>
      <c r="AB28" s="32">
        <f t="shared" ref="AB28:AB40" si="53">IF(AV28="10. Issued to Contractor","-",IF(AV28="11. Subcontract Agreement signed","-",MAX(AN28,AR28)-$C$6))</f>
        <v>79</v>
      </c>
      <c r="AC28" s="16"/>
      <c r="AD28" s="131">
        <f t="shared" ref="AD28:AD40" si="54">SUM($H$7:$Y$7)</f>
        <v>95</v>
      </c>
      <c r="AE28" s="16"/>
      <c r="AF28" s="96"/>
      <c r="AG28" s="72"/>
      <c r="AH28" s="72">
        <v>107602620</v>
      </c>
      <c r="AI28" s="72"/>
      <c r="AJ28" s="73" t="str">
        <f t="shared" ref="AJ28:AJ40" si="55">IF(AI28&gt;0,SUM(AH28)-SUM(AI28),"")</f>
        <v/>
      </c>
      <c r="AK28" s="101"/>
      <c r="AL28" s="48"/>
      <c r="AM28" s="104">
        <v>80</v>
      </c>
      <c r="AN28" s="74">
        <f t="shared" ref="AN28:AN40" si="56">$M$3+AM28-1</f>
        <v>46191</v>
      </c>
      <c r="AO28" s="108">
        <f t="shared" ref="AO28:AO40" si="57">AN28-AU28</f>
        <v>-16</v>
      </c>
      <c r="AP28" s="48"/>
      <c r="AQ28" s="110"/>
      <c r="AR28" s="75">
        <f t="shared" ref="AR28:AR40" si="58">IFERROR(WORKDAY.INTL(AN28,AQ28,11),"")</f>
        <v>46191</v>
      </c>
      <c r="AS28" s="108">
        <f t="shared" ref="AS28:AS40" si="59">AR28-AU28</f>
        <v>-16</v>
      </c>
      <c r="AT28" s="48"/>
      <c r="AU28" s="114">
        <f t="shared" ref="AU28:AU40" si="60">IF(Y28&gt;0,Y28,IFERROR(MAX(_xlfn.XLOOKUP($AV28,$H$8:$Z$8,$G28:$Y28),$C$6)+(AN28-_xlfn.XLOOKUP($AV28,$H$8:$Z$8,$F28:$X28))*AD28/SUM($H$7:$Y$7),$C$6+SUM(AD28)))</f>
        <v>46207</v>
      </c>
      <c r="AV28" s="120" t="str" cm="1">
        <f t="array" ref="AV28">IF(OR(G28&gt;$C$6,G28=""),$F$8,INDEX($E$8:$Z$8,MATCH(TRUE,(F28:AA28=""),0)))</f>
        <v>1. Tender Docs &amp; BOQ</v>
      </c>
      <c r="AW28" s="117" t="b">
        <f t="shared" ref="AW28:AW40" si="61">IF(AND(G28&gt;0,G28&lt;$C$6),TRUE,FALSE)</f>
        <v>0</v>
      </c>
      <c r="AX28" s="76" t="b">
        <f t="shared" ref="AX28:AX40" si="62">IF(AND(I28&gt;0,I28&lt;$C$6),TRUE,FALSE)</f>
        <v>0</v>
      </c>
      <c r="AY28" s="76" t="b">
        <f t="shared" ref="AY28:AY40" si="63">IF(AND(K28&gt;0,K28&lt;$C$6),TRUE,FALSE)</f>
        <v>0</v>
      </c>
      <c r="AZ28" s="76" t="b">
        <f t="shared" ref="AZ28:AZ40" si="64">IF(AND(M28&gt;0,M28&lt;$C$6),TRUE,FALSE)</f>
        <v>0</v>
      </c>
      <c r="BA28" s="76" t="b">
        <f t="shared" ref="BA28:BA40" si="65">IF(AND(O28&gt;0,O28&lt;$C$6),TRUE,FALSE)</f>
        <v>0</v>
      </c>
      <c r="BB28" s="76" t="b">
        <f t="shared" ref="BB28:BB40" si="66">IF(AND(Q28&gt;0,Q28&lt;$C$6),TRUE,FALSE)</f>
        <v>0</v>
      </c>
      <c r="BC28" s="76" t="b">
        <f t="shared" ref="BC28:BC40" si="67">IF(AND(S28&gt;0,S28&lt;$C$6),TRUE,FALSE)</f>
        <v>0</v>
      </c>
      <c r="BD28" s="76" t="b">
        <f t="shared" ref="BD28:BD40" si="68">IF(AND(U28&gt;0,U28&lt;$C$6),TRUE,FALSE)</f>
        <v>0</v>
      </c>
      <c r="BE28" s="76" t="b">
        <f t="shared" ref="BE28:BE40" si="69">IF(AND(W28&gt;0,W28&lt;$C$6),TRUE,FALSE)</f>
        <v>0</v>
      </c>
      <c r="BF28" s="76" t="b">
        <f t="shared" ref="BF28:BF40" si="70">IF(AND(Y28&gt;0,Y28&lt;$C$6),TRUE,FALSE)</f>
        <v>0</v>
      </c>
      <c r="BG28" s="90" t="b">
        <f t="shared" ref="BG28:BG40" si="71">IF(AND(AA28&gt;0,AA28&lt;$C$6),TRUE,FALSE)</f>
        <v>0</v>
      </c>
      <c r="BH28" s="146"/>
    </row>
    <row r="29" spans="1:60" ht="26.25" x14ac:dyDescent="0.25">
      <c r="A29" s="56" cm="1">
        <f t="array" ref="A29">SUMPRODUCT(($AV$10:$AV$68&lt;&gt;"")*(ROW($AV$10:$AV$68)&lt;=ROW()))</f>
        <v>15</v>
      </c>
      <c r="B29" s="57"/>
      <c r="C29" s="58" t="s">
        <v>239</v>
      </c>
      <c r="D29" s="93" t="s">
        <v>11</v>
      </c>
      <c r="E29" s="16"/>
      <c r="F29" s="29">
        <f t="shared" si="42"/>
        <v>46096</v>
      </c>
      <c r="G29" s="42"/>
      <c r="H29" s="29">
        <f t="shared" si="43"/>
        <v>46103</v>
      </c>
      <c r="I29" s="42"/>
      <c r="J29" s="29">
        <f t="shared" si="44"/>
        <v>46109</v>
      </c>
      <c r="K29" s="42"/>
      <c r="L29" s="29">
        <f t="shared" si="45"/>
        <v>46112</v>
      </c>
      <c r="M29" s="42"/>
      <c r="N29" s="29">
        <f t="shared" si="46"/>
        <v>46142</v>
      </c>
      <c r="O29" s="42"/>
      <c r="P29" s="29">
        <f t="shared" si="47"/>
        <v>46152</v>
      </c>
      <c r="Q29" s="42"/>
      <c r="R29" s="29">
        <f t="shared" si="48"/>
        <v>46172</v>
      </c>
      <c r="S29" s="42"/>
      <c r="T29" s="29">
        <f t="shared" si="49"/>
        <v>46179</v>
      </c>
      <c r="U29" s="42"/>
      <c r="V29" s="29">
        <f t="shared" si="50"/>
        <v>46186</v>
      </c>
      <c r="W29" s="42"/>
      <c r="X29" s="29">
        <f t="shared" si="51"/>
        <v>46191</v>
      </c>
      <c r="Y29" s="42"/>
      <c r="Z29" s="30">
        <f t="shared" si="52"/>
        <v>46201</v>
      </c>
      <c r="AA29" s="42"/>
      <c r="AB29" s="31">
        <f t="shared" si="53"/>
        <v>79</v>
      </c>
      <c r="AC29" s="16"/>
      <c r="AD29" s="131">
        <f t="shared" si="54"/>
        <v>95</v>
      </c>
      <c r="AE29" s="16"/>
      <c r="AF29" s="95"/>
      <c r="AG29" s="67"/>
      <c r="AH29" s="67" t="s">
        <v>134</v>
      </c>
      <c r="AI29" s="67"/>
      <c r="AJ29" s="68" t="str">
        <f t="shared" si="55"/>
        <v/>
      </c>
      <c r="AK29" s="102"/>
      <c r="AL29" s="48"/>
      <c r="AM29" s="105">
        <f t="shared" ref="AM29:AM40" si="72">AM28</f>
        <v>80</v>
      </c>
      <c r="AN29" s="69">
        <f t="shared" si="56"/>
        <v>46191</v>
      </c>
      <c r="AO29" s="107">
        <f t="shared" si="57"/>
        <v>-16</v>
      </c>
      <c r="AP29" s="48"/>
      <c r="AQ29" s="111"/>
      <c r="AR29" s="70">
        <f t="shared" si="58"/>
        <v>46191</v>
      </c>
      <c r="AS29" s="107">
        <f t="shared" si="59"/>
        <v>-16</v>
      </c>
      <c r="AT29" s="48"/>
      <c r="AU29" s="113">
        <f t="shared" si="60"/>
        <v>46207</v>
      </c>
      <c r="AV29" s="119" t="str" cm="1">
        <f t="array" ref="AV29">IF(OR(G29&gt;$C$6,G29=""),$F$8,INDEX($E$8:$Z$8,MATCH(TRUE,(F29:AA29=""),0)))</f>
        <v>1. Tender Docs &amp; BOQ</v>
      </c>
      <c r="AW29" s="116" t="b">
        <f t="shared" si="61"/>
        <v>0</v>
      </c>
      <c r="AX29" s="71" t="b">
        <f t="shared" si="62"/>
        <v>0</v>
      </c>
      <c r="AY29" s="71" t="b">
        <f t="shared" si="63"/>
        <v>0</v>
      </c>
      <c r="AZ29" s="71" t="b">
        <f t="shared" si="64"/>
        <v>0</v>
      </c>
      <c r="BA29" s="71" t="b">
        <f t="shared" si="65"/>
        <v>0</v>
      </c>
      <c r="BB29" s="71" t="b">
        <f t="shared" si="66"/>
        <v>0</v>
      </c>
      <c r="BC29" s="71" t="b">
        <f t="shared" si="67"/>
        <v>0</v>
      </c>
      <c r="BD29" s="71" t="b">
        <f t="shared" si="68"/>
        <v>0</v>
      </c>
      <c r="BE29" s="71" t="b">
        <f t="shared" si="69"/>
        <v>0</v>
      </c>
      <c r="BF29" s="71" t="b">
        <f t="shared" si="70"/>
        <v>0</v>
      </c>
      <c r="BG29" s="89" t="b">
        <f t="shared" si="71"/>
        <v>0</v>
      </c>
      <c r="BH29" s="146"/>
    </row>
    <row r="30" spans="1:60" ht="26.25" x14ac:dyDescent="0.25">
      <c r="A30" s="56" cm="1">
        <f t="array" ref="A30">SUMPRODUCT(($AV$10:$AV$68&lt;&gt;"")*(ROW($AV$10:$AV$68)&lt;=ROW()))</f>
        <v>16</v>
      </c>
      <c r="B30" s="59"/>
      <c r="C30" s="60" t="s">
        <v>240</v>
      </c>
      <c r="D30" s="59" t="s">
        <v>11</v>
      </c>
      <c r="E30" s="43"/>
      <c r="F30" s="44">
        <f t="shared" si="42"/>
        <v>46096</v>
      </c>
      <c r="G30" s="45"/>
      <c r="H30" s="44">
        <f t="shared" si="43"/>
        <v>46103</v>
      </c>
      <c r="I30" s="45"/>
      <c r="J30" s="44">
        <f t="shared" si="44"/>
        <v>46109</v>
      </c>
      <c r="K30" s="45"/>
      <c r="L30" s="44">
        <f t="shared" si="45"/>
        <v>46112</v>
      </c>
      <c r="M30" s="45"/>
      <c r="N30" s="44">
        <f t="shared" si="46"/>
        <v>46142</v>
      </c>
      <c r="O30" s="45"/>
      <c r="P30" s="44">
        <f t="shared" si="47"/>
        <v>46152</v>
      </c>
      <c r="Q30" s="45"/>
      <c r="R30" s="44">
        <f t="shared" si="48"/>
        <v>46172</v>
      </c>
      <c r="S30" s="45"/>
      <c r="T30" s="44">
        <f t="shared" si="49"/>
        <v>46179</v>
      </c>
      <c r="U30" s="45"/>
      <c r="V30" s="44">
        <f t="shared" si="50"/>
        <v>46186</v>
      </c>
      <c r="W30" s="45"/>
      <c r="X30" s="44">
        <f t="shared" si="51"/>
        <v>46191</v>
      </c>
      <c r="Y30" s="45"/>
      <c r="Z30" s="46">
        <f t="shared" si="52"/>
        <v>46201</v>
      </c>
      <c r="AA30" s="45"/>
      <c r="AB30" s="32">
        <f t="shared" si="53"/>
        <v>79</v>
      </c>
      <c r="AC30" s="16"/>
      <c r="AD30" s="131">
        <f t="shared" si="54"/>
        <v>95</v>
      </c>
      <c r="AE30" s="16"/>
      <c r="AF30" s="96"/>
      <c r="AG30" s="72"/>
      <c r="AH30" s="72" t="s">
        <v>134</v>
      </c>
      <c r="AI30" s="72"/>
      <c r="AJ30" s="73" t="str">
        <f t="shared" si="55"/>
        <v/>
      </c>
      <c r="AK30" s="101"/>
      <c r="AL30" s="48"/>
      <c r="AM30" s="104">
        <f t="shared" si="72"/>
        <v>80</v>
      </c>
      <c r="AN30" s="74">
        <f t="shared" si="56"/>
        <v>46191</v>
      </c>
      <c r="AO30" s="108">
        <f t="shared" si="57"/>
        <v>-16</v>
      </c>
      <c r="AP30" s="48"/>
      <c r="AQ30" s="110"/>
      <c r="AR30" s="75">
        <f t="shared" si="58"/>
        <v>46191</v>
      </c>
      <c r="AS30" s="108">
        <f t="shared" si="59"/>
        <v>-16</v>
      </c>
      <c r="AT30" s="48"/>
      <c r="AU30" s="114">
        <f t="shared" si="60"/>
        <v>46207</v>
      </c>
      <c r="AV30" s="120" t="str" cm="1">
        <f t="array" ref="AV30">IF(OR(G30&gt;$C$6,G30=""),$F$8,INDEX($E$8:$Z$8,MATCH(TRUE,(F30:AA30=""),0)))</f>
        <v>1. Tender Docs &amp; BOQ</v>
      </c>
      <c r="AW30" s="117" t="b">
        <f t="shared" si="61"/>
        <v>0</v>
      </c>
      <c r="AX30" s="76" t="b">
        <f t="shared" si="62"/>
        <v>0</v>
      </c>
      <c r="AY30" s="76" t="b">
        <f t="shared" si="63"/>
        <v>0</v>
      </c>
      <c r="AZ30" s="76" t="b">
        <f t="shared" si="64"/>
        <v>0</v>
      </c>
      <c r="BA30" s="76" t="b">
        <f t="shared" si="65"/>
        <v>0</v>
      </c>
      <c r="BB30" s="76" t="b">
        <f t="shared" si="66"/>
        <v>0</v>
      </c>
      <c r="BC30" s="76" t="b">
        <f t="shared" si="67"/>
        <v>0</v>
      </c>
      <c r="BD30" s="76" t="b">
        <f t="shared" si="68"/>
        <v>0</v>
      </c>
      <c r="BE30" s="76" t="b">
        <f t="shared" si="69"/>
        <v>0</v>
      </c>
      <c r="BF30" s="76" t="b">
        <f t="shared" si="70"/>
        <v>0</v>
      </c>
      <c r="BG30" s="90" t="b">
        <f t="shared" si="71"/>
        <v>0</v>
      </c>
      <c r="BH30" s="146"/>
    </row>
    <row r="31" spans="1:60" ht="26.25" x14ac:dyDescent="0.25">
      <c r="A31" s="56" cm="1">
        <f t="array" ref="A31">SUMPRODUCT(($AV$10:$AV$68&lt;&gt;"")*(ROW($AV$10:$AV$68)&lt;=ROW()))</f>
        <v>17</v>
      </c>
      <c r="B31" s="57"/>
      <c r="C31" s="58" t="s">
        <v>241</v>
      </c>
      <c r="D31" s="93" t="s">
        <v>11</v>
      </c>
      <c r="E31" s="16"/>
      <c r="F31" s="29">
        <f t="shared" si="42"/>
        <v>46096</v>
      </c>
      <c r="G31" s="42"/>
      <c r="H31" s="29">
        <f t="shared" si="43"/>
        <v>46103</v>
      </c>
      <c r="I31" s="42"/>
      <c r="J31" s="29">
        <f t="shared" si="44"/>
        <v>46109</v>
      </c>
      <c r="K31" s="42"/>
      <c r="L31" s="29">
        <f t="shared" si="45"/>
        <v>46112</v>
      </c>
      <c r="M31" s="42"/>
      <c r="N31" s="29">
        <f t="shared" si="46"/>
        <v>46142</v>
      </c>
      <c r="O31" s="42"/>
      <c r="P31" s="29">
        <f t="shared" si="47"/>
        <v>46152</v>
      </c>
      <c r="Q31" s="42"/>
      <c r="R31" s="29">
        <f t="shared" si="48"/>
        <v>46172</v>
      </c>
      <c r="S31" s="42"/>
      <c r="T31" s="29">
        <f t="shared" si="49"/>
        <v>46179</v>
      </c>
      <c r="U31" s="42"/>
      <c r="V31" s="29">
        <f t="shared" si="50"/>
        <v>46186</v>
      </c>
      <c r="W31" s="42"/>
      <c r="X31" s="29">
        <f t="shared" si="51"/>
        <v>46191</v>
      </c>
      <c r="Y31" s="42"/>
      <c r="Z31" s="30">
        <f t="shared" si="52"/>
        <v>46201</v>
      </c>
      <c r="AA31" s="42"/>
      <c r="AB31" s="31">
        <f t="shared" si="53"/>
        <v>79</v>
      </c>
      <c r="AC31" s="16"/>
      <c r="AD31" s="131">
        <f t="shared" si="54"/>
        <v>95</v>
      </c>
      <c r="AE31" s="16"/>
      <c r="AF31" s="95"/>
      <c r="AG31" s="67"/>
      <c r="AH31" s="67" t="s">
        <v>134</v>
      </c>
      <c r="AI31" s="67"/>
      <c r="AJ31" s="68" t="str">
        <f t="shared" si="55"/>
        <v/>
      </c>
      <c r="AK31" s="102"/>
      <c r="AL31" s="48"/>
      <c r="AM31" s="105">
        <f t="shared" si="72"/>
        <v>80</v>
      </c>
      <c r="AN31" s="69">
        <f t="shared" si="56"/>
        <v>46191</v>
      </c>
      <c r="AO31" s="107">
        <f t="shared" si="57"/>
        <v>-16</v>
      </c>
      <c r="AP31" s="48"/>
      <c r="AQ31" s="111"/>
      <c r="AR31" s="70">
        <f t="shared" si="58"/>
        <v>46191</v>
      </c>
      <c r="AS31" s="107">
        <f t="shared" si="59"/>
        <v>-16</v>
      </c>
      <c r="AT31" s="48"/>
      <c r="AU31" s="113">
        <f t="shared" si="60"/>
        <v>46207</v>
      </c>
      <c r="AV31" s="119" t="str" cm="1">
        <f t="array" ref="AV31">IF(OR(G31&gt;$C$6,G31=""),$F$8,INDEX($E$8:$Z$8,MATCH(TRUE,(F31:AA31=""),0)))</f>
        <v>1. Tender Docs &amp; BOQ</v>
      </c>
      <c r="AW31" s="116" t="b">
        <f t="shared" si="61"/>
        <v>0</v>
      </c>
      <c r="AX31" s="71" t="b">
        <f t="shared" si="62"/>
        <v>0</v>
      </c>
      <c r="AY31" s="71" t="b">
        <f t="shared" si="63"/>
        <v>0</v>
      </c>
      <c r="AZ31" s="71" t="b">
        <f t="shared" si="64"/>
        <v>0</v>
      </c>
      <c r="BA31" s="71" t="b">
        <f t="shared" si="65"/>
        <v>0</v>
      </c>
      <c r="BB31" s="71" t="b">
        <f t="shared" si="66"/>
        <v>0</v>
      </c>
      <c r="BC31" s="71" t="b">
        <f t="shared" si="67"/>
        <v>0</v>
      </c>
      <c r="BD31" s="71" t="b">
        <f t="shared" si="68"/>
        <v>0</v>
      </c>
      <c r="BE31" s="71" t="b">
        <f t="shared" si="69"/>
        <v>0</v>
      </c>
      <c r="BF31" s="71" t="b">
        <f t="shared" si="70"/>
        <v>0</v>
      </c>
      <c r="BG31" s="89" t="b">
        <f t="shared" si="71"/>
        <v>0</v>
      </c>
      <c r="BH31" s="146"/>
    </row>
    <row r="32" spans="1:60" ht="26.25" x14ac:dyDescent="0.25">
      <c r="A32" s="56" cm="1">
        <f t="array" ref="A32">SUMPRODUCT(($AV$10:$AV$68&lt;&gt;"")*(ROW($AV$10:$AV$68)&lt;=ROW()))</f>
        <v>18</v>
      </c>
      <c r="B32" s="59"/>
      <c r="C32" s="60" t="s">
        <v>242</v>
      </c>
      <c r="D32" s="59" t="s">
        <v>11</v>
      </c>
      <c r="E32" s="43"/>
      <c r="F32" s="44">
        <f t="shared" si="42"/>
        <v>46096</v>
      </c>
      <c r="G32" s="45"/>
      <c r="H32" s="44">
        <f t="shared" si="43"/>
        <v>46103</v>
      </c>
      <c r="I32" s="45"/>
      <c r="J32" s="44">
        <f t="shared" si="44"/>
        <v>46109</v>
      </c>
      <c r="K32" s="45"/>
      <c r="L32" s="44">
        <f t="shared" si="45"/>
        <v>46112</v>
      </c>
      <c r="M32" s="45"/>
      <c r="N32" s="44">
        <f t="shared" si="46"/>
        <v>46142</v>
      </c>
      <c r="O32" s="45"/>
      <c r="P32" s="44">
        <f t="shared" si="47"/>
        <v>46152</v>
      </c>
      <c r="Q32" s="45"/>
      <c r="R32" s="44">
        <f t="shared" si="48"/>
        <v>46172</v>
      </c>
      <c r="S32" s="45"/>
      <c r="T32" s="44">
        <f t="shared" si="49"/>
        <v>46179</v>
      </c>
      <c r="U32" s="45"/>
      <c r="V32" s="44">
        <f t="shared" si="50"/>
        <v>46186</v>
      </c>
      <c r="W32" s="45"/>
      <c r="X32" s="44">
        <f t="shared" si="51"/>
        <v>46191</v>
      </c>
      <c r="Y32" s="45"/>
      <c r="Z32" s="46">
        <f t="shared" si="52"/>
        <v>46201</v>
      </c>
      <c r="AA32" s="45"/>
      <c r="AB32" s="32">
        <f t="shared" si="53"/>
        <v>79</v>
      </c>
      <c r="AC32" s="16"/>
      <c r="AD32" s="131">
        <f t="shared" si="54"/>
        <v>95</v>
      </c>
      <c r="AE32" s="16"/>
      <c r="AF32" s="96"/>
      <c r="AG32" s="72"/>
      <c r="AH32" s="72" t="s">
        <v>134</v>
      </c>
      <c r="AI32" s="72"/>
      <c r="AJ32" s="73" t="str">
        <f t="shared" si="55"/>
        <v/>
      </c>
      <c r="AK32" s="101"/>
      <c r="AL32" s="48"/>
      <c r="AM32" s="104">
        <f t="shared" si="72"/>
        <v>80</v>
      </c>
      <c r="AN32" s="74">
        <f t="shared" si="56"/>
        <v>46191</v>
      </c>
      <c r="AO32" s="108">
        <f t="shared" si="57"/>
        <v>-16</v>
      </c>
      <c r="AP32" s="48"/>
      <c r="AQ32" s="110"/>
      <c r="AR32" s="75">
        <f t="shared" si="58"/>
        <v>46191</v>
      </c>
      <c r="AS32" s="108">
        <f t="shared" si="59"/>
        <v>-16</v>
      </c>
      <c r="AT32" s="48"/>
      <c r="AU32" s="114">
        <f t="shared" si="60"/>
        <v>46207</v>
      </c>
      <c r="AV32" s="120" t="str" cm="1">
        <f t="array" ref="AV32">IF(OR(G32&gt;$C$6,G32=""),$F$8,INDEX($E$8:$Z$8,MATCH(TRUE,(F32:AA32=""),0)))</f>
        <v>1. Tender Docs &amp; BOQ</v>
      </c>
      <c r="AW32" s="117" t="b">
        <f t="shared" si="61"/>
        <v>0</v>
      </c>
      <c r="AX32" s="76" t="b">
        <f t="shared" si="62"/>
        <v>0</v>
      </c>
      <c r="AY32" s="76" t="b">
        <f t="shared" si="63"/>
        <v>0</v>
      </c>
      <c r="AZ32" s="76" t="b">
        <f t="shared" si="64"/>
        <v>0</v>
      </c>
      <c r="BA32" s="76" t="b">
        <f t="shared" si="65"/>
        <v>0</v>
      </c>
      <c r="BB32" s="76" t="b">
        <f t="shared" si="66"/>
        <v>0</v>
      </c>
      <c r="BC32" s="76" t="b">
        <f t="shared" si="67"/>
        <v>0</v>
      </c>
      <c r="BD32" s="76" t="b">
        <f t="shared" si="68"/>
        <v>0</v>
      </c>
      <c r="BE32" s="76" t="b">
        <f t="shared" si="69"/>
        <v>0</v>
      </c>
      <c r="BF32" s="76" t="b">
        <f t="shared" si="70"/>
        <v>0</v>
      </c>
      <c r="BG32" s="90" t="b">
        <f t="shared" si="71"/>
        <v>0</v>
      </c>
      <c r="BH32" s="146"/>
    </row>
    <row r="33" spans="1:60" ht="26.25" x14ac:dyDescent="0.25">
      <c r="A33" s="56" cm="1">
        <f t="array" ref="A33">SUMPRODUCT(($AV$10:$AV$68&lt;&gt;"")*(ROW($AV$10:$AV$68)&lt;=ROW()))</f>
        <v>19</v>
      </c>
      <c r="B33" s="57"/>
      <c r="C33" s="58" t="s">
        <v>243</v>
      </c>
      <c r="D33" s="93" t="s">
        <v>11</v>
      </c>
      <c r="E33" s="16"/>
      <c r="F33" s="29">
        <f t="shared" si="42"/>
        <v>46096</v>
      </c>
      <c r="G33" s="42"/>
      <c r="H33" s="29">
        <f t="shared" si="43"/>
        <v>46103</v>
      </c>
      <c r="I33" s="42"/>
      <c r="J33" s="29">
        <f t="shared" si="44"/>
        <v>46109</v>
      </c>
      <c r="K33" s="42"/>
      <c r="L33" s="29">
        <f t="shared" si="45"/>
        <v>46112</v>
      </c>
      <c r="M33" s="42"/>
      <c r="N33" s="29">
        <f t="shared" si="46"/>
        <v>46142</v>
      </c>
      <c r="O33" s="42"/>
      <c r="P33" s="29">
        <f t="shared" si="47"/>
        <v>46152</v>
      </c>
      <c r="Q33" s="42"/>
      <c r="R33" s="29">
        <f t="shared" si="48"/>
        <v>46172</v>
      </c>
      <c r="S33" s="42"/>
      <c r="T33" s="29">
        <f t="shared" si="49"/>
        <v>46179</v>
      </c>
      <c r="U33" s="42"/>
      <c r="V33" s="29">
        <f t="shared" si="50"/>
        <v>46186</v>
      </c>
      <c r="W33" s="42"/>
      <c r="X33" s="29">
        <f t="shared" si="51"/>
        <v>46191</v>
      </c>
      <c r="Y33" s="42"/>
      <c r="Z33" s="30">
        <f t="shared" si="52"/>
        <v>46201</v>
      </c>
      <c r="AA33" s="42"/>
      <c r="AB33" s="31">
        <f t="shared" si="53"/>
        <v>79</v>
      </c>
      <c r="AC33" s="16"/>
      <c r="AD33" s="131">
        <f t="shared" si="54"/>
        <v>95</v>
      </c>
      <c r="AE33" s="16"/>
      <c r="AF33" s="95"/>
      <c r="AG33" s="67"/>
      <c r="AH33" s="67" t="s">
        <v>134</v>
      </c>
      <c r="AI33" s="67"/>
      <c r="AJ33" s="68" t="str">
        <f t="shared" si="55"/>
        <v/>
      </c>
      <c r="AK33" s="102"/>
      <c r="AL33" s="48"/>
      <c r="AM33" s="105">
        <f t="shared" si="72"/>
        <v>80</v>
      </c>
      <c r="AN33" s="69">
        <f t="shared" si="56"/>
        <v>46191</v>
      </c>
      <c r="AO33" s="107">
        <f t="shared" si="57"/>
        <v>-16</v>
      </c>
      <c r="AP33" s="48"/>
      <c r="AQ33" s="111"/>
      <c r="AR33" s="70">
        <f t="shared" si="58"/>
        <v>46191</v>
      </c>
      <c r="AS33" s="107">
        <f t="shared" si="59"/>
        <v>-16</v>
      </c>
      <c r="AT33" s="48"/>
      <c r="AU33" s="113">
        <f t="shared" si="60"/>
        <v>46207</v>
      </c>
      <c r="AV33" s="119" t="str" cm="1">
        <f t="array" ref="AV33">IF(OR(G33&gt;$C$6,G33=""),$F$8,INDEX($E$8:$Z$8,MATCH(TRUE,(F33:AA33=""),0)))</f>
        <v>1. Tender Docs &amp; BOQ</v>
      </c>
      <c r="AW33" s="116" t="b">
        <f t="shared" si="61"/>
        <v>0</v>
      </c>
      <c r="AX33" s="71" t="b">
        <f t="shared" si="62"/>
        <v>0</v>
      </c>
      <c r="AY33" s="71" t="b">
        <f t="shared" si="63"/>
        <v>0</v>
      </c>
      <c r="AZ33" s="71" t="b">
        <f t="shared" si="64"/>
        <v>0</v>
      </c>
      <c r="BA33" s="71" t="b">
        <f t="shared" si="65"/>
        <v>0</v>
      </c>
      <c r="BB33" s="71" t="b">
        <f t="shared" si="66"/>
        <v>0</v>
      </c>
      <c r="BC33" s="71" t="b">
        <f t="shared" si="67"/>
        <v>0</v>
      </c>
      <c r="BD33" s="71" t="b">
        <f t="shared" si="68"/>
        <v>0</v>
      </c>
      <c r="BE33" s="71" t="b">
        <f t="shared" si="69"/>
        <v>0</v>
      </c>
      <c r="BF33" s="71" t="b">
        <f t="shared" si="70"/>
        <v>0</v>
      </c>
      <c r="BG33" s="89" t="b">
        <f t="shared" si="71"/>
        <v>0</v>
      </c>
      <c r="BH33" s="146"/>
    </row>
    <row r="34" spans="1:60" ht="26.25" x14ac:dyDescent="0.25">
      <c r="A34" s="56" cm="1">
        <f t="array" ref="A34">SUMPRODUCT(($AV$10:$AV$68&lt;&gt;"")*(ROW($AV$10:$AV$68)&lt;=ROW()))</f>
        <v>20</v>
      </c>
      <c r="B34" s="59"/>
      <c r="C34" s="60" t="s">
        <v>244</v>
      </c>
      <c r="D34" s="59" t="s">
        <v>11</v>
      </c>
      <c r="E34" s="43"/>
      <c r="F34" s="44">
        <f t="shared" si="42"/>
        <v>46096</v>
      </c>
      <c r="G34" s="45"/>
      <c r="H34" s="44">
        <f t="shared" si="43"/>
        <v>46103</v>
      </c>
      <c r="I34" s="45"/>
      <c r="J34" s="44">
        <f t="shared" si="44"/>
        <v>46109</v>
      </c>
      <c r="K34" s="45"/>
      <c r="L34" s="44">
        <f t="shared" si="45"/>
        <v>46112</v>
      </c>
      <c r="M34" s="45"/>
      <c r="N34" s="44">
        <f t="shared" si="46"/>
        <v>46142</v>
      </c>
      <c r="O34" s="45"/>
      <c r="P34" s="44">
        <f t="shared" si="47"/>
        <v>46152</v>
      </c>
      <c r="Q34" s="45"/>
      <c r="R34" s="44">
        <f t="shared" si="48"/>
        <v>46172</v>
      </c>
      <c r="S34" s="45"/>
      <c r="T34" s="44">
        <f t="shared" si="49"/>
        <v>46179</v>
      </c>
      <c r="U34" s="45"/>
      <c r="V34" s="44">
        <f t="shared" si="50"/>
        <v>46186</v>
      </c>
      <c r="W34" s="45"/>
      <c r="X34" s="44">
        <f t="shared" si="51"/>
        <v>46191</v>
      </c>
      <c r="Y34" s="45"/>
      <c r="Z34" s="46">
        <f t="shared" si="52"/>
        <v>46201</v>
      </c>
      <c r="AA34" s="45"/>
      <c r="AB34" s="32">
        <f t="shared" si="53"/>
        <v>79</v>
      </c>
      <c r="AC34" s="16"/>
      <c r="AD34" s="131">
        <f t="shared" si="54"/>
        <v>95</v>
      </c>
      <c r="AE34" s="16"/>
      <c r="AF34" s="96"/>
      <c r="AG34" s="72"/>
      <c r="AH34" s="72" t="s">
        <v>134</v>
      </c>
      <c r="AI34" s="72"/>
      <c r="AJ34" s="73" t="str">
        <f t="shared" si="55"/>
        <v/>
      </c>
      <c r="AK34" s="101"/>
      <c r="AL34" s="48"/>
      <c r="AM34" s="104">
        <f t="shared" si="72"/>
        <v>80</v>
      </c>
      <c r="AN34" s="74">
        <f t="shared" si="56"/>
        <v>46191</v>
      </c>
      <c r="AO34" s="108">
        <f t="shared" si="57"/>
        <v>-16</v>
      </c>
      <c r="AP34" s="48"/>
      <c r="AQ34" s="110"/>
      <c r="AR34" s="75">
        <f t="shared" si="58"/>
        <v>46191</v>
      </c>
      <c r="AS34" s="108">
        <f t="shared" si="59"/>
        <v>-16</v>
      </c>
      <c r="AT34" s="48"/>
      <c r="AU34" s="114">
        <f t="shared" si="60"/>
        <v>46207</v>
      </c>
      <c r="AV34" s="120" t="str" cm="1">
        <f t="array" ref="AV34">IF(OR(G34&gt;$C$6,G34=""),$F$8,INDEX($E$8:$Z$8,MATCH(TRUE,(F34:AA34=""),0)))</f>
        <v>1. Tender Docs &amp; BOQ</v>
      </c>
      <c r="AW34" s="117" t="b">
        <f t="shared" si="61"/>
        <v>0</v>
      </c>
      <c r="AX34" s="76" t="b">
        <f t="shared" si="62"/>
        <v>0</v>
      </c>
      <c r="AY34" s="76" t="b">
        <f t="shared" si="63"/>
        <v>0</v>
      </c>
      <c r="AZ34" s="76" t="b">
        <f t="shared" si="64"/>
        <v>0</v>
      </c>
      <c r="BA34" s="76" t="b">
        <f t="shared" si="65"/>
        <v>0</v>
      </c>
      <c r="BB34" s="76" t="b">
        <f t="shared" si="66"/>
        <v>0</v>
      </c>
      <c r="BC34" s="76" t="b">
        <f t="shared" si="67"/>
        <v>0</v>
      </c>
      <c r="BD34" s="76" t="b">
        <f t="shared" si="68"/>
        <v>0</v>
      </c>
      <c r="BE34" s="76" t="b">
        <f t="shared" si="69"/>
        <v>0</v>
      </c>
      <c r="BF34" s="76" t="b">
        <f t="shared" si="70"/>
        <v>0</v>
      </c>
      <c r="BG34" s="90" t="b">
        <f t="shared" si="71"/>
        <v>0</v>
      </c>
      <c r="BH34" s="146"/>
    </row>
    <row r="35" spans="1:60" ht="26.25" x14ac:dyDescent="0.25">
      <c r="A35" s="56" cm="1">
        <f t="array" ref="A35">SUMPRODUCT(($AV$10:$AV$68&lt;&gt;"")*(ROW($AV$10:$AV$68)&lt;=ROW()))</f>
        <v>21</v>
      </c>
      <c r="B35" s="57"/>
      <c r="C35" s="58" t="s">
        <v>245</v>
      </c>
      <c r="D35" s="93" t="s">
        <v>11</v>
      </c>
      <c r="E35" s="16"/>
      <c r="F35" s="29">
        <f t="shared" si="42"/>
        <v>46096</v>
      </c>
      <c r="G35" s="42"/>
      <c r="H35" s="29">
        <f t="shared" si="43"/>
        <v>46103</v>
      </c>
      <c r="I35" s="42"/>
      <c r="J35" s="29">
        <f t="shared" si="44"/>
        <v>46109</v>
      </c>
      <c r="K35" s="42"/>
      <c r="L35" s="29">
        <f t="shared" si="45"/>
        <v>46112</v>
      </c>
      <c r="M35" s="42"/>
      <c r="N35" s="29">
        <f t="shared" si="46"/>
        <v>46142</v>
      </c>
      <c r="O35" s="42"/>
      <c r="P35" s="29">
        <f t="shared" si="47"/>
        <v>46152</v>
      </c>
      <c r="Q35" s="42"/>
      <c r="R35" s="29">
        <f t="shared" si="48"/>
        <v>46172</v>
      </c>
      <c r="S35" s="42"/>
      <c r="T35" s="29">
        <f t="shared" si="49"/>
        <v>46179</v>
      </c>
      <c r="U35" s="42"/>
      <c r="V35" s="29">
        <f t="shared" si="50"/>
        <v>46186</v>
      </c>
      <c r="W35" s="42"/>
      <c r="X35" s="29">
        <f t="shared" si="51"/>
        <v>46191</v>
      </c>
      <c r="Y35" s="42"/>
      <c r="Z35" s="30">
        <f t="shared" si="52"/>
        <v>46201</v>
      </c>
      <c r="AA35" s="42"/>
      <c r="AB35" s="31">
        <f t="shared" si="53"/>
        <v>79</v>
      </c>
      <c r="AC35" s="16"/>
      <c r="AD35" s="131">
        <f t="shared" si="54"/>
        <v>95</v>
      </c>
      <c r="AE35" s="16"/>
      <c r="AF35" s="95"/>
      <c r="AG35" s="67"/>
      <c r="AH35" s="67" t="s">
        <v>134</v>
      </c>
      <c r="AI35" s="67"/>
      <c r="AJ35" s="68" t="str">
        <f t="shared" si="55"/>
        <v/>
      </c>
      <c r="AK35" s="102"/>
      <c r="AL35" s="48"/>
      <c r="AM35" s="105">
        <f t="shared" si="72"/>
        <v>80</v>
      </c>
      <c r="AN35" s="69">
        <f t="shared" si="56"/>
        <v>46191</v>
      </c>
      <c r="AO35" s="107">
        <f t="shared" si="57"/>
        <v>-16</v>
      </c>
      <c r="AP35" s="48"/>
      <c r="AQ35" s="111"/>
      <c r="AR35" s="70">
        <f t="shared" si="58"/>
        <v>46191</v>
      </c>
      <c r="AS35" s="107">
        <f t="shared" si="59"/>
        <v>-16</v>
      </c>
      <c r="AT35" s="48"/>
      <c r="AU35" s="113">
        <f t="shared" si="60"/>
        <v>46207</v>
      </c>
      <c r="AV35" s="119" t="str" cm="1">
        <f t="array" ref="AV35">IF(OR(G35&gt;$C$6,G35=""),$F$8,INDEX($E$8:$Z$8,MATCH(TRUE,(F35:AA35=""),0)))</f>
        <v>1. Tender Docs &amp; BOQ</v>
      </c>
      <c r="AW35" s="116" t="b">
        <f t="shared" si="61"/>
        <v>0</v>
      </c>
      <c r="AX35" s="71" t="b">
        <f t="shared" si="62"/>
        <v>0</v>
      </c>
      <c r="AY35" s="71" t="b">
        <f t="shared" si="63"/>
        <v>0</v>
      </c>
      <c r="AZ35" s="71" t="b">
        <f t="shared" si="64"/>
        <v>0</v>
      </c>
      <c r="BA35" s="71" t="b">
        <f t="shared" si="65"/>
        <v>0</v>
      </c>
      <c r="BB35" s="71" t="b">
        <f t="shared" si="66"/>
        <v>0</v>
      </c>
      <c r="BC35" s="71" t="b">
        <f t="shared" si="67"/>
        <v>0</v>
      </c>
      <c r="BD35" s="71" t="b">
        <f t="shared" si="68"/>
        <v>0</v>
      </c>
      <c r="BE35" s="71" t="b">
        <f t="shared" si="69"/>
        <v>0</v>
      </c>
      <c r="BF35" s="71" t="b">
        <f t="shared" si="70"/>
        <v>0</v>
      </c>
      <c r="BG35" s="89" t="b">
        <f t="shared" si="71"/>
        <v>0</v>
      </c>
      <c r="BH35" s="146"/>
    </row>
    <row r="36" spans="1:60" ht="26.25" x14ac:dyDescent="0.25">
      <c r="A36" s="56" cm="1">
        <f t="array" ref="A36">SUMPRODUCT(($AV$10:$AV$68&lt;&gt;"")*(ROW($AV$10:$AV$68)&lt;=ROW()))</f>
        <v>22</v>
      </c>
      <c r="B36" s="59"/>
      <c r="C36" s="60" t="s">
        <v>246</v>
      </c>
      <c r="D36" s="59" t="s">
        <v>11</v>
      </c>
      <c r="E36" s="43"/>
      <c r="F36" s="44">
        <f t="shared" si="42"/>
        <v>46096</v>
      </c>
      <c r="G36" s="45"/>
      <c r="H36" s="44">
        <f t="shared" si="43"/>
        <v>46103</v>
      </c>
      <c r="I36" s="45"/>
      <c r="J36" s="44">
        <f t="shared" si="44"/>
        <v>46109</v>
      </c>
      <c r="K36" s="45"/>
      <c r="L36" s="44">
        <f t="shared" si="45"/>
        <v>46112</v>
      </c>
      <c r="M36" s="45"/>
      <c r="N36" s="44">
        <f t="shared" si="46"/>
        <v>46142</v>
      </c>
      <c r="O36" s="45"/>
      <c r="P36" s="44">
        <f t="shared" si="47"/>
        <v>46152</v>
      </c>
      <c r="Q36" s="45"/>
      <c r="R36" s="44">
        <f t="shared" si="48"/>
        <v>46172</v>
      </c>
      <c r="S36" s="45"/>
      <c r="T36" s="44">
        <f t="shared" si="49"/>
        <v>46179</v>
      </c>
      <c r="U36" s="45"/>
      <c r="V36" s="44">
        <f t="shared" si="50"/>
        <v>46186</v>
      </c>
      <c r="W36" s="45"/>
      <c r="X36" s="44">
        <f t="shared" si="51"/>
        <v>46191</v>
      </c>
      <c r="Y36" s="45"/>
      <c r="Z36" s="46">
        <f t="shared" si="52"/>
        <v>46201</v>
      </c>
      <c r="AA36" s="45"/>
      <c r="AB36" s="32">
        <f t="shared" si="53"/>
        <v>79</v>
      </c>
      <c r="AC36" s="16"/>
      <c r="AD36" s="131">
        <f t="shared" si="54"/>
        <v>95</v>
      </c>
      <c r="AE36" s="16"/>
      <c r="AF36" s="96"/>
      <c r="AG36" s="72"/>
      <c r="AH36" s="72" t="s">
        <v>134</v>
      </c>
      <c r="AI36" s="72"/>
      <c r="AJ36" s="73" t="str">
        <f t="shared" si="55"/>
        <v/>
      </c>
      <c r="AK36" s="101"/>
      <c r="AL36" s="48"/>
      <c r="AM36" s="104">
        <f t="shared" si="72"/>
        <v>80</v>
      </c>
      <c r="AN36" s="74">
        <f t="shared" si="56"/>
        <v>46191</v>
      </c>
      <c r="AO36" s="108">
        <f t="shared" si="57"/>
        <v>-16</v>
      </c>
      <c r="AP36" s="48"/>
      <c r="AQ36" s="110"/>
      <c r="AR36" s="75">
        <f t="shared" si="58"/>
        <v>46191</v>
      </c>
      <c r="AS36" s="108">
        <f t="shared" si="59"/>
        <v>-16</v>
      </c>
      <c r="AT36" s="48"/>
      <c r="AU36" s="114">
        <f t="shared" si="60"/>
        <v>46207</v>
      </c>
      <c r="AV36" s="120" t="str" cm="1">
        <f t="array" ref="AV36">IF(OR(G36&gt;$C$6,G36=""),$F$8,INDEX($E$8:$Z$8,MATCH(TRUE,(F36:AA36=""),0)))</f>
        <v>1. Tender Docs &amp; BOQ</v>
      </c>
      <c r="AW36" s="117" t="b">
        <f t="shared" si="61"/>
        <v>0</v>
      </c>
      <c r="AX36" s="76" t="b">
        <f t="shared" si="62"/>
        <v>0</v>
      </c>
      <c r="AY36" s="76" t="b">
        <f t="shared" si="63"/>
        <v>0</v>
      </c>
      <c r="AZ36" s="76" t="b">
        <f t="shared" si="64"/>
        <v>0</v>
      </c>
      <c r="BA36" s="76" t="b">
        <f t="shared" si="65"/>
        <v>0</v>
      </c>
      <c r="BB36" s="76" t="b">
        <f t="shared" si="66"/>
        <v>0</v>
      </c>
      <c r="BC36" s="76" t="b">
        <f t="shared" si="67"/>
        <v>0</v>
      </c>
      <c r="BD36" s="76" t="b">
        <f t="shared" si="68"/>
        <v>0</v>
      </c>
      <c r="BE36" s="76" t="b">
        <f t="shared" si="69"/>
        <v>0</v>
      </c>
      <c r="BF36" s="76" t="b">
        <f t="shared" si="70"/>
        <v>0</v>
      </c>
      <c r="BG36" s="90" t="b">
        <f t="shared" si="71"/>
        <v>0</v>
      </c>
      <c r="BH36" s="146"/>
    </row>
    <row r="37" spans="1:60" ht="26.25" x14ac:dyDescent="0.25">
      <c r="A37" s="56" cm="1">
        <f t="array" ref="A37">SUMPRODUCT(($AV$10:$AV$68&lt;&gt;"")*(ROW($AV$10:$AV$68)&lt;=ROW()))</f>
        <v>23</v>
      </c>
      <c r="B37" s="57"/>
      <c r="C37" s="58" t="s">
        <v>247</v>
      </c>
      <c r="D37" s="93" t="s">
        <v>11</v>
      </c>
      <c r="E37" s="16"/>
      <c r="F37" s="29">
        <f t="shared" si="42"/>
        <v>46096</v>
      </c>
      <c r="G37" s="42"/>
      <c r="H37" s="29">
        <f t="shared" si="43"/>
        <v>46103</v>
      </c>
      <c r="I37" s="42"/>
      <c r="J37" s="29">
        <f t="shared" si="44"/>
        <v>46109</v>
      </c>
      <c r="K37" s="42"/>
      <c r="L37" s="29">
        <f t="shared" si="45"/>
        <v>46112</v>
      </c>
      <c r="M37" s="42"/>
      <c r="N37" s="29">
        <f t="shared" si="46"/>
        <v>46142</v>
      </c>
      <c r="O37" s="42"/>
      <c r="P37" s="29">
        <f t="shared" si="47"/>
        <v>46152</v>
      </c>
      <c r="Q37" s="42"/>
      <c r="R37" s="29">
        <f t="shared" si="48"/>
        <v>46172</v>
      </c>
      <c r="S37" s="42"/>
      <c r="T37" s="29">
        <f t="shared" si="49"/>
        <v>46179</v>
      </c>
      <c r="U37" s="42"/>
      <c r="V37" s="29">
        <f t="shared" si="50"/>
        <v>46186</v>
      </c>
      <c r="W37" s="42"/>
      <c r="X37" s="29">
        <f t="shared" si="51"/>
        <v>46191</v>
      </c>
      <c r="Y37" s="42"/>
      <c r="Z37" s="30">
        <f t="shared" si="52"/>
        <v>46201</v>
      </c>
      <c r="AA37" s="42"/>
      <c r="AB37" s="31">
        <f t="shared" si="53"/>
        <v>79</v>
      </c>
      <c r="AC37" s="16"/>
      <c r="AD37" s="131">
        <f t="shared" si="54"/>
        <v>95</v>
      </c>
      <c r="AE37" s="16"/>
      <c r="AF37" s="95"/>
      <c r="AG37" s="67"/>
      <c r="AH37" s="67" t="s">
        <v>134</v>
      </c>
      <c r="AI37" s="67"/>
      <c r="AJ37" s="68" t="str">
        <f t="shared" si="55"/>
        <v/>
      </c>
      <c r="AK37" s="102"/>
      <c r="AL37" s="48"/>
      <c r="AM37" s="105">
        <f t="shared" si="72"/>
        <v>80</v>
      </c>
      <c r="AN37" s="69">
        <f t="shared" si="56"/>
        <v>46191</v>
      </c>
      <c r="AO37" s="107">
        <f t="shared" si="57"/>
        <v>-16</v>
      </c>
      <c r="AP37" s="48"/>
      <c r="AQ37" s="111"/>
      <c r="AR37" s="70">
        <f t="shared" si="58"/>
        <v>46191</v>
      </c>
      <c r="AS37" s="107">
        <f t="shared" si="59"/>
        <v>-16</v>
      </c>
      <c r="AT37" s="48"/>
      <c r="AU37" s="113">
        <f t="shared" si="60"/>
        <v>46207</v>
      </c>
      <c r="AV37" s="119" t="str" cm="1">
        <f t="array" ref="AV37">IF(OR(G37&gt;$C$6,G37=""),$F$8,INDEX($E$8:$Z$8,MATCH(TRUE,(F37:AA37=""),0)))</f>
        <v>1. Tender Docs &amp; BOQ</v>
      </c>
      <c r="AW37" s="116" t="b">
        <f t="shared" si="61"/>
        <v>0</v>
      </c>
      <c r="AX37" s="71" t="b">
        <f t="shared" si="62"/>
        <v>0</v>
      </c>
      <c r="AY37" s="71" t="b">
        <f t="shared" si="63"/>
        <v>0</v>
      </c>
      <c r="AZ37" s="71" t="b">
        <f t="shared" si="64"/>
        <v>0</v>
      </c>
      <c r="BA37" s="71" t="b">
        <f t="shared" si="65"/>
        <v>0</v>
      </c>
      <c r="BB37" s="71" t="b">
        <f t="shared" si="66"/>
        <v>0</v>
      </c>
      <c r="BC37" s="71" t="b">
        <f t="shared" si="67"/>
        <v>0</v>
      </c>
      <c r="BD37" s="71" t="b">
        <f t="shared" si="68"/>
        <v>0</v>
      </c>
      <c r="BE37" s="71" t="b">
        <f t="shared" si="69"/>
        <v>0</v>
      </c>
      <c r="BF37" s="71" t="b">
        <f t="shared" si="70"/>
        <v>0</v>
      </c>
      <c r="BG37" s="89" t="b">
        <f t="shared" si="71"/>
        <v>0</v>
      </c>
      <c r="BH37" s="146"/>
    </row>
    <row r="38" spans="1:60" ht="26.25" x14ac:dyDescent="0.25">
      <c r="A38" s="56" cm="1">
        <f t="array" ref="A38">SUMPRODUCT(($AV$10:$AV$68&lt;&gt;"")*(ROW($AV$10:$AV$68)&lt;=ROW()))</f>
        <v>24</v>
      </c>
      <c r="B38" s="59"/>
      <c r="C38" s="60" t="s">
        <v>248</v>
      </c>
      <c r="D38" s="59" t="s">
        <v>7</v>
      </c>
      <c r="E38" s="43"/>
      <c r="F38" s="44">
        <f t="shared" si="42"/>
        <v>46096</v>
      </c>
      <c r="G38" s="45"/>
      <c r="H38" s="44">
        <f t="shared" si="43"/>
        <v>46103</v>
      </c>
      <c r="I38" s="45"/>
      <c r="J38" s="44">
        <f t="shared" si="44"/>
        <v>46109</v>
      </c>
      <c r="K38" s="45"/>
      <c r="L38" s="44">
        <f t="shared" si="45"/>
        <v>46112</v>
      </c>
      <c r="M38" s="45"/>
      <c r="N38" s="44">
        <f t="shared" si="46"/>
        <v>46142</v>
      </c>
      <c r="O38" s="45"/>
      <c r="P38" s="44">
        <f t="shared" si="47"/>
        <v>46152</v>
      </c>
      <c r="Q38" s="45"/>
      <c r="R38" s="44">
        <f t="shared" si="48"/>
        <v>46172</v>
      </c>
      <c r="S38" s="45"/>
      <c r="T38" s="44">
        <f t="shared" si="49"/>
        <v>46179</v>
      </c>
      <c r="U38" s="45"/>
      <c r="V38" s="44">
        <f t="shared" si="50"/>
        <v>46186</v>
      </c>
      <c r="W38" s="45"/>
      <c r="X38" s="44">
        <f t="shared" si="51"/>
        <v>46191</v>
      </c>
      <c r="Y38" s="45"/>
      <c r="Z38" s="46">
        <f t="shared" si="52"/>
        <v>46201</v>
      </c>
      <c r="AA38" s="45"/>
      <c r="AB38" s="32">
        <f t="shared" si="53"/>
        <v>79</v>
      </c>
      <c r="AC38" s="16"/>
      <c r="AD38" s="131">
        <f t="shared" si="54"/>
        <v>95</v>
      </c>
      <c r="AE38" s="16"/>
      <c r="AF38" s="96"/>
      <c r="AG38" s="72"/>
      <c r="AH38" s="72" t="s">
        <v>134</v>
      </c>
      <c r="AI38" s="72"/>
      <c r="AJ38" s="73" t="str">
        <f t="shared" si="55"/>
        <v/>
      </c>
      <c r="AK38" s="101"/>
      <c r="AL38" s="48"/>
      <c r="AM38" s="104">
        <f t="shared" si="72"/>
        <v>80</v>
      </c>
      <c r="AN38" s="74">
        <f t="shared" si="56"/>
        <v>46191</v>
      </c>
      <c r="AO38" s="108">
        <f t="shared" si="57"/>
        <v>-16</v>
      </c>
      <c r="AP38" s="48"/>
      <c r="AQ38" s="110"/>
      <c r="AR38" s="75">
        <f t="shared" si="58"/>
        <v>46191</v>
      </c>
      <c r="AS38" s="108">
        <f t="shared" si="59"/>
        <v>-16</v>
      </c>
      <c r="AT38" s="48"/>
      <c r="AU38" s="114">
        <f t="shared" si="60"/>
        <v>46207</v>
      </c>
      <c r="AV38" s="120" t="str" cm="1">
        <f t="array" ref="AV38">IF(OR(G38&gt;$C$6,G38=""),$F$8,INDEX($E$8:$Z$8,MATCH(TRUE,(F38:AA38=""),0)))</f>
        <v>1. Tender Docs &amp; BOQ</v>
      </c>
      <c r="AW38" s="117" t="b">
        <f t="shared" si="61"/>
        <v>0</v>
      </c>
      <c r="AX38" s="76" t="b">
        <f t="shared" si="62"/>
        <v>0</v>
      </c>
      <c r="AY38" s="76" t="b">
        <f t="shared" si="63"/>
        <v>0</v>
      </c>
      <c r="AZ38" s="76" t="b">
        <f t="shared" si="64"/>
        <v>0</v>
      </c>
      <c r="BA38" s="76" t="b">
        <f t="shared" si="65"/>
        <v>0</v>
      </c>
      <c r="BB38" s="76" t="b">
        <f t="shared" si="66"/>
        <v>0</v>
      </c>
      <c r="BC38" s="76" t="b">
        <f t="shared" si="67"/>
        <v>0</v>
      </c>
      <c r="BD38" s="76" t="b">
        <f t="shared" si="68"/>
        <v>0</v>
      </c>
      <c r="BE38" s="76" t="b">
        <f t="shared" si="69"/>
        <v>0</v>
      </c>
      <c r="BF38" s="76" t="b">
        <f t="shared" si="70"/>
        <v>0</v>
      </c>
      <c r="BG38" s="90" t="b">
        <f t="shared" si="71"/>
        <v>0</v>
      </c>
      <c r="BH38" s="146"/>
    </row>
    <row r="39" spans="1:60" ht="26.25" x14ac:dyDescent="0.25">
      <c r="A39" s="56" cm="1">
        <f t="array" ref="A39">SUMPRODUCT(($AV$10:$AV$68&lt;&gt;"")*(ROW($AV$10:$AV$68)&lt;=ROW()))</f>
        <v>25</v>
      </c>
      <c r="B39" s="57"/>
      <c r="C39" s="58" t="s">
        <v>249</v>
      </c>
      <c r="D39" s="93" t="s">
        <v>7</v>
      </c>
      <c r="E39" s="16"/>
      <c r="F39" s="29">
        <f t="shared" si="42"/>
        <v>46096</v>
      </c>
      <c r="G39" s="42"/>
      <c r="H39" s="29">
        <f t="shared" si="43"/>
        <v>46103</v>
      </c>
      <c r="I39" s="42"/>
      <c r="J39" s="29">
        <f t="shared" si="44"/>
        <v>46109</v>
      </c>
      <c r="K39" s="42"/>
      <c r="L39" s="29">
        <f t="shared" si="45"/>
        <v>46112</v>
      </c>
      <c r="M39" s="42"/>
      <c r="N39" s="29">
        <f t="shared" si="46"/>
        <v>46142</v>
      </c>
      <c r="O39" s="42"/>
      <c r="P39" s="29">
        <f t="shared" si="47"/>
        <v>46152</v>
      </c>
      <c r="Q39" s="42"/>
      <c r="R39" s="29">
        <f t="shared" si="48"/>
        <v>46172</v>
      </c>
      <c r="S39" s="42"/>
      <c r="T39" s="29">
        <f t="shared" si="49"/>
        <v>46179</v>
      </c>
      <c r="U39" s="42"/>
      <c r="V39" s="29">
        <f t="shared" si="50"/>
        <v>46186</v>
      </c>
      <c r="W39" s="42"/>
      <c r="X39" s="29">
        <f t="shared" si="51"/>
        <v>46191</v>
      </c>
      <c r="Y39" s="42"/>
      <c r="Z39" s="30">
        <f t="shared" si="52"/>
        <v>46201</v>
      </c>
      <c r="AA39" s="42"/>
      <c r="AB39" s="31">
        <f t="shared" si="53"/>
        <v>79</v>
      </c>
      <c r="AC39" s="16"/>
      <c r="AD39" s="131">
        <f t="shared" si="54"/>
        <v>95</v>
      </c>
      <c r="AE39" s="16"/>
      <c r="AF39" s="95"/>
      <c r="AG39" s="67"/>
      <c r="AH39" s="67" t="s">
        <v>134</v>
      </c>
      <c r="AI39" s="67"/>
      <c r="AJ39" s="68" t="str">
        <f t="shared" si="55"/>
        <v/>
      </c>
      <c r="AK39" s="102"/>
      <c r="AL39" s="48"/>
      <c r="AM39" s="105">
        <f t="shared" si="72"/>
        <v>80</v>
      </c>
      <c r="AN39" s="69">
        <f t="shared" si="56"/>
        <v>46191</v>
      </c>
      <c r="AO39" s="107">
        <f t="shared" si="57"/>
        <v>-16</v>
      </c>
      <c r="AP39" s="48"/>
      <c r="AQ39" s="111"/>
      <c r="AR39" s="70">
        <f t="shared" si="58"/>
        <v>46191</v>
      </c>
      <c r="AS39" s="107">
        <f t="shared" si="59"/>
        <v>-16</v>
      </c>
      <c r="AT39" s="48"/>
      <c r="AU39" s="113">
        <f t="shared" si="60"/>
        <v>46207</v>
      </c>
      <c r="AV39" s="119" t="str" cm="1">
        <f t="array" ref="AV39">IF(OR(G39&gt;$C$6,G39=""),$F$8,INDEX($E$8:$Z$8,MATCH(TRUE,(F39:AA39=""),0)))</f>
        <v>1. Tender Docs &amp; BOQ</v>
      </c>
      <c r="AW39" s="116" t="b">
        <f t="shared" si="61"/>
        <v>0</v>
      </c>
      <c r="AX39" s="71" t="b">
        <f t="shared" si="62"/>
        <v>0</v>
      </c>
      <c r="AY39" s="71" t="b">
        <f t="shared" si="63"/>
        <v>0</v>
      </c>
      <c r="AZ39" s="71" t="b">
        <f t="shared" si="64"/>
        <v>0</v>
      </c>
      <c r="BA39" s="71" t="b">
        <f t="shared" si="65"/>
        <v>0</v>
      </c>
      <c r="BB39" s="71" t="b">
        <f t="shared" si="66"/>
        <v>0</v>
      </c>
      <c r="BC39" s="71" t="b">
        <f t="shared" si="67"/>
        <v>0</v>
      </c>
      <c r="BD39" s="71" t="b">
        <f t="shared" si="68"/>
        <v>0</v>
      </c>
      <c r="BE39" s="71" t="b">
        <f t="shared" si="69"/>
        <v>0</v>
      </c>
      <c r="BF39" s="71" t="b">
        <f t="shared" si="70"/>
        <v>0</v>
      </c>
      <c r="BG39" s="89" t="b">
        <f t="shared" si="71"/>
        <v>0</v>
      </c>
      <c r="BH39" s="146"/>
    </row>
    <row r="40" spans="1:60" ht="26.25" x14ac:dyDescent="0.25">
      <c r="A40" s="56" cm="1">
        <f t="array" ref="A40">SUMPRODUCT(($AV$10:$AV$68&lt;&gt;"")*(ROW($AV$10:$AV$68)&lt;=ROW()))</f>
        <v>26</v>
      </c>
      <c r="B40" s="59"/>
      <c r="C40" s="60" t="s">
        <v>250</v>
      </c>
      <c r="D40" s="59" t="s">
        <v>11</v>
      </c>
      <c r="E40" s="43"/>
      <c r="F40" s="44">
        <f t="shared" si="42"/>
        <v>46096</v>
      </c>
      <c r="G40" s="45"/>
      <c r="H40" s="44">
        <f t="shared" si="43"/>
        <v>46103</v>
      </c>
      <c r="I40" s="45"/>
      <c r="J40" s="44">
        <f t="shared" si="44"/>
        <v>46109</v>
      </c>
      <c r="K40" s="45"/>
      <c r="L40" s="44">
        <f t="shared" si="45"/>
        <v>46112</v>
      </c>
      <c r="M40" s="45"/>
      <c r="N40" s="44">
        <f t="shared" si="46"/>
        <v>46142</v>
      </c>
      <c r="O40" s="45"/>
      <c r="P40" s="44">
        <f t="shared" si="47"/>
        <v>46152</v>
      </c>
      <c r="Q40" s="45"/>
      <c r="R40" s="44">
        <f t="shared" si="48"/>
        <v>46172</v>
      </c>
      <c r="S40" s="45"/>
      <c r="T40" s="44">
        <f t="shared" si="49"/>
        <v>46179</v>
      </c>
      <c r="U40" s="45"/>
      <c r="V40" s="44">
        <f t="shared" si="50"/>
        <v>46186</v>
      </c>
      <c r="W40" s="45"/>
      <c r="X40" s="44">
        <f t="shared" si="51"/>
        <v>46191</v>
      </c>
      <c r="Y40" s="45"/>
      <c r="Z40" s="46">
        <f t="shared" si="52"/>
        <v>46201</v>
      </c>
      <c r="AA40" s="45"/>
      <c r="AB40" s="32">
        <f t="shared" si="53"/>
        <v>79</v>
      </c>
      <c r="AC40" s="16"/>
      <c r="AD40" s="131">
        <f t="shared" si="54"/>
        <v>95</v>
      </c>
      <c r="AE40" s="16"/>
      <c r="AF40" s="96"/>
      <c r="AG40" s="72"/>
      <c r="AH40" s="72">
        <v>5450000</v>
      </c>
      <c r="AI40" s="72"/>
      <c r="AJ40" s="73" t="str">
        <f t="shared" si="55"/>
        <v/>
      </c>
      <c r="AK40" s="101"/>
      <c r="AL40" s="48"/>
      <c r="AM40" s="104">
        <f t="shared" si="72"/>
        <v>80</v>
      </c>
      <c r="AN40" s="74">
        <f t="shared" si="56"/>
        <v>46191</v>
      </c>
      <c r="AO40" s="108">
        <f t="shared" si="57"/>
        <v>-16</v>
      </c>
      <c r="AP40" s="48"/>
      <c r="AQ40" s="110"/>
      <c r="AR40" s="75">
        <f t="shared" si="58"/>
        <v>46191</v>
      </c>
      <c r="AS40" s="108">
        <f t="shared" si="59"/>
        <v>-16</v>
      </c>
      <c r="AT40" s="48"/>
      <c r="AU40" s="114">
        <f t="shared" si="60"/>
        <v>46207</v>
      </c>
      <c r="AV40" s="120" t="str" cm="1">
        <f t="array" ref="AV40">IF(OR(G40&gt;$C$6,G40=""),$F$8,INDEX($E$8:$Z$8,MATCH(TRUE,(F40:AA40=""),0)))</f>
        <v>1. Tender Docs &amp; BOQ</v>
      </c>
      <c r="AW40" s="117" t="b">
        <f t="shared" si="61"/>
        <v>0</v>
      </c>
      <c r="AX40" s="76" t="b">
        <f t="shared" si="62"/>
        <v>0</v>
      </c>
      <c r="AY40" s="76" t="b">
        <f t="shared" si="63"/>
        <v>0</v>
      </c>
      <c r="AZ40" s="76" t="b">
        <f t="shared" si="64"/>
        <v>0</v>
      </c>
      <c r="BA40" s="76" t="b">
        <f t="shared" si="65"/>
        <v>0</v>
      </c>
      <c r="BB40" s="76" t="b">
        <f t="shared" si="66"/>
        <v>0</v>
      </c>
      <c r="BC40" s="76" t="b">
        <f t="shared" si="67"/>
        <v>0</v>
      </c>
      <c r="BD40" s="76" t="b">
        <f t="shared" si="68"/>
        <v>0</v>
      </c>
      <c r="BE40" s="76" t="b">
        <f t="shared" si="69"/>
        <v>0</v>
      </c>
      <c r="BF40" s="76" t="b">
        <f t="shared" si="70"/>
        <v>0</v>
      </c>
      <c r="BG40" s="90" t="b">
        <f t="shared" si="71"/>
        <v>0</v>
      </c>
      <c r="BH40" s="48"/>
    </row>
    <row r="41" spans="1:60" ht="26.25" x14ac:dyDescent="0.25">
      <c r="A41" s="54"/>
      <c r="B41" s="49"/>
      <c r="C41" s="50" t="s">
        <v>156</v>
      </c>
      <c r="D41" s="51"/>
      <c r="E41" s="51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1"/>
      <c r="AC41" s="51"/>
      <c r="AD41" s="132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  <c r="BC41" s="51"/>
      <c r="BD41" s="51"/>
      <c r="BE41" s="51"/>
      <c r="BF41" s="51"/>
      <c r="BG41" s="88"/>
      <c r="BH41" s="48"/>
    </row>
    <row r="42" spans="1:60" ht="26.25" x14ac:dyDescent="0.25">
      <c r="A42" s="56" cm="1">
        <f t="array" ref="A42">SUMPRODUCT(($AV$10:$AV$68&lt;&gt;"")*(ROW($AV$10:$AV$68)&lt;=ROW()))</f>
        <v>27</v>
      </c>
      <c r="B42" s="59"/>
      <c r="C42" s="60" t="s">
        <v>251</v>
      </c>
      <c r="D42" s="59" t="s">
        <v>3</v>
      </c>
      <c r="E42" s="43"/>
      <c r="F42" s="44">
        <f>H42-$H$7</f>
        <v>46106</v>
      </c>
      <c r="G42" s="45"/>
      <c r="H42" s="44">
        <f>J42-$J$7</f>
        <v>46113</v>
      </c>
      <c r="I42" s="45"/>
      <c r="J42" s="44">
        <f>L42-$L$7</f>
        <v>46119</v>
      </c>
      <c r="K42" s="45"/>
      <c r="L42" s="44">
        <f>N42-$N$7</f>
        <v>46122</v>
      </c>
      <c r="M42" s="45"/>
      <c r="N42" s="44">
        <f>P42-$P$7</f>
        <v>46152</v>
      </c>
      <c r="O42" s="45"/>
      <c r="P42" s="44">
        <f>R42-$R$7</f>
        <v>46162</v>
      </c>
      <c r="Q42" s="45"/>
      <c r="R42" s="44">
        <f>T42-$T$7</f>
        <v>46182</v>
      </c>
      <c r="S42" s="45"/>
      <c r="T42" s="44">
        <f>V42-$V$7</f>
        <v>46189</v>
      </c>
      <c r="U42" s="45"/>
      <c r="V42" s="44">
        <f>X42-$X$7</f>
        <v>46196</v>
      </c>
      <c r="W42" s="45"/>
      <c r="X42" s="44">
        <f t="shared" ref="X42:X50" si="73">AN42</f>
        <v>46201</v>
      </c>
      <c r="Y42" s="45"/>
      <c r="Z42" s="46">
        <f>X42+$Z$7</f>
        <v>46211</v>
      </c>
      <c r="AA42" s="45"/>
      <c r="AB42" s="32">
        <f>IF(AV42="10. Issued to Contractor","-",IF(AV42="11. Subcontract Agreement signed","-",MAX(AN42,AR42)-$C$6))</f>
        <v>89</v>
      </c>
      <c r="AC42" s="16"/>
      <c r="AD42" s="131">
        <f t="shared" ref="AD42:AD50" si="74">SUM($H$7:$Y$7)</f>
        <v>95</v>
      </c>
      <c r="AE42" s="16"/>
      <c r="AF42" s="96"/>
      <c r="AG42" s="72"/>
      <c r="AH42" s="72">
        <v>3869500</v>
      </c>
      <c r="AI42" s="72"/>
      <c r="AJ42" s="73" t="str">
        <f t="shared" ref="AJ42:AJ50" si="75">IF(AI42&gt;0,SUM(AH42)-SUM(AI42),"")</f>
        <v/>
      </c>
      <c r="AK42" s="101"/>
      <c r="AL42" s="48"/>
      <c r="AM42" s="104">
        <v>90</v>
      </c>
      <c r="AN42" s="74">
        <f>$M$3+AM42-1</f>
        <v>46201</v>
      </c>
      <c r="AO42" s="108">
        <f>AN42-AU42</f>
        <v>-6</v>
      </c>
      <c r="AP42" s="48"/>
      <c r="AQ42" s="110"/>
      <c r="AR42" s="75">
        <f>IFERROR(WORKDAY.INTL(AN42,AQ42,11),"")</f>
        <v>46201</v>
      </c>
      <c r="AS42" s="108">
        <f>AR42-AU42</f>
        <v>-6</v>
      </c>
      <c r="AT42" s="48"/>
      <c r="AU42" s="114">
        <f t="shared" ref="AU42:AU50" si="76">IF(Y42&gt;0,Y42,IFERROR(MAX(_xlfn.XLOOKUP($AV42,$H$8:$Z$8,$G42:$Y42),$C$6)+(AN42-_xlfn.XLOOKUP($AV42,$H$8:$Z$8,$F42:$X42))*AD42/SUM($H$7:$Y$7),$C$6+SUM(AD42)))</f>
        <v>46207</v>
      </c>
      <c r="AV42" s="120" t="str" cm="1">
        <f t="array" ref="AV42">IF(OR(G42&gt;$C$6,G42=""),$F$8,INDEX($E$8:$Z$8,MATCH(TRUE,(F42:AA42=""),0)))</f>
        <v>1. Tender Docs &amp; BOQ</v>
      </c>
      <c r="AW42" s="117" t="b">
        <f>IF(AND(G42&gt;0,G42&lt;$C$6),TRUE,FALSE)</f>
        <v>0</v>
      </c>
      <c r="AX42" s="76" t="b">
        <f>IF(AND(I42&gt;0,I42&lt;$C$6),TRUE,FALSE)</f>
        <v>0</v>
      </c>
      <c r="AY42" s="76" t="b">
        <f>IF(AND(K42&gt;0,K42&lt;$C$6),TRUE,FALSE)</f>
        <v>0</v>
      </c>
      <c r="AZ42" s="76" t="b">
        <f>IF(AND(M42&gt;0,M42&lt;$C$6),TRUE,FALSE)</f>
        <v>0</v>
      </c>
      <c r="BA42" s="76" t="b">
        <f>IF(AND(O42&gt;0,O42&lt;$C$6),TRUE,FALSE)</f>
        <v>0</v>
      </c>
      <c r="BB42" s="76" t="b">
        <f>IF(AND(Q42&gt;0,Q42&lt;$C$6),TRUE,FALSE)</f>
        <v>0</v>
      </c>
      <c r="BC42" s="76" t="b">
        <f>IF(AND(S42&gt;0,S42&lt;$C$6),TRUE,FALSE)</f>
        <v>0</v>
      </c>
      <c r="BD42" s="76" t="b">
        <f>IF(AND(U42&gt;0,U42&lt;$C$6),TRUE,FALSE)</f>
        <v>0</v>
      </c>
      <c r="BE42" s="76" t="b">
        <f>IF(AND(W42&gt;0,W42&lt;$C$6),TRUE,FALSE)</f>
        <v>0</v>
      </c>
      <c r="BF42" s="76" t="b">
        <f>IF(AND(Y42&gt;0,Y42&lt;$C$6),TRUE,FALSE)</f>
        <v>0</v>
      </c>
      <c r="BG42" s="90" t="b">
        <f>IF(AND(AA42&gt;0,AA42&lt;$C$6),TRUE,FALSE)</f>
        <v>0</v>
      </c>
      <c r="BH42" s="48"/>
    </row>
    <row r="43" spans="1:60" ht="26.25" x14ac:dyDescent="0.25">
      <c r="A43" s="56" cm="1">
        <f t="array" ref="A43">SUMPRODUCT(($AV$10:$AV$68&lt;&gt;"")*(ROW($AV$10:$AV$68)&lt;=ROW()))</f>
        <v>28</v>
      </c>
      <c r="B43" s="57"/>
      <c r="C43" s="58" t="s">
        <v>252</v>
      </c>
      <c r="D43" s="93" t="s">
        <v>3</v>
      </c>
      <c r="E43" s="16"/>
      <c r="F43" s="29">
        <f>H43-$H$7</f>
        <v>46106</v>
      </c>
      <c r="G43" s="42"/>
      <c r="H43" s="29">
        <f>J43-$J$7</f>
        <v>46113</v>
      </c>
      <c r="I43" s="42"/>
      <c r="J43" s="29">
        <f>L43-$L$7</f>
        <v>46119</v>
      </c>
      <c r="K43" s="42"/>
      <c r="L43" s="29">
        <f>N43-$N$7</f>
        <v>46122</v>
      </c>
      <c r="M43" s="42"/>
      <c r="N43" s="29">
        <f>P43-$P$7</f>
        <v>46152</v>
      </c>
      <c r="O43" s="42"/>
      <c r="P43" s="29">
        <f>R43-$R$7</f>
        <v>46162</v>
      </c>
      <c r="Q43" s="42"/>
      <c r="R43" s="29">
        <f>T43-$T$7</f>
        <v>46182</v>
      </c>
      <c r="S43" s="42"/>
      <c r="T43" s="29">
        <f>V43-$V$7</f>
        <v>46189</v>
      </c>
      <c r="U43" s="42"/>
      <c r="V43" s="29">
        <f>X43-$X$7</f>
        <v>46196</v>
      </c>
      <c r="W43" s="42"/>
      <c r="X43" s="29">
        <f t="shared" si="73"/>
        <v>46201</v>
      </c>
      <c r="Y43" s="42"/>
      <c r="Z43" s="30">
        <f>X43+$Z$7</f>
        <v>46211</v>
      </c>
      <c r="AA43" s="42"/>
      <c r="AB43" s="31">
        <f>IF(AV43="10. Issued to Contractor","-",IF(AV43="11. Subcontract Agreement signed","-",MAX(AN43,AR43)-$C$6))</f>
        <v>89</v>
      </c>
      <c r="AC43" s="16"/>
      <c r="AD43" s="131">
        <f t="shared" si="74"/>
        <v>95</v>
      </c>
      <c r="AE43" s="16"/>
      <c r="AF43" s="95"/>
      <c r="AG43" s="67"/>
      <c r="AH43" s="67">
        <v>37591920</v>
      </c>
      <c r="AI43" s="67"/>
      <c r="AJ43" s="68" t="str">
        <f t="shared" si="75"/>
        <v/>
      </c>
      <c r="AK43" s="102"/>
      <c r="AL43" s="48"/>
      <c r="AM43" s="105">
        <f t="shared" ref="AM43:AM50" si="77">AM42</f>
        <v>90</v>
      </c>
      <c r="AN43" s="69">
        <f>$M$3+AM43-1</f>
        <v>46201</v>
      </c>
      <c r="AO43" s="107">
        <f>AN43-AU43</f>
        <v>-6</v>
      </c>
      <c r="AP43" s="48"/>
      <c r="AQ43" s="111"/>
      <c r="AR43" s="70">
        <f>IFERROR(WORKDAY.INTL(AN43,AQ43,11),"")</f>
        <v>46201</v>
      </c>
      <c r="AS43" s="107">
        <f>AR43-AU43</f>
        <v>-6</v>
      </c>
      <c r="AT43" s="48"/>
      <c r="AU43" s="113">
        <f t="shared" si="76"/>
        <v>46207</v>
      </c>
      <c r="AV43" s="119" t="str" cm="1">
        <f t="array" ref="AV43">IF(OR(G43&gt;$C$6,G43=""),$F$8,INDEX($E$8:$Z$8,MATCH(TRUE,(F43:AA43=""),0)))</f>
        <v>1. Tender Docs &amp; BOQ</v>
      </c>
      <c r="AW43" s="116" t="b">
        <f>IF(AND(G43&gt;0,G43&lt;$C$6),TRUE,FALSE)</f>
        <v>0</v>
      </c>
      <c r="AX43" s="71" t="b">
        <f>IF(AND(I43&gt;0,I43&lt;$C$6),TRUE,FALSE)</f>
        <v>0</v>
      </c>
      <c r="AY43" s="71" t="b">
        <f>IF(AND(K43&gt;0,K43&lt;$C$6),TRUE,FALSE)</f>
        <v>0</v>
      </c>
      <c r="AZ43" s="71" t="b">
        <f>IF(AND(M43&gt;0,M43&lt;$C$6),TRUE,FALSE)</f>
        <v>0</v>
      </c>
      <c r="BA43" s="71" t="b">
        <f>IF(AND(O43&gt;0,O43&lt;$C$6),TRUE,FALSE)</f>
        <v>0</v>
      </c>
      <c r="BB43" s="71" t="b">
        <f>IF(AND(Q43&gt;0,Q43&lt;$C$6),TRUE,FALSE)</f>
        <v>0</v>
      </c>
      <c r="BC43" s="71" t="b">
        <f>IF(AND(S43&gt;0,S43&lt;$C$6),TRUE,FALSE)</f>
        <v>0</v>
      </c>
      <c r="BD43" s="71" t="b">
        <f>IF(AND(U43&gt;0,U43&lt;$C$6),TRUE,FALSE)</f>
        <v>0</v>
      </c>
      <c r="BE43" s="71" t="b">
        <f>IF(AND(W43&gt;0,W43&lt;$C$6),TRUE,FALSE)</f>
        <v>0</v>
      </c>
      <c r="BF43" s="71" t="b">
        <f>IF(AND(Y43&gt;0,Y43&lt;$C$6),TRUE,FALSE)</f>
        <v>0</v>
      </c>
      <c r="BG43" s="89" t="b">
        <f>IF(AND(AA43&gt;0,AA43&lt;$C$6),TRUE,FALSE)</f>
        <v>0</v>
      </c>
      <c r="BH43" s="48"/>
    </row>
    <row r="44" spans="1:60" ht="26.25" x14ac:dyDescent="0.25">
      <c r="A44" s="56" cm="1">
        <f t="array" ref="A44">SUMPRODUCT(($AV$10:$AV$68&lt;&gt;"")*(ROW($AV$10:$AV$68)&lt;=ROW()))</f>
        <v>29</v>
      </c>
      <c r="B44" s="59"/>
      <c r="C44" s="60" t="s">
        <v>253</v>
      </c>
      <c r="D44" s="59" t="s">
        <v>3</v>
      </c>
      <c r="E44" s="43"/>
      <c r="F44" s="44">
        <f t="shared" ref="F44:F50" si="78">H44-$H$7</f>
        <v>46106</v>
      </c>
      <c r="G44" s="45"/>
      <c r="H44" s="44">
        <f t="shared" ref="H44:H50" si="79">J44-$J$7</f>
        <v>46113</v>
      </c>
      <c r="I44" s="45"/>
      <c r="J44" s="44">
        <f t="shared" ref="J44:J50" si="80">L44-$L$7</f>
        <v>46119</v>
      </c>
      <c r="K44" s="45"/>
      <c r="L44" s="44">
        <f t="shared" ref="L44:L50" si="81">N44-$N$7</f>
        <v>46122</v>
      </c>
      <c r="M44" s="45"/>
      <c r="N44" s="44">
        <f t="shared" ref="N44:N50" si="82">P44-$P$7</f>
        <v>46152</v>
      </c>
      <c r="O44" s="45"/>
      <c r="P44" s="44">
        <f t="shared" ref="P44:P50" si="83">R44-$R$7</f>
        <v>46162</v>
      </c>
      <c r="Q44" s="45"/>
      <c r="R44" s="44">
        <f t="shared" ref="R44:R50" si="84">T44-$T$7</f>
        <v>46182</v>
      </c>
      <c r="S44" s="45"/>
      <c r="T44" s="44">
        <f t="shared" ref="T44:T50" si="85">V44-$V$7</f>
        <v>46189</v>
      </c>
      <c r="U44" s="45"/>
      <c r="V44" s="44">
        <f t="shared" ref="V44:V50" si="86">X44-$X$7</f>
        <v>46196</v>
      </c>
      <c r="W44" s="45"/>
      <c r="X44" s="44">
        <f t="shared" si="73"/>
        <v>46201</v>
      </c>
      <c r="Y44" s="45"/>
      <c r="Z44" s="46">
        <f t="shared" ref="Z44:Z50" si="87">X44+$Z$7</f>
        <v>46211</v>
      </c>
      <c r="AA44" s="45"/>
      <c r="AB44" s="32">
        <f t="shared" ref="AB44:AB50" si="88">IF(AV44="10. Issued to Contractor","-",IF(AV44="11. Subcontract Agreement signed","-",MAX(AN44,AR44)-$C$6))</f>
        <v>89</v>
      </c>
      <c r="AC44" s="16"/>
      <c r="AD44" s="131">
        <f t="shared" si="74"/>
        <v>95</v>
      </c>
      <c r="AE44" s="16"/>
      <c r="AF44" s="96"/>
      <c r="AG44" s="72"/>
      <c r="AH44" s="72" t="s">
        <v>134</v>
      </c>
      <c r="AI44" s="72"/>
      <c r="AJ44" s="73" t="str">
        <f t="shared" si="75"/>
        <v/>
      </c>
      <c r="AK44" s="101"/>
      <c r="AL44" s="48"/>
      <c r="AM44" s="104">
        <f t="shared" si="77"/>
        <v>90</v>
      </c>
      <c r="AN44" s="74">
        <f t="shared" ref="AN44:AN50" si="89">$M$3+AM44-1</f>
        <v>46201</v>
      </c>
      <c r="AO44" s="108">
        <f t="shared" ref="AO44:AO46" si="90">AN44-AU44</f>
        <v>-6</v>
      </c>
      <c r="AP44" s="48"/>
      <c r="AQ44" s="110"/>
      <c r="AR44" s="75">
        <f t="shared" ref="AR44:AR46" si="91">IFERROR(WORKDAY.INTL(AN44,AQ44,11),"")</f>
        <v>46201</v>
      </c>
      <c r="AS44" s="108">
        <f t="shared" ref="AS44:AS46" si="92">AR44-AU44</f>
        <v>-6</v>
      </c>
      <c r="AT44" s="48"/>
      <c r="AU44" s="114">
        <f t="shared" si="76"/>
        <v>46207</v>
      </c>
      <c r="AV44" s="120" t="str" cm="1">
        <f t="array" ref="AV44">IF(OR(G44&gt;$C$6,G44=""),$F$8,INDEX($E$8:$Z$8,MATCH(TRUE,(F44:AA44=""),0)))</f>
        <v>1. Tender Docs &amp; BOQ</v>
      </c>
      <c r="AW44" s="117" t="b">
        <f t="shared" ref="AW44:AW50" si="93">IF(AND(G44&gt;0,G44&lt;$C$6),TRUE,FALSE)</f>
        <v>0</v>
      </c>
      <c r="AX44" s="76" t="b">
        <f t="shared" ref="AX44:AX50" si="94">IF(AND(I44&gt;0,I44&lt;$C$6),TRUE,FALSE)</f>
        <v>0</v>
      </c>
      <c r="AY44" s="76" t="b">
        <f t="shared" ref="AY44:AY50" si="95">IF(AND(K44&gt;0,K44&lt;$C$6),TRUE,FALSE)</f>
        <v>0</v>
      </c>
      <c r="AZ44" s="76" t="b">
        <f t="shared" ref="AZ44:AZ50" si="96">IF(AND(M44&gt;0,M44&lt;$C$6),TRUE,FALSE)</f>
        <v>0</v>
      </c>
      <c r="BA44" s="76" t="b">
        <f t="shared" ref="BA44:BA50" si="97">IF(AND(O44&gt;0,O44&lt;$C$6),TRUE,FALSE)</f>
        <v>0</v>
      </c>
      <c r="BB44" s="76" t="b">
        <f t="shared" ref="BB44:BB50" si="98">IF(AND(Q44&gt;0,Q44&lt;$C$6),TRUE,FALSE)</f>
        <v>0</v>
      </c>
      <c r="BC44" s="76" t="b">
        <f t="shared" ref="BC44:BC50" si="99">IF(AND(S44&gt;0,S44&lt;$C$6),TRUE,FALSE)</f>
        <v>0</v>
      </c>
      <c r="BD44" s="76" t="b">
        <f t="shared" ref="BD44:BD50" si="100">IF(AND(U44&gt;0,U44&lt;$C$6),TRUE,FALSE)</f>
        <v>0</v>
      </c>
      <c r="BE44" s="76" t="b">
        <f t="shared" ref="BE44:BE50" si="101">IF(AND(W44&gt;0,W44&lt;$C$6),TRUE,FALSE)</f>
        <v>0</v>
      </c>
      <c r="BF44" s="76" t="b">
        <f t="shared" ref="BF44:BF50" si="102">IF(AND(Y44&gt;0,Y44&lt;$C$6),TRUE,FALSE)</f>
        <v>0</v>
      </c>
      <c r="BG44" s="90" t="b">
        <f t="shared" ref="BG44:BG50" si="103">IF(AND(AA44&gt;0,AA44&lt;$C$6),TRUE,FALSE)</f>
        <v>0</v>
      </c>
      <c r="BH44" s="48"/>
    </row>
    <row r="45" spans="1:60" ht="26.25" x14ac:dyDescent="0.25">
      <c r="A45" s="56" cm="1">
        <f t="array" ref="A45">SUMPRODUCT(($AV$10:$AV$68&lt;&gt;"")*(ROW($AV$10:$AV$68)&lt;=ROW()))</f>
        <v>30</v>
      </c>
      <c r="B45" s="57"/>
      <c r="C45" s="58" t="s">
        <v>254</v>
      </c>
      <c r="D45" s="93" t="s">
        <v>13</v>
      </c>
      <c r="E45" s="16"/>
      <c r="F45" s="29">
        <f t="shared" si="78"/>
        <v>46106</v>
      </c>
      <c r="G45" s="42"/>
      <c r="H45" s="29">
        <f t="shared" si="79"/>
        <v>46113</v>
      </c>
      <c r="I45" s="42"/>
      <c r="J45" s="29">
        <f t="shared" si="80"/>
        <v>46119</v>
      </c>
      <c r="K45" s="42"/>
      <c r="L45" s="29">
        <f t="shared" si="81"/>
        <v>46122</v>
      </c>
      <c r="M45" s="42"/>
      <c r="N45" s="29">
        <f t="shared" si="82"/>
        <v>46152</v>
      </c>
      <c r="O45" s="42"/>
      <c r="P45" s="29">
        <f t="shared" si="83"/>
        <v>46162</v>
      </c>
      <c r="Q45" s="42"/>
      <c r="R45" s="29">
        <f t="shared" si="84"/>
        <v>46182</v>
      </c>
      <c r="S45" s="42"/>
      <c r="T45" s="29">
        <f t="shared" si="85"/>
        <v>46189</v>
      </c>
      <c r="U45" s="42"/>
      <c r="V45" s="29">
        <f t="shared" si="86"/>
        <v>46196</v>
      </c>
      <c r="W45" s="42"/>
      <c r="X45" s="29">
        <f t="shared" si="73"/>
        <v>46201</v>
      </c>
      <c r="Y45" s="42"/>
      <c r="Z45" s="30">
        <f t="shared" si="87"/>
        <v>46211</v>
      </c>
      <c r="AA45" s="42"/>
      <c r="AB45" s="31">
        <f t="shared" si="88"/>
        <v>89</v>
      </c>
      <c r="AC45" s="16"/>
      <c r="AD45" s="131">
        <f t="shared" si="74"/>
        <v>95</v>
      </c>
      <c r="AE45" s="16"/>
      <c r="AF45" s="95"/>
      <c r="AG45" s="67"/>
      <c r="AH45" s="67" t="s">
        <v>134</v>
      </c>
      <c r="AI45" s="67"/>
      <c r="AJ45" s="68" t="str">
        <f t="shared" si="75"/>
        <v/>
      </c>
      <c r="AK45" s="102"/>
      <c r="AL45" s="48"/>
      <c r="AM45" s="105">
        <f t="shared" si="77"/>
        <v>90</v>
      </c>
      <c r="AN45" s="69">
        <f t="shared" si="89"/>
        <v>46201</v>
      </c>
      <c r="AO45" s="107">
        <f t="shared" si="90"/>
        <v>-6</v>
      </c>
      <c r="AP45" s="48"/>
      <c r="AQ45" s="111"/>
      <c r="AR45" s="70">
        <f t="shared" si="91"/>
        <v>46201</v>
      </c>
      <c r="AS45" s="107">
        <f t="shared" si="92"/>
        <v>-6</v>
      </c>
      <c r="AT45" s="48"/>
      <c r="AU45" s="113">
        <f t="shared" si="76"/>
        <v>46207</v>
      </c>
      <c r="AV45" s="119" t="str" cm="1">
        <f t="array" ref="AV45">IF(OR(G45&gt;$C$6,G45=""),$F$8,INDEX($E$8:$Z$8,MATCH(TRUE,(F45:AA45=""),0)))</f>
        <v>1. Tender Docs &amp; BOQ</v>
      </c>
      <c r="AW45" s="116" t="b">
        <f t="shared" si="93"/>
        <v>0</v>
      </c>
      <c r="AX45" s="71" t="b">
        <f t="shared" si="94"/>
        <v>0</v>
      </c>
      <c r="AY45" s="71" t="b">
        <f t="shared" si="95"/>
        <v>0</v>
      </c>
      <c r="AZ45" s="71" t="b">
        <f t="shared" si="96"/>
        <v>0</v>
      </c>
      <c r="BA45" s="71" t="b">
        <f t="shared" si="97"/>
        <v>0</v>
      </c>
      <c r="BB45" s="71" t="b">
        <f t="shared" si="98"/>
        <v>0</v>
      </c>
      <c r="BC45" s="71" t="b">
        <f t="shared" si="99"/>
        <v>0</v>
      </c>
      <c r="BD45" s="71" t="b">
        <f t="shared" si="100"/>
        <v>0</v>
      </c>
      <c r="BE45" s="71" t="b">
        <f t="shared" si="101"/>
        <v>0</v>
      </c>
      <c r="BF45" s="71" t="b">
        <f t="shared" si="102"/>
        <v>0</v>
      </c>
      <c r="BG45" s="89" t="b">
        <f t="shared" si="103"/>
        <v>0</v>
      </c>
      <c r="BH45" s="48"/>
    </row>
    <row r="46" spans="1:60" ht="26.25" x14ac:dyDescent="0.25">
      <c r="A46" s="56" cm="1">
        <f t="array" ref="A46">SUMPRODUCT(($AV$10:$AV$68&lt;&gt;"")*(ROW($AV$10:$AV$68)&lt;=ROW()))</f>
        <v>31</v>
      </c>
      <c r="B46" s="59"/>
      <c r="C46" s="60" t="s">
        <v>255</v>
      </c>
      <c r="D46" s="59" t="s">
        <v>107</v>
      </c>
      <c r="E46" s="43"/>
      <c r="F46" s="44">
        <f t="shared" si="78"/>
        <v>46106</v>
      </c>
      <c r="G46" s="45"/>
      <c r="H46" s="44">
        <f t="shared" si="79"/>
        <v>46113</v>
      </c>
      <c r="I46" s="45"/>
      <c r="J46" s="44">
        <f t="shared" si="80"/>
        <v>46119</v>
      </c>
      <c r="K46" s="45"/>
      <c r="L46" s="44">
        <f t="shared" si="81"/>
        <v>46122</v>
      </c>
      <c r="M46" s="45"/>
      <c r="N46" s="44">
        <f t="shared" si="82"/>
        <v>46152</v>
      </c>
      <c r="O46" s="45"/>
      <c r="P46" s="44">
        <f t="shared" si="83"/>
        <v>46162</v>
      </c>
      <c r="Q46" s="45"/>
      <c r="R46" s="44">
        <f t="shared" si="84"/>
        <v>46182</v>
      </c>
      <c r="S46" s="45"/>
      <c r="T46" s="44">
        <f t="shared" si="85"/>
        <v>46189</v>
      </c>
      <c r="U46" s="45"/>
      <c r="V46" s="44">
        <f t="shared" si="86"/>
        <v>46196</v>
      </c>
      <c r="W46" s="45"/>
      <c r="X46" s="44">
        <f t="shared" si="73"/>
        <v>46201</v>
      </c>
      <c r="Y46" s="45"/>
      <c r="Z46" s="46">
        <f t="shared" si="87"/>
        <v>46211</v>
      </c>
      <c r="AA46" s="45"/>
      <c r="AB46" s="32">
        <f t="shared" si="88"/>
        <v>89</v>
      </c>
      <c r="AC46" s="16"/>
      <c r="AD46" s="131">
        <f t="shared" si="74"/>
        <v>95</v>
      </c>
      <c r="AE46" s="16"/>
      <c r="AF46" s="96"/>
      <c r="AG46" s="72"/>
      <c r="AH46" s="72" t="s">
        <v>134</v>
      </c>
      <c r="AI46" s="72"/>
      <c r="AJ46" s="73" t="str">
        <f t="shared" si="75"/>
        <v/>
      </c>
      <c r="AK46" s="101"/>
      <c r="AL46" s="48"/>
      <c r="AM46" s="104">
        <f t="shared" si="77"/>
        <v>90</v>
      </c>
      <c r="AN46" s="74">
        <f t="shared" si="89"/>
        <v>46201</v>
      </c>
      <c r="AO46" s="108">
        <f t="shared" si="90"/>
        <v>-6</v>
      </c>
      <c r="AP46" s="48"/>
      <c r="AQ46" s="110"/>
      <c r="AR46" s="75">
        <f t="shared" si="91"/>
        <v>46201</v>
      </c>
      <c r="AS46" s="108">
        <f t="shared" si="92"/>
        <v>-6</v>
      </c>
      <c r="AT46" s="48"/>
      <c r="AU46" s="114">
        <f t="shared" si="76"/>
        <v>46207</v>
      </c>
      <c r="AV46" s="120" t="str" cm="1">
        <f t="array" ref="AV46">IF(OR(G46&gt;$C$6,G46=""),$F$8,INDEX($E$8:$Z$8,MATCH(TRUE,(F46:AA46=""),0)))</f>
        <v>1. Tender Docs &amp; BOQ</v>
      </c>
      <c r="AW46" s="117" t="b">
        <f t="shared" si="93"/>
        <v>0</v>
      </c>
      <c r="AX46" s="76" t="b">
        <f t="shared" si="94"/>
        <v>0</v>
      </c>
      <c r="AY46" s="76" t="b">
        <f t="shared" si="95"/>
        <v>0</v>
      </c>
      <c r="AZ46" s="76" t="b">
        <f t="shared" si="96"/>
        <v>0</v>
      </c>
      <c r="BA46" s="76" t="b">
        <f t="shared" si="97"/>
        <v>0</v>
      </c>
      <c r="BB46" s="76" t="b">
        <f t="shared" si="98"/>
        <v>0</v>
      </c>
      <c r="BC46" s="76" t="b">
        <f t="shared" si="99"/>
        <v>0</v>
      </c>
      <c r="BD46" s="76" t="b">
        <f t="shared" si="100"/>
        <v>0</v>
      </c>
      <c r="BE46" s="76" t="b">
        <f t="shared" si="101"/>
        <v>0</v>
      </c>
      <c r="BF46" s="76" t="b">
        <f t="shared" si="102"/>
        <v>0</v>
      </c>
      <c r="BG46" s="90" t="b">
        <f t="shared" si="103"/>
        <v>0</v>
      </c>
      <c r="BH46" s="48"/>
    </row>
    <row r="47" spans="1:60" ht="26.25" x14ac:dyDescent="0.25">
      <c r="A47" s="56" cm="1">
        <f t="array" ref="A47">SUMPRODUCT(($AV$10:$AV$68&lt;&gt;"")*(ROW($AV$10:$AV$68)&lt;=ROW()))</f>
        <v>32</v>
      </c>
      <c r="B47" s="57"/>
      <c r="C47" s="58" t="s">
        <v>256</v>
      </c>
      <c r="D47" s="93" t="s">
        <v>107</v>
      </c>
      <c r="E47" s="16"/>
      <c r="F47" s="29">
        <f t="shared" si="78"/>
        <v>46106</v>
      </c>
      <c r="G47" s="42"/>
      <c r="H47" s="29">
        <f t="shared" si="79"/>
        <v>46113</v>
      </c>
      <c r="I47" s="42"/>
      <c r="J47" s="29">
        <f t="shared" si="80"/>
        <v>46119</v>
      </c>
      <c r="K47" s="42"/>
      <c r="L47" s="29">
        <f t="shared" si="81"/>
        <v>46122</v>
      </c>
      <c r="M47" s="42"/>
      <c r="N47" s="29">
        <f t="shared" si="82"/>
        <v>46152</v>
      </c>
      <c r="O47" s="42"/>
      <c r="P47" s="29">
        <f t="shared" si="83"/>
        <v>46162</v>
      </c>
      <c r="Q47" s="42"/>
      <c r="R47" s="29">
        <f t="shared" si="84"/>
        <v>46182</v>
      </c>
      <c r="S47" s="42"/>
      <c r="T47" s="29">
        <f t="shared" si="85"/>
        <v>46189</v>
      </c>
      <c r="U47" s="42"/>
      <c r="V47" s="29">
        <f t="shared" si="86"/>
        <v>46196</v>
      </c>
      <c r="W47" s="42"/>
      <c r="X47" s="29">
        <f t="shared" si="73"/>
        <v>46201</v>
      </c>
      <c r="Y47" s="42"/>
      <c r="Z47" s="30">
        <f t="shared" si="87"/>
        <v>46211</v>
      </c>
      <c r="AA47" s="42"/>
      <c r="AB47" s="31">
        <f t="shared" si="88"/>
        <v>89</v>
      </c>
      <c r="AC47" s="16"/>
      <c r="AD47" s="131">
        <f t="shared" si="74"/>
        <v>95</v>
      </c>
      <c r="AE47" s="16"/>
      <c r="AF47" s="95"/>
      <c r="AG47" s="67"/>
      <c r="AH47" s="67" t="s">
        <v>134</v>
      </c>
      <c r="AI47" s="67"/>
      <c r="AJ47" s="68" t="str">
        <f t="shared" si="75"/>
        <v/>
      </c>
      <c r="AK47" s="102"/>
      <c r="AL47" s="48"/>
      <c r="AM47" s="105">
        <f t="shared" si="77"/>
        <v>90</v>
      </c>
      <c r="AN47" s="69">
        <f t="shared" si="89"/>
        <v>46201</v>
      </c>
      <c r="AO47" s="107">
        <f>AN47-AU47</f>
        <v>-6</v>
      </c>
      <c r="AP47" s="48"/>
      <c r="AQ47" s="111"/>
      <c r="AR47" s="70">
        <f>IFERROR(WORKDAY.INTL(AN47,AQ47,11),"")</f>
        <v>46201</v>
      </c>
      <c r="AS47" s="107">
        <f>AR47-AU47</f>
        <v>-6</v>
      </c>
      <c r="AT47" s="48"/>
      <c r="AU47" s="113">
        <f t="shared" si="76"/>
        <v>46207</v>
      </c>
      <c r="AV47" s="119" t="str" cm="1">
        <f t="array" ref="AV47">IF(OR(G47&gt;$C$6,G47=""),$F$8,INDEX($E$8:$Z$8,MATCH(TRUE,(F47:AA47=""),0)))</f>
        <v>1. Tender Docs &amp; BOQ</v>
      </c>
      <c r="AW47" s="116" t="b">
        <f t="shared" si="93"/>
        <v>0</v>
      </c>
      <c r="AX47" s="71" t="b">
        <f t="shared" si="94"/>
        <v>0</v>
      </c>
      <c r="AY47" s="71" t="b">
        <f t="shared" si="95"/>
        <v>0</v>
      </c>
      <c r="AZ47" s="71" t="b">
        <f t="shared" si="96"/>
        <v>0</v>
      </c>
      <c r="BA47" s="71" t="b">
        <f t="shared" si="97"/>
        <v>0</v>
      </c>
      <c r="BB47" s="71" t="b">
        <f t="shared" si="98"/>
        <v>0</v>
      </c>
      <c r="BC47" s="71" t="b">
        <f t="shared" si="99"/>
        <v>0</v>
      </c>
      <c r="BD47" s="71" t="b">
        <f t="shared" si="100"/>
        <v>0</v>
      </c>
      <c r="BE47" s="71" t="b">
        <f t="shared" si="101"/>
        <v>0</v>
      </c>
      <c r="BF47" s="71" t="b">
        <f t="shared" si="102"/>
        <v>0</v>
      </c>
      <c r="BG47" s="89" t="b">
        <f t="shared" si="103"/>
        <v>0</v>
      </c>
      <c r="BH47" s="48"/>
    </row>
    <row r="48" spans="1:60" ht="26.25" x14ac:dyDescent="0.25">
      <c r="A48" s="56" cm="1">
        <f t="array" ref="A48">SUMPRODUCT(($AV$10:$AV$68&lt;&gt;"")*(ROW($AV$10:$AV$68)&lt;=ROW()))</f>
        <v>33</v>
      </c>
      <c r="B48" s="59"/>
      <c r="C48" s="60" t="s">
        <v>257</v>
      </c>
      <c r="D48" s="59" t="s">
        <v>3</v>
      </c>
      <c r="E48" s="43"/>
      <c r="F48" s="44">
        <f t="shared" si="78"/>
        <v>46106</v>
      </c>
      <c r="G48" s="45"/>
      <c r="H48" s="44">
        <f t="shared" si="79"/>
        <v>46113</v>
      </c>
      <c r="I48" s="45"/>
      <c r="J48" s="44">
        <f t="shared" si="80"/>
        <v>46119</v>
      </c>
      <c r="K48" s="45"/>
      <c r="L48" s="44">
        <f t="shared" si="81"/>
        <v>46122</v>
      </c>
      <c r="M48" s="45"/>
      <c r="N48" s="44">
        <f t="shared" si="82"/>
        <v>46152</v>
      </c>
      <c r="O48" s="45"/>
      <c r="P48" s="44">
        <f t="shared" si="83"/>
        <v>46162</v>
      </c>
      <c r="Q48" s="45"/>
      <c r="R48" s="44">
        <f t="shared" si="84"/>
        <v>46182</v>
      </c>
      <c r="S48" s="45"/>
      <c r="T48" s="44">
        <f t="shared" si="85"/>
        <v>46189</v>
      </c>
      <c r="U48" s="45"/>
      <c r="V48" s="44">
        <f t="shared" si="86"/>
        <v>46196</v>
      </c>
      <c r="W48" s="45"/>
      <c r="X48" s="44">
        <f t="shared" si="73"/>
        <v>46201</v>
      </c>
      <c r="Y48" s="45"/>
      <c r="Z48" s="46">
        <f t="shared" si="87"/>
        <v>46211</v>
      </c>
      <c r="AA48" s="45"/>
      <c r="AB48" s="32">
        <f t="shared" si="88"/>
        <v>89</v>
      </c>
      <c r="AC48" s="16"/>
      <c r="AD48" s="131">
        <f t="shared" si="74"/>
        <v>95</v>
      </c>
      <c r="AE48" s="16"/>
      <c r="AF48" s="96"/>
      <c r="AG48" s="72"/>
      <c r="AH48" s="72" t="s">
        <v>134</v>
      </c>
      <c r="AI48" s="72"/>
      <c r="AJ48" s="73" t="str">
        <f t="shared" si="75"/>
        <v/>
      </c>
      <c r="AK48" s="101"/>
      <c r="AL48" s="48"/>
      <c r="AM48" s="104">
        <f t="shared" si="77"/>
        <v>90</v>
      </c>
      <c r="AN48" s="74">
        <f t="shared" si="89"/>
        <v>46201</v>
      </c>
      <c r="AO48" s="108">
        <f t="shared" ref="AO48:AO50" si="104">AN48-AU48</f>
        <v>-6</v>
      </c>
      <c r="AP48" s="48"/>
      <c r="AQ48" s="110"/>
      <c r="AR48" s="75">
        <f t="shared" ref="AR48:AR50" si="105">IFERROR(WORKDAY.INTL(AN48,AQ48,11),"")</f>
        <v>46201</v>
      </c>
      <c r="AS48" s="108">
        <f t="shared" ref="AS48:AS50" si="106">AR48-AU48</f>
        <v>-6</v>
      </c>
      <c r="AT48" s="48"/>
      <c r="AU48" s="114">
        <f t="shared" si="76"/>
        <v>46207</v>
      </c>
      <c r="AV48" s="120" t="str" cm="1">
        <f t="array" ref="AV48">IF(OR(G48&gt;$C$6,G48=""),$F$8,INDEX($E$8:$Z$8,MATCH(TRUE,(F48:AA48=""),0)))</f>
        <v>1. Tender Docs &amp; BOQ</v>
      </c>
      <c r="AW48" s="117" t="b">
        <f t="shared" si="93"/>
        <v>0</v>
      </c>
      <c r="AX48" s="76" t="b">
        <f t="shared" si="94"/>
        <v>0</v>
      </c>
      <c r="AY48" s="76" t="b">
        <f t="shared" si="95"/>
        <v>0</v>
      </c>
      <c r="AZ48" s="76" t="b">
        <f t="shared" si="96"/>
        <v>0</v>
      </c>
      <c r="BA48" s="76" t="b">
        <f t="shared" si="97"/>
        <v>0</v>
      </c>
      <c r="BB48" s="76" t="b">
        <f t="shared" si="98"/>
        <v>0</v>
      </c>
      <c r="BC48" s="76" t="b">
        <f t="shared" si="99"/>
        <v>0</v>
      </c>
      <c r="BD48" s="76" t="b">
        <f t="shared" si="100"/>
        <v>0</v>
      </c>
      <c r="BE48" s="76" t="b">
        <f t="shared" si="101"/>
        <v>0</v>
      </c>
      <c r="BF48" s="76" t="b">
        <f t="shared" si="102"/>
        <v>0</v>
      </c>
      <c r="BG48" s="90" t="b">
        <f t="shared" si="103"/>
        <v>0</v>
      </c>
      <c r="BH48" s="48"/>
    </row>
    <row r="49" spans="1:60" ht="26.25" x14ac:dyDescent="0.25">
      <c r="A49" s="56" cm="1">
        <f t="array" ref="A49">SUMPRODUCT(($AV$10:$AV$68&lt;&gt;"")*(ROW($AV$10:$AV$68)&lt;=ROW()))</f>
        <v>34</v>
      </c>
      <c r="B49" s="57"/>
      <c r="C49" s="58" t="s">
        <v>258</v>
      </c>
      <c r="D49" s="93" t="s">
        <v>3</v>
      </c>
      <c r="E49" s="16"/>
      <c r="F49" s="29">
        <f t="shared" si="78"/>
        <v>46106</v>
      </c>
      <c r="G49" s="42"/>
      <c r="H49" s="29">
        <f t="shared" si="79"/>
        <v>46113</v>
      </c>
      <c r="I49" s="42"/>
      <c r="J49" s="29">
        <f t="shared" si="80"/>
        <v>46119</v>
      </c>
      <c r="K49" s="42"/>
      <c r="L49" s="29">
        <f t="shared" si="81"/>
        <v>46122</v>
      </c>
      <c r="M49" s="42"/>
      <c r="N49" s="29">
        <f t="shared" si="82"/>
        <v>46152</v>
      </c>
      <c r="O49" s="42"/>
      <c r="P49" s="29">
        <f t="shared" si="83"/>
        <v>46162</v>
      </c>
      <c r="Q49" s="42"/>
      <c r="R49" s="29">
        <f t="shared" si="84"/>
        <v>46182</v>
      </c>
      <c r="S49" s="42"/>
      <c r="T49" s="29">
        <f t="shared" si="85"/>
        <v>46189</v>
      </c>
      <c r="U49" s="42"/>
      <c r="V49" s="29">
        <f t="shared" si="86"/>
        <v>46196</v>
      </c>
      <c r="W49" s="42"/>
      <c r="X49" s="29">
        <f t="shared" si="73"/>
        <v>46201</v>
      </c>
      <c r="Y49" s="42"/>
      <c r="Z49" s="30">
        <f t="shared" si="87"/>
        <v>46211</v>
      </c>
      <c r="AA49" s="42"/>
      <c r="AB49" s="31">
        <f t="shared" si="88"/>
        <v>89</v>
      </c>
      <c r="AC49" s="16"/>
      <c r="AD49" s="131">
        <f t="shared" si="74"/>
        <v>95</v>
      </c>
      <c r="AE49" s="16"/>
      <c r="AF49" s="95"/>
      <c r="AG49" s="67"/>
      <c r="AH49" s="67" t="s">
        <v>134</v>
      </c>
      <c r="AI49" s="67"/>
      <c r="AJ49" s="68" t="str">
        <f t="shared" si="75"/>
        <v/>
      </c>
      <c r="AK49" s="102"/>
      <c r="AL49" s="48"/>
      <c r="AM49" s="105">
        <f t="shared" si="77"/>
        <v>90</v>
      </c>
      <c r="AN49" s="69">
        <f t="shared" si="89"/>
        <v>46201</v>
      </c>
      <c r="AO49" s="107">
        <f t="shared" si="104"/>
        <v>-6</v>
      </c>
      <c r="AP49" s="48"/>
      <c r="AQ49" s="111"/>
      <c r="AR49" s="70">
        <f t="shared" si="105"/>
        <v>46201</v>
      </c>
      <c r="AS49" s="107">
        <f t="shared" si="106"/>
        <v>-6</v>
      </c>
      <c r="AT49" s="48"/>
      <c r="AU49" s="113">
        <f t="shared" si="76"/>
        <v>46207</v>
      </c>
      <c r="AV49" s="119" t="str" cm="1">
        <f t="array" ref="AV49">IF(OR(G49&gt;$C$6,G49=""),$F$8,INDEX($E$8:$Z$8,MATCH(TRUE,(F49:AA49=""),0)))</f>
        <v>1. Tender Docs &amp; BOQ</v>
      </c>
      <c r="AW49" s="116" t="b">
        <f t="shared" si="93"/>
        <v>0</v>
      </c>
      <c r="AX49" s="71" t="b">
        <f t="shared" si="94"/>
        <v>0</v>
      </c>
      <c r="AY49" s="71" t="b">
        <f t="shared" si="95"/>
        <v>0</v>
      </c>
      <c r="AZ49" s="71" t="b">
        <f t="shared" si="96"/>
        <v>0</v>
      </c>
      <c r="BA49" s="71" t="b">
        <f t="shared" si="97"/>
        <v>0</v>
      </c>
      <c r="BB49" s="71" t="b">
        <f t="shared" si="98"/>
        <v>0</v>
      </c>
      <c r="BC49" s="71" t="b">
        <f t="shared" si="99"/>
        <v>0</v>
      </c>
      <c r="BD49" s="71" t="b">
        <f t="shared" si="100"/>
        <v>0</v>
      </c>
      <c r="BE49" s="71" t="b">
        <f t="shared" si="101"/>
        <v>0</v>
      </c>
      <c r="BF49" s="71" t="b">
        <f t="shared" si="102"/>
        <v>0</v>
      </c>
      <c r="BG49" s="89" t="b">
        <f t="shared" si="103"/>
        <v>0</v>
      </c>
      <c r="BH49" s="48"/>
    </row>
    <row r="50" spans="1:60" ht="26.25" x14ac:dyDescent="0.25">
      <c r="A50" s="56" cm="1">
        <f t="array" ref="A50">SUMPRODUCT(($AV$10:$AV$68&lt;&gt;"")*(ROW($AV$10:$AV$68)&lt;=ROW()))</f>
        <v>35</v>
      </c>
      <c r="B50" s="59"/>
      <c r="C50" s="60" t="s">
        <v>259</v>
      </c>
      <c r="D50" s="59" t="s">
        <v>107</v>
      </c>
      <c r="E50" s="43"/>
      <c r="F50" s="44">
        <f t="shared" si="78"/>
        <v>46106</v>
      </c>
      <c r="G50" s="45"/>
      <c r="H50" s="44">
        <f t="shared" si="79"/>
        <v>46113</v>
      </c>
      <c r="I50" s="45"/>
      <c r="J50" s="44">
        <f t="shared" si="80"/>
        <v>46119</v>
      </c>
      <c r="K50" s="45"/>
      <c r="L50" s="44">
        <f t="shared" si="81"/>
        <v>46122</v>
      </c>
      <c r="M50" s="45"/>
      <c r="N50" s="44">
        <f t="shared" si="82"/>
        <v>46152</v>
      </c>
      <c r="O50" s="45"/>
      <c r="P50" s="44">
        <f t="shared" si="83"/>
        <v>46162</v>
      </c>
      <c r="Q50" s="45"/>
      <c r="R50" s="44">
        <f t="shared" si="84"/>
        <v>46182</v>
      </c>
      <c r="S50" s="45"/>
      <c r="T50" s="44">
        <f t="shared" si="85"/>
        <v>46189</v>
      </c>
      <c r="U50" s="45"/>
      <c r="V50" s="44">
        <f t="shared" si="86"/>
        <v>46196</v>
      </c>
      <c r="W50" s="45"/>
      <c r="X50" s="44">
        <f t="shared" si="73"/>
        <v>46201</v>
      </c>
      <c r="Y50" s="45"/>
      <c r="Z50" s="46">
        <f t="shared" si="87"/>
        <v>46211</v>
      </c>
      <c r="AA50" s="45"/>
      <c r="AB50" s="32">
        <f t="shared" si="88"/>
        <v>89</v>
      </c>
      <c r="AC50" s="16"/>
      <c r="AD50" s="131">
        <f t="shared" si="74"/>
        <v>95</v>
      </c>
      <c r="AE50" s="16"/>
      <c r="AF50" s="96"/>
      <c r="AG50" s="72"/>
      <c r="AH50" s="72" t="s">
        <v>134</v>
      </c>
      <c r="AI50" s="72"/>
      <c r="AJ50" s="73" t="str">
        <f t="shared" si="75"/>
        <v/>
      </c>
      <c r="AK50" s="101"/>
      <c r="AL50" s="48"/>
      <c r="AM50" s="104">
        <f t="shared" si="77"/>
        <v>90</v>
      </c>
      <c r="AN50" s="74">
        <f t="shared" si="89"/>
        <v>46201</v>
      </c>
      <c r="AO50" s="108">
        <f t="shared" si="104"/>
        <v>-6</v>
      </c>
      <c r="AP50" s="48"/>
      <c r="AQ50" s="110"/>
      <c r="AR50" s="75">
        <f t="shared" si="105"/>
        <v>46201</v>
      </c>
      <c r="AS50" s="108">
        <f t="shared" si="106"/>
        <v>-6</v>
      </c>
      <c r="AT50" s="48"/>
      <c r="AU50" s="114">
        <f t="shared" si="76"/>
        <v>46207</v>
      </c>
      <c r="AV50" s="120" t="str" cm="1">
        <f t="array" ref="AV50">IF(OR(G50&gt;$C$6,G50=""),$F$8,INDEX($E$8:$Z$8,MATCH(TRUE,(F50:AA50=""),0)))</f>
        <v>1. Tender Docs &amp; BOQ</v>
      </c>
      <c r="AW50" s="117" t="b">
        <f t="shared" si="93"/>
        <v>0</v>
      </c>
      <c r="AX50" s="76" t="b">
        <f t="shared" si="94"/>
        <v>0</v>
      </c>
      <c r="AY50" s="76" t="b">
        <f t="shared" si="95"/>
        <v>0</v>
      </c>
      <c r="AZ50" s="76" t="b">
        <f t="shared" si="96"/>
        <v>0</v>
      </c>
      <c r="BA50" s="76" t="b">
        <f t="shared" si="97"/>
        <v>0</v>
      </c>
      <c r="BB50" s="76" t="b">
        <f t="shared" si="98"/>
        <v>0</v>
      </c>
      <c r="BC50" s="76" t="b">
        <f t="shared" si="99"/>
        <v>0</v>
      </c>
      <c r="BD50" s="76" t="b">
        <f t="shared" si="100"/>
        <v>0</v>
      </c>
      <c r="BE50" s="76" t="b">
        <f t="shared" si="101"/>
        <v>0</v>
      </c>
      <c r="BF50" s="76" t="b">
        <f t="shared" si="102"/>
        <v>0</v>
      </c>
      <c r="BG50" s="90" t="b">
        <f t="shared" si="103"/>
        <v>0</v>
      </c>
      <c r="BH50" s="48"/>
    </row>
    <row r="51" spans="1:60" ht="26.25" x14ac:dyDescent="0.25">
      <c r="A51" s="54"/>
      <c r="B51" s="49"/>
      <c r="C51" s="50" t="s">
        <v>163</v>
      </c>
      <c r="D51" s="51"/>
      <c r="E51" s="51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1"/>
      <c r="AC51" s="51"/>
      <c r="AD51" s="132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51"/>
      <c r="AQ51" s="51"/>
      <c r="AR51" s="51"/>
      <c r="AS51" s="51"/>
      <c r="AT51" s="51"/>
      <c r="AU51" s="51"/>
      <c r="AV51" s="51"/>
      <c r="AW51" s="51"/>
      <c r="AX51" s="51"/>
      <c r="AY51" s="51"/>
      <c r="AZ51" s="51"/>
      <c r="BA51" s="51"/>
      <c r="BB51" s="51"/>
      <c r="BC51" s="51"/>
      <c r="BD51" s="51"/>
      <c r="BE51" s="51"/>
      <c r="BF51" s="51"/>
      <c r="BG51" s="88"/>
      <c r="BH51" s="48"/>
    </row>
    <row r="52" spans="1:60" ht="26.25" x14ac:dyDescent="0.25">
      <c r="A52" s="56" cm="1">
        <f t="array" ref="A52">SUMPRODUCT(($AV$10:$AV$68&lt;&gt;"")*(ROW($AV$10:$AV$68)&lt;=ROW()))</f>
        <v>36</v>
      </c>
      <c r="B52" s="59"/>
      <c r="C52" s="60" t="s">
        <v>212</v>
      </c>
      <c r="D52" s="59" t="s">
        <v>107</v>
      </c>
      <c r="E52" s="43"/>
      <c r="F52" s="44">
        <f t="shared" ref="F52:F68" si="107">H52-$H$7</f>
        <v>46031</v>
      </c>
      <c r="G52" s="45"/>
      <c r="H52" s="44">
        <f t="shared" ref="H52:H68" si="108">J52-$J$7</f>
        <v>46038</v>
      </c>
      <c r="I52" s="45"/>
      <c r="J52" s="44">
        <f t="shared" ref="J52:J68" si="109">L52-$L$7</f>
        <v>46044</v>
      </c>
      <c r="K52" s="45"/>
      <c r="L52" s="44">
        <f t="shared" ref="L52:L68" si="110">N52-$N$7</f>
        <v>46047</v>
      </c>
      <c r="M52" s="45"/>
      <c r="N52" s="44">
        <f t="shared" ref="N52:N68" si="111">P52-$P$7</f>
        <v>46077</v>
      </c>
      <c r="O52" s="45"/>
      <c r="P52" s="44">
        <f t="shared" ref="P52:P68" si="112">R52-$R$7</f>
        <v>46087</v>
      </c>
      <c r="Q52" s="45"/>
      <c r="R52" s="44">
        <f t="shared" ref="R52:R68" si="113">T52-$T$7</f>
        <v>46107</v>
      </c>
      <c r="S52" s="45"/>
      <c r="T52" s="44">
        <f t="shared" ref="T52:T68" si="114">V52-$V$7</f>
        <v>46114</v>
      </c>
      <c r="U52" s="45"/>
      <c r="V52" s="44">
        <f t="shared" ref="V52:V68" si="115">X52-$X$7</f>
        <v>46121</v>
      </c>
      <c r="W52" s="45"/>
      <c r="X52" s="44">
        <f t="shared" ref="X52:X68" si="116">AN52</f>
        <v>46126</v>
      </c>
      <c r="Y52" s="45"/>
      <c r="Z52" s="46">
        <f t="shared" ref="Z52:Z68" si="117">X52+$Z$7</f>
        <v>46136</v>
      </c>
      <c r="AA52" s="45"/>
      <c r="AB52" s="32">
        <f t="shared" ref="AB52:AB68" si="118">IF(AV52="10. Issued to Contractor","-",IF(AV52="11. Subcontract Agreement signed","-",MAX(AN52,AR52)-$C$6))</f>
        <v>14</v>
      </c>
      <c r="AC52" s="16"/>
      <c r="AD52" s="131">
        <f t="shared" ref="AD52:AD68" si="119">SUM($H$7:$Y$7)</f>
        <v>95</v>
      </c>
      <c r="AE52" s="16"/>
      <c r="AF52" s="96"/>
      <c r="AG52" s="72"/>
      <c r="AH52" s="72">
        <v>7515200</v>
      </c>
      <c r="AI52" s="72"/>
      <c r="AJ52" s="73" t="str">
        <f t="shared" ref="AJ52:AJ68" si="120">IF(AI52&gt;0,SUM(AH52)-SUM(AI52),"")</f>
        <v/>
      </c>
      <c r="AK52" s="101"/>
      <c r="AL52" s="48"/>
      <c r="AM52" s="104">
        <v>15</v>
      </c>
      <c r="AN52" s="74">
        <f t="shared" ref="AN52:AN68" si="121">$M$3+AM52-1</f>
        <v>46126</v>
      </c>
      <c r="AO52" s="108">
        <f t="shared" ref="AO52:AO54" si="122">AN52-AU52</f>
        <v>-81</v>
      </c>
      <c r="AP52" s="48"/>
      <c r="AQ52" s="110"/>
      <c r="AR52" s="75">
        <f t="shared" ref="AR52:AR54" si="123">IFERROR(WORKDAY.INTL(AN52,AQ52,11),"")</f>
        <v>46126</v>
      </c>
      <c r="AS52" s="108">
        <f t="shared" ref="AS52:AS54" si="124">AR52-AU52</f>
        <v>-81</v>
      </c>
      <c r="AT52" s="48"/>
      <c r="AU52" s="114">
        <f t="shared" ref="AU52:AU68" si="125">IF(Y52&gt;0,Y52,IFERROR(MAX(_xlfn.XLOOKUP($AV52,$H$8:$Z$8,$G52:$Y52),$C$6)+(AN52-_xlfn.XLOOKUP($AV52,$H$8:$Z$8,$F52:$X52))*AD52/SUM($H$7:$Y$7),$C$6+SUM(AD52)))</f>
        <v>46207</v>
      </c>
      <c r="AV52" s="120" t="str" cm="1">
        <f t="array" ref="AV52">IF(OR(G52&gt;$C$6,G52=""),$F$8,INDEX($E$8:$Z$8,MATCH(TRUE,(F52:AA52=""),0)))</f>
        <v>1. Tender Docs &amp; BOQ</v>
      </c>
      <c r="AW52" s="117" t="b">
        <f t="shared" ref="AW52:AW68" si="126">IF(AND(G52&gt;0,G52&lt;$C$6),TRUE,FALSE)</f>
        <v>0</v>
      </c>
      <c r="AX52" s="76" t="b">
        <f t="shared" ref="AX52:AX68" si="127">IF(AND(I52&gt;0,I52&lt;$C$6),TRUE,FALSE)</f>
        <v>0</v>
      </c>
      <c r="AY52" s="76" t="b">
        <f t="shared" ref="AY52:AY68" si="128">IF(AND(K52&gt;0,K52&lt;$C$6),TRUE,FALSE)</f>
        <v>0</v>
      </c>
      <c r="AZ52" s="76" t="b">
        <f t="shared" ref="AZ52:AZ68" si="129">IF(AND(M52&gt;0,M52&lt;$C$6),TRUE,FALSE)</f>
        <v>0</v>
      </c>
      <c r="BA52" s="76" t="b">
        <f t="shared" ref="BA52:BA68" si="130">IF(AND(O52&gt;0,O52&lt;$C$6),TRUE,FALSE)</f>
        <v>0</v>
      </c>
      <c r="BB52" s="76" t="b">
        <f t="shared" ref="BB52:BB68" si="131">IF(AND(Q52&gt;0,Q52&lt;$C$6),TRUE,FALSE)</f>
        <v>0</v>
      </c>
      <c r="BC52" s="76" t="b">
        <f t="shared" ref="BC52:BC68" si="132">IF(AND(S52&gt;0,S52&lt;$C$6),TRUE,FALSE)</f>
        <v>0</v>
      </c>
      <c r="BD52" s="76" t="b">
        <f t="shared" ref="BD52:BD68" si="133">IF(AND(U52&gt;0,U52&lt;$C$6),TRUE,FALSE)</f>
        <v>0</v>
      </c>
      <c r="BE52" s="76" t="b">
        <f t="shared" ref="BE52:BE68" si="134">IF(AND(W52&gt;0,W52&lt;$C$6),TRUE,FALSE)</f>
        <v>0</v>
      </c>
      <c r="BF52" s="76" t="b">
        <f t="shared" ref="BF52:BF68" si="135">IF(AND(Y52&gt;0,Y52&lt;$C$6),TRUE,FALSE)</f>
        <v>0</v>
      </c>
      <c r="BG52" s="90" t="b">
        <f t="shared" ref="BG52:BG68" si="136">IF(AND(AA52&gt;0,AA52&lt;$C$6),TRUE,FALSE)</f>
        <v>0</v>
      </c>
      <c r="BH52" s="48"/>
    </row>
    <row r="53" spans="1:60" ht="26.25" x14ac:dyDescent="0.25">
      <c r="A53" s="56" cm="1">
        <f t="array" ref="A53">SUMPRODUCT(($AV$10:$AV$68&lt;&gt;"")*(ROW($AV$10:$AV$68)&lt;=ROW()))</f>
        <v>37</v>
      </c>
      <c r="B53" s="57"/>
      <c r="C53" s="58" t="s">
        <v>260</v>
      </c>
      <c r="D53" s="93" t="s">
        <v>13</v>
      </c>
      <c r="E53" s="16"/>
      <c r="F53" s="29">
        <f t="shared" si="107"/>
        <v>46046</v>
      </c>
      <c r="G53" s="42"/>
      <c r="H53" s="29">
        <f t="shared" si="108"/>
        <v>46053</v>
      </c>
      <c r="I53" s="42"/>
      <c r="J53" s="29">
        <f t="shared" si="109"/>
        <v>46059</v>
      </c>
      <c r="K53" s="42"/>
      <c r="L53" s="29">
        <f t="shared" si="110"/>
        <v>46062</v>
      </c>
      <c r="M53" s="42"/>
      <c r="N53" s="29">
        <f t="shared" si="111"/>
        <v>46092</v>
      </c>
      <c r="O53" s="42"/>
      <c r="P53" s="29">
        <f t="shared" si="112"/>
        <v>46102</v>
      </c>
      <c r="Q53" s="42"/>
      <c r="R53" s="29">
        <f t="shared" si="113"/>
        <v>46122</v>
      </c>
      <c r="S53" s="42"/>
      <c r="T53" s="29">
        <f t="shared" si="114"/>
        <v>46129</v>
      </c>
      <c r="U53" s="42"/>
      <c r="V53" s="29">
        <f t="shared" si="115"/>
        <v>46136</v>
      </c>
      <c r="W53" s="42"/>
      <c r="X53" s="29">
        <f t="shared" si="116"/>
        <v>46141</v>
      </c>
      <c r="Y53" s="42"/>
      <c r="Z53" s="30">
        <f t="shared" si="117"/>
        <v>46151</v>
      </c>
      <c r="AA53" s="42"/>
      <c r="AB53" s="31">
        <f t="shared" si="118"/>
        <v>29</v>
      </c>
      <c r="AC53" s="16"/>
      <c r="AD53" s="131">
        <f t="shared" si="119"/>
        <v>95</v>
      </c>
      <c r="AE53" s="16"/>
      <c r="AF53" s="95"/>
      <c r="AG53" s="67"/>
      <c r="AH53" s="67">
        <v>5232000</v>
      </c>
      <c r="AI53" s="67"/>
      <c r="AJ53" s="68" t="str">
        <f t="shared" si="120"/>
        <v/>
      </c>
      <c r="AK53" s="102"/>
      <c r="AL53" s="48"/>
      <c r="AM53" s="105">
        <v>30</v>
      </c>
      <c r="AN53" s="69">
        <f t="shared" si="121"/>
        <v>46141</v>
      </c>
      <c r="AO53" s="107">
        <f t="shared" si="122"/>
        <v>-66</v>
      </c>
      <c r="AP53" s="48"/>
      <c r="AQ53" s="111"/>
      <c r="AR53" s="70">
        <f t="shared" si="123"/>
        <v>46141</v>
      </c>
      <c r="AS53" s="107">
        <f t="shared" si="124"/>
        <v>-66</v>
      </c>
      <c r="AT53" s="48"/>
      <c r="AU53" s="113">
        <f t="shared" si="125"/>
        <v>46207</v>
      </c>
      <c r="AV53" s="119" t="str" cm="1">
        <f t="array" ref="AV53">IF(OR(G53&gt;$C$6,G53=""),$F$8,INDEX($E$8:$Z$8,MATCH(TRUE,(F53:AA53=""),0)))</f>
        <v>1. Tender Docs &amp; BOQ</v>
      </c>
      <c r="AW53" s="116" t="b">
        <f t="shared" si="126"/>
        <v>0</v>
      </c>
      <c r="AX53" s="71" t="b">
        <f t="shared" si="127"/>
        <v>0</v>
      </c>
      <c r="AY53" s="71" t="b">
        <f t="shared" si="128"/>
        <v>0</v>
      </c>
      <c r="AZ53" s="71" t="b">
        <f t="shared" si="129"/>
        <v>0</v>
      </c>
      <c r="BA53" s="71" t="b">
        <f t="shared" si="130"/>
        <v>0</v>
      </c>
      <c r="BB53" s="71" t="b">
        <f t="shared" si="131"/>
        <v>0</v>
      </c>
      <c r="BC53" s="71" t="b">
        <f t="shared" si="132"/>
        <v>0</v>
      </c>
      <c r="BD53" s="71" t="b">
        <f t="shared" si="133"/>
        <v>0</v>
      </c>
      <c r="BE53" s="71" t="b">
        <f t="shared" si="134"/>
        <v>0</v>
      </c>
      <c r="BF53" s="71" t="b">
        <f t="shared" si="135"/>
        <v>0</v>
      </c>
      <c r="BG53" s="89" t="b">
        <f t="shared" si="136"/>
        <v>0</v>
      </c>
      <c r="BH53" s="48"/>
    </row>
    <row r="54" spans="1:60" ht="26.25" x14ac:dyDescent="0.25">
      <c r="A54" s="56" cm="1">
        <f t="array" ref="A54">SUMPRODUCT(($AV$10:$AV$68&lt;&gt;"")*(ROW($AV$10:$AV$68)&lt;=ROW()))</f>
        <v>38</v>
      </c>
      <c r="B54" s="59"/>
      <c r="C54" s="60" t="s">
        <v>261</v>
      </c>
      <c r="D54" s="59" t="s">
        <v>13</v>
      </c>
      <c r="E54" s="43"/>
      <c r="F54" s="44">
        <f t="shared" si="107"/>
        <v>46136</v>
      </c>
      <c r="G54" s="45"/>
      <c r="H54" s="44">
        <f t="shared" si="108"/>
        <v>46143</v>
      </c>
      <c r="I54" s="45"/>
      <c r="J54" s="44">
        <f t="shared" si="109"/>
        <v>46149</v>
      </c>
      <c r="K54" s="45"/>
      <c r="L54" s="44">
        <f t="shared" si="110"/>
        <v>46152</v>
      </c>
      <c r="M54" s="45"/>
      <c r="N54" s="44">
        <f t="shared" si="111"/>
        <v>46182</v>
      </c>
      <c r="O54" s="45"/>
      <c r="P54" s="44">
        <f t="shared" si="112"/>
        <v>46192</v>
      </c>
      <c r="Q54" s="45"/>
      <c r="R54" s="44">
        <f t="shared" si="113"/>
        <v>46212</v>
      </c>
      <c r="S54" s="45"/>
      <c r="T54" s="44">
        <f t="shared" si="114"/>
        <v>46219</v>
      </c>
      <c r="U54" s="45"/>
      <c r="V54" s="44">
        <f t="shared" si="115"/>
        <v>46226</v>
      </c>
      <c r="W54" s="45"/>
      <c r="X54" s="44">
        <f t="shared" si="116"/>
        <v>46231</v>
      </c>
      <c r="Y54" s="45"/>
      <c r="Z54" s="46">
        <f t="shared" si="117"/>
        <v>46241</v>
      </c>
      <c r="AA54" s="45"/>
      <c r="AB54" s="32">
        <f t="shared" si="118"/>
        <v>119</v>
      </c>
      <c r="AC54" s="16"/>
      <c r="AD54" s="131">
        <f t="shared" si="119"/>
        <v>95</v>
      </c>
      <c r="AE54" s="16"/>
      <c r="AF54" s="96"/>
      <c r="AG54" s="72"/>
      <c r="AH54" s="72">
        <v>2779500</v>
      </c>
      <c r="AI54" s="72"/>
      <c r="AJ54" s="73" t="str">
        <f t="shared" si="120"/>
        <v/>
      </c>
      <c r="AK54" s="101"/>
      <c r="AL54" s="48"/>
      <c r="AM54" s="104">
        <v>120</v>
      </c>
      <c r="AN54" s="74">
        <f t="shared" si="121"/>
        <v>46231</v>
      </c>
      <c r="AO54" s="108">
        <f t="shared" si="122"/>
        <v>24</v>
      </c>
      <c r="AP54" s="48"/>
      <c r="AQ54" s="110"/>
      <c r="AR54" s="75">
        <f t="shared" si="123"/>
        <v>46231</v>
      </c>
      <c r="AS54" s="108">
        <f t="shared" si="124"/>
        <v>24</v>
      </c>
      <c r="AT54" s="48"/>
      <c r="AU54" s="114">
        <f t="shared" si="125"/>
        <v>46207</v>
      </c>
      <c r="AV54" s="120" t="str" cm="1">
        <f t="array" ref="AV54">IF(OR(G54&gt;$C$6,G54=""),$F$8,INDEX($E$8:$Z$8,MATCH(TRUE,(F54:AA54=""),0)))</f>
        <v>1. Tender Docs &amp; BOQ</v>
      </c>
      <c r="AW54" s="117" t="b">
        <f t="shared" si="126"/>
        <v>0</v>
      </c>
      <c r="AX54" s="76" t="b">
        <f t="shared" si="127"/>
        <v>0</v>
      </c>
      <c r="AY54" s="76" t="b">
        <f t="shared" si="128"/>
        <v>0</v>
      </c>
      <c r="AZ54" s="76" t="b">
        <f t="shared" si="129"/>
        <v>0</v>
      </c>
      <c r="BA54" s="76" t="b">
        <f t="shared" si="130"/>
        <v>0</v>
      </c>
      <c r="BB54" s="76" t="b">
        <f t="shared" si="131"/>
        <v>0</v>
      </c>
      <c r="BC54" s="76" t="b">
        <f t="shared" si="132"/>
        <v>0</v>
      </c>
      <c r="BD54" s="76" t="b">
        <f t="shared" si="133"/>
        <v>0</v>
      </c>
      <c r="BE54" s="76" t="b">
        <f t="shared" si="134"/>
        <v>0</v>
      </c>
      <c r="BF54" s="76" t="b">
        <f t="shared" si="135"/>
        <v>0</v>
      </c>
      <c r="BG54" s="90" t="b">
        <f t="shared" si="136"/>
        <v>0</v>
      </c>
      <c r="BH54" s="48"/>
    </row>
    <row r="55" spans="1:60" ht="30" x14ac:dyDescent="0.25">
      <c r="A55" s="56" cm="1">
        <f t="array" ref="A55">SUMPRODUCT(($AV$10:$AV$68&lt;&gt;"")*(ROW($AV$10:$AV$68)&lt;=ROW()))</f>
        <v>39</v>
      </c>
      <c r="B55" s="57"/>
      <c r="C55" s="58" t="s">
        <v>262</v>
      </c>
      <c r="D55" s="93" t="s">
        <v>13</v>
      </c>
      <c r="E55" s="16"/>
      <c r="F55" s="29">
        <f t="shared" ref="F55:F60" si="137">H55-$H$7</f>
        <v>46136</v>
      </c>
      <c r="G55" s="42"/>
      <c r="H55" s="29">
        <f t="shared" ref="H55:H60" si="138">J55-$J$7</f>
        <v>46143</v>
      </c>
      <c r="I55" s="42"/>
      <c r="J55" s="29">
        <f t="shared" ref="J55:J60" si="139">L55-$L$7</f>
        <v>46149</v>
      </c>
      <c r="K55" s="42"/>
      <c r="L55" s="29">
        <f t="shared" ref="L55:L60" si="140">N55-$N$7</f>
        <v>46152</v>
      </c>
      <c r="M55" s="42"/>
      <c r="N55" s="29">
        <f t="shared" ref="N55:N60" si="141">P55-$P$7</f>
        <v>46182</v>
      </c>
      <c r="O55" s="42"/>
      <c r="P55" s="29">
        <f t="shared" ref="P55:P60" si="142">R55-$R$7</f>
        <v>46192</v>
      </c>
      <c r="Q55" s="42"/>
      <c r="R55" s="29">
        <f t="shared" ref="R55:R60" si="143">T55-$T$7</f>
        <v>46212</v>
      </c>
      <c r="S55" s="42"/>
      <c r="T55" s="29">
        <f t="shared" ref="T55:T60" si="144">V55-$V$7</f>
        <v>46219</v>
      </c>
      <c r="U55" s="42"/>
      <c r="V55" s="29">
        <f t="shared" ref="V55:V60" si="145">X55-$X$7</f>
        <v>46226</v>
      </c>
      <c r="W55" s="42"/>
      <c r="X55" s="29">
        <f t="shared" ref="X55:X60" si="146">AN55</f>
        <v>46231</v>
      </c>
      <c r="Y55" s="42"/>
      <c r="Z55" s="30">
        <f t="shared" ref="Z55:Z60" si="147">X55+$Z$7</f>
        <v>46241</v>
      </c>
      <c r="AA55" s="42"/>
      <c r="AB55" s="31">
        <f t="shared" ref="AB55:AB60" si="148">IF(AV55="10. Issued to Contractor","-",IF(AV55="11. Subcontract Agreement signed","-",MAX(AN55,AR55)-$C$6))</f>
        <v>119</v>
      </c>
      <c r="AC55" s="16"/>
      <c r="AD55" s="131">
        <f t="shared" si="119"/>
        <v>95</v>
      </c>
      <c r="AE55" s="16"/>
      <c r="AF55" s="95"/>
      <c r="AG55" s="67"/>
      <c r="AH55" s="67">
        <v>9374000</v>
      </c>
      <c r="AI55" s="67"/>
      <c r="AJ55" s="68" t="str">
        <f t="shared" si="120"/>
        <v/>
      </c>
      <c r="AK55" s="102"/>
      <c r="AL55" s="48"/>
      <c r="AM55" s="105">
        <v>120</v>
      </c>
      <c r="AN55" s="69">
        <f t="shared" si="121"/>
        <v>46231</v>
      </c>
      <c r="AO55" s="107">
        <f>AN55-AU55</f>
        <v>24</v>
      </c>
      <c r="AP55" s="48"/>
      <c r="AQ55" s="111"/>
      <c r="AR55" s="70">
        <f>IFERROR(WORKDAY.INTL(AN55,AQ55,11),"")</f>
        <v>46231</v>
      </c>
      <c r="AS55" s="107">
        <f>AR55-AU55</f>
        <v>24</v>
      </c>
      <c r="AT55" s="48"/>
      <c r="AU55" s="113">
        <f t="shared" ref="AU55:AU60" si="149">IF(Y55&gt;0,Y55,IFERROR(MAX(_xlfn.XLOOKUP($AV55,$H$8:$Z$8,$G55:$Y55),$C$6)+(AN55-_xlfn.XLOOKUP($AV55,$H$8:$Z$8,$F55:$X55))*AD55/SUM($H$7:$Y$7),$C$6+SUM(AD55)))</f>
        <v>46207</v>
      </c>
      <c r="AV55" s="119" t="str" cm="1">
        <f t="array" ref="AV55">IF(OR(G55&gt;$C$6,G55=""),$F$8,INDEX($E$8:$Z$8,MATCH(TRUE,(F55:AA55=""),0)))</f>
        <v>1. Tender Docs &amp; BOQ</v>
      </c>
      <c r="AW55" s="116" t="b">
        <f t="shared" ref="AW55:AW60" si="150">IF(AND(G55&gt;0,G55&lt;$C$6),TRUE,FALSE)</f>
        <v>0</v>
      </c>
      <c r="AX55" s="71" t="b">
        <f t="shared" ref="AX55:AX60" si="151">IF(AND(I55&gt;0,I55&lt;$C$6),TRUE,FALSE)</f>
        <v>0</v>
      </c>
      <c r="AY55" s="71" t="b">
        <f t="shared" ref="AY55:AY60" si="152">IF(AND(K55&gt;0,K55&lt;$C$6),TRUE,FALSE)</f>
        <v>0</v>
      </c>
      <c r="AZ55" s="71" t="b">
        <f t="shared" ref="AZ55:AZ60" si="153">IF(AND(M55&gt;0,M55&lt;$C$6),TRUE,FALSE)</f>
        <v>0</v>
      </c>
      <c r="BA55" s="71" t="b">
        <f t="shared" ref="BA55:BA60" si="154">IF(AND(O55&gt;0,O55&lt;$C$6),TRUE,FALSE)</f>
        <v>0</v>
      </c>
      <c r="BB55" s="71" t="b">
        <f t="shared" ref="BB55:BB60" si="155">IF(AND(Q55&gt;0,Q55&lt;$C$6),TRUE,FALSE)</f>
        <v>0</v>
      </c>
      <c r="BC55" s="71" t="b">
        <f t="shared" ref="BC55:BC60" si="156">IF(AND(S55&gt;0,S55&lt;$C$6),TRUE,FALSE)</f>
        <v>0</v>
      </c>
      <c r="BD55" s="71" t="b">
        <f t="shared" ref="BD55:BD60" si="157">IF(AND(U55&gt;0,U55&lt;$C$6),TRUE,FALSE)</f>
        <v>0</v>
      </c>
      <c r="BE55" s="71" t="b">
        <f t="shared" ref="BE55:BE60" si="158">IF(AND(W55&gt;0,W55&lt;$C$6),TRUE,FALSE)</f>
        <v>0</v>
      </c>
      <c r="BF55" s="71" t="b">
        <f t="shared" ref="BF55:BF60" si="159">IF(AND(Y55&gt;0,Y55&lt;$C$6),TRUE,FALSE)</f>
        <v>0</v>
      </c>
      <c r="BG55" s="89" t="b">
        <f t="shared" ref="BG55:BG60" si="160">IF(AND(AA55&gt;0,AA55&lt;$C$6),TRUE,FALSE)</f>
        <v>0</v>
      </c>
      <c r="BH55" s="48"/>
    </row>
    <row r="56" spans="1:60" ht="26.25" x14ac:dyDescent="0.25">
      <c r="A56" s="56" cm="1">
        <f t="array" ref="A56">SUMPRODUCT(($AV$10:$AV$68&lt;&gt;"")*(ROW($AV$10:$AV$68)&lt;=ROW()))</f>
        <v>40</v>
      </c>
      <c r="B56" s="59"/>
      <c r="C56" s="60" t="s">
        <v>263</v>
      </c>
      <c r="D56" s="59" t="s">
        <v>7</v>
      </c>
      <c r="E56" s="43"/>
      <c r="F56" s="44">
        <f t="shared" si="137"/>
        <v>46136</v>
      </c>
      <c r="G56" s="45"/>
      <c r="H56" s="44">
        <f t="shared" si="138"/>
        <v>46143</v>
      </c>
      <c r="I56" s="45"/>
      <c r="J56" s="44">
        <f t="shared" si="139"/>
        <v>46149</v>
      </c>
      <c r="K56" s="45"/>
      <c r="L56" s="44">
        <f t="shared" si="140"/>
        <v>46152</v>
      </c>
      <c r="M56" s="45"/>
      <c r="N56" s="44">
        <f t="shared" si="141"/>
        <v>46182</v>
      </c>
      <c r="O56" s="45"/>
      <c r="P56" s="44">
        <f t="shared" si="142"/>
        <v>46192</v>
      </c>
      <c r="Q56" s="45"/>
      <c r="R56" s="44">
        <f t="shared" si="143"/>
        <v>46212</v>
      </c>
      <c r="S56" s="45"/>
      <c r="T56" s="44">
        <f t="shared" si="144"/>
        <v>46219</v>
      </c>
      <c r="U56" s="45"/>
      <c r="V56" s="44">
        <f t="shared" si="145"/>
        <v>46226</v>
      </c>
      <c r="W56" s="45"/>
      <c r="X56" s="44">
        <f t="shared" si="146"/>
        <v>46231</v>
      </c>
      <c r="Y56" s="45"/>
      <c r="Z56" s="46">
        <f t="shared" si="147"/>
        <v>46241</v>
      </c>
      <c r="AA56" s="45"/>
      <c r="AB56" s="32">
        <f t="shared" si="148"/>
        <v>119</v>
      </c>
      <c r="AC56" s="16"/>
      <c r="AD56" s="131">
        <f t="shared" si="119"/>
        <v>95</v>
      </c>
      <c r="AE56" s="16"/>
      <c r="AF56" s="96"/>
      <c r="AG56" s="72"/>
      <c r="AH56" s="72">
        <v>4332750</v>
      </c>
      <c r="AI56" s="72"/>
      <c r="AJ56" s="73" t="str">
        <f t="shared" si="120"/>
        <v/>
      </c>
      <c r="AK56" s="101"/>
      <c r="AL56" s="48"/>
      <c r="AM56" s="104">
        <v>120</v>
      </c>
      <c r="AN56" s="74">
        <f t="shared" si="121"/>
        <v>46231</v>
      </c>
      <c r="AO56" s="108">
        <f t="shared" ref="AO56:AO60" si="161">AN56-AU56</f>
        <v>24</v>
      </c>
      <c r="AP56" s="48"/>
      <c r="AQ56" s="110"/>
      <c r="AR56" s="75">
        <f t="shared" ref="AR56:AR60" si="162">IFERROR(WORKDAY.INTL(AN56,AQ56,11),"")</f>
        <v>46231</v>
      </c>
      <c r="AS56" s="108">
        <f t="shared" ref="AS56:AS60" si="163">AR56-AU56</f>
        <v>24</v>
      </c>
      <c r="AT56" s="48"/>
      <c r="AU56" s="114">
        <f t="shared" si="149"/>
        <v>46207</v>
      </c>
      <c r="AV56" s="120" t="str" cm="1">
        <f t="array" ref="AV56">IF(OR(G56&gt;$C$6,G56=""),$F$8,INDEX($E$8:$Z$8,MATCH(TRUE,(F56:AA56=""),0)))</f>
        <v>1. Tender Docs &amp; BOQ</v>
      </c>
      <c r="AW56" s="117" t="b">
        <f t="shared" si="150"/>
        <v>0</v>
      </c>
      <c r="AX56" s="76" t="b">
        <f t="shared" si="151"/>
        <v>0</v>
      </c>
      <c r="AY56" s="76" t="b">
        <f t="shared" si="152"/>
        <v>0</v>
      </c>
      <c r="AZ56" s="76" t="b">
        <f t="shared" si="153"/>
        <v>0</v>
      </c>
      <c r="BA56" s="76" t="b">
        <f t="shared" si="154"/>
        <v>0</v>
      </c>
      <c r="BB56" s="76" t="b">
        <f t="shared" si="155"/>
        <v>0</v>
      </c>
      <c r="BC56" s="76" t="b">
        <f t="shared" si="156"/>
        <v>0</v>
      </c>
      <c r="BD56" s="76" t="b">
        <f t="shared" si="157"/>
        <v>0</v>
      </c>
      <c r="BE56" s="76" t="b">
        <f t="shared" si="158"/>
        <v>0</v>
      </c>
      <c r="BF56" s="76" t="b">
        <f t="shared" si="159"/>
        <v>0</v>
      </c>
      <c r="BG56" s="90" t="b">
        <f t="shared" si="160"/>
        <v>0</v>
      </c>
      <c r="BH56" s="48"/>
    </row>
    <row r="57" spans="1:60" ht="26.25" x14ac:dyDescent="0.25">
      <c r="A57" s="56" cm="1">
        <f t="array" ref="A57">SUMPRODUCT(($AV$10:$AV$68&lt;&gt;"")*(ROW($AV$10:$AV$68)&lt;=ROW()))</f>
        <v>41</v>
      </c>
      <c r="B57" s="57"/>
      <c r="C57" s="58" t="s">
        <v>184</v>
      </c>
      <c r="D57" s="93" t="s">
        <v>3</v>
      </c>
      <c r="E57" s="16"/>
      <c r="F57" s="29">
        <f t="shared" si="137"/>
        <v>46136</v>
      </c>
      <c r="G57" s="42"/>
      <c r="H57" s="29">
        <f t="shared" si="138"/>
        <v>46143</v>
      </c>
      <c r="I57" s="42"/>
      <c r="J57" s="29">
        <f t="shared" si="139"/>
        <v>46149</v>
      </c>
      <c r="K57" s="42"/>
      <c r="L57" s="29">
        <f t="shared" si="140"/>
        <v>46152</v>
      </c>
      <c r="M57" s="42"/>
      <c r="N57" s="29">
        <f t="shared" si="141"/>
        <v>46182</v>
      </c>
      <c r="O57" s="42"/>
      <c r="P57" s="29">
        <f t="shared" si="142"/>
        <v>46192</v>
      </c>
      <c r="Q57" s="42"/>
      <c r="R57" s="29">
        <f t="shared" si="143"/>
        <v>46212</v>
      </c>
      <c r="S57" s="42"/>
      <c r="T57" s="29">
        <f t="shared" si="144"/>
        <v>46219</v>
      </c>
      <c r="U57" s="42"/>
      <c r="V57" s="29">
        <f t="shared" si="145"/>
        <v>46226</v>
      </c>
      <c r="W57" s="42"/>
      <c r="X57" s="29">
        <f t="shared" si="146"/>
        <v>46231</v>
      </c>
      <c r="Y57" s="42"/>
      <c r="Z57" s="30">
        <f t="shared" si="147"/>
        <v>46241</v>
      </c>
      <c r="AA57" s="42"/>
      <c r="AB57" s="31">
        <f t="shared" si="148"/>
        <v>119</v>
      </c>
      <c r="AC57" s="16"/>
      <c r="AD57" s="131">
        <f t="shared" si="119"/>
        <v>95</v>
      </c>
      <c r="AE57" s="16"/>
      <c r="AF57" s="95"/>
      <c r="AG57" s="67"/>
      <c r="AH57" s="67" t="s">
        <v>134</v>
      </c>
      <c r="AI57" s="67"/>
      <c r="AJ57" s="68" t="str">
        <f t="shared" si="120"/>
        <v/>
      </c>
      <c r="AK57" s="102"/>
      <c r="AL57" s="48"/>
      <c r="AM57" s="105">
        <v>120</v>
      </c>
      <c r="AN57" s="69">
        <f t="shared" si="121"/>
        <v>46231</v>
      </c>
      <c r="AO57" s="107">
        <f t="shared" si="161"/>
        <v>24</v>
      </c>
      <c r="AP57" s="48"/>
      <c r="AQ57" s="111"/>
      <c r="AR57" s="70">
        <f t="shared" si="162"/>
        <v>46231</v>
      </c>
      <c r="AS57" s="107">
        <f t="shared" si="163"/>
        <v>24</v>
      </c>
      <c r="AT57" s="48"/>
      <c r="AU57" s="113">
        <f t="shared" si="149"/>
        <v>46207</v>
      </c>
      <c r="AV57" s="119" t="str" cm="1">
        <f t="array" ref="AV57">IF(OR(G57&gt;$C$6,G57=""),$F$8,INDEX($E$8:$Z$8,MATCH(TRUE,(F57:AA57=""),0)))</f>
        <v>1. Tender Docs &amp; BOQ</v>
      </c>
      <c r="AW57" s="116" t="b">
        <f t="shared" si="150"/>
        <v>0</v>
      </c>
      <c r="AX57" s="71" t="b">
        <f t="shared" si="151"/>
        <v>0</v>
      </c>
      <c r="AY57" s="71" t="b">
        <f t="shared" si="152"/>
        <v>0</v>
      </c>
      <c r="AZ57" s="71" t="b">
        <f t="shared" si="153"/>
        <v>0</v>
      </c>
      <c r="BA57" s="71" t="b">
        <f t="shared" si="154"/>
        <v>0</v>
      </c>
      <c r="BB57" s="71" t="b">
        <f t="shared" si="155"/>
        <v>0</v>
      </c>
      <c r="BC57" s="71" t="b">
        <f t="shared" si="156"/>
        <v>0</v>
      </c>
      <c r="BD57" s="71" t="b">
        <f t="shared" si="157"/>
        <v>0</v>
      </c>
      <c r="BE57" s="71" t="b">
        <f t="shared" si="158"/>
        <v>0</v>
      </c>
      <c r="BF57" s="71" t="b">
        <f t="shared" si="159"/>
        <v>0</v>
      </c>
      <c r="BG57" s="89" t="b">
        <f t="shared" si="160"/>
        <v>0</v>
      </c>
      <c r="BH57" s="48"/>
    </row>
    <row r="58" spans="1:60" ht="26.25" x14ac:dyDescent="0.25">
      <c r="A58" s="56" cm="1">
        <f t="array" ref="A58">SUMPRODUCT(($AV$10:$AV$68&lt;&gt;"")*(ROW($AV$10:$AV$68)&lt;=ROW()))</f>
        <v>42</v>
      </c>
      <c r="B58" s="59"/>
      <c r="C58" s="60" t="s">
        <v>264</v>
      </c>
      <c r="D58" s="59" t="s">
        <v>13</v>
      </c>
      <c r="E58" s="43"/>
      <c r="F58" s="44">
        <f t="shared" si="137"/>
        <v>46316</v>
      </c>
      <c r="G58" s="45"/>
      <c r="H58" s="44">
        <f t="shared" si="138"/>
        <v>46323</v>
      </c>
      <c r="I58" s="45"/>
      <c r="J58" s="44">
        <f t="shared" si="139"/>
        <v>46329</v>
      </c>
      <c r="K58" s="45"/>
      <c r="L58" s="44">
        <f t="shared" si="140"/>
        <v>46332</v>
      </c>
      <c r="M58" s="45"/>
      <c r="N58" s="44">
        <f t="shared" si="141"/>
        <v>46362</v>
      </c>
      <c r="O58" s="45"/>
      <c r="P58" s="44">
        <f t="shared" si="142"/>
        <v>46372</v>
      </c>
      <c r="Q58" s="45"/>
      <c r="R58" s="44">
        <f t="shared" si="143"/>
        <v>46392</v>
      </c>
      <c r="S58" s="45"/>
      <c r="T58" s="44">
        <f t="shared" si="144"/>
        <v>46399</v>
      </c>
      <c r="U58" s="45"/>
      <c r="V58" s="44">
        <f t="shared" si="145"/>
        <v>46406</v>
      </c>
      <c r="W58" s="45"/>
      <c r="X58" s="44">
        <f t="shared" si="146"/>
        <v>46411</v>
      </c>
      <c r="Y58" s="45"/>
      <c r="Z58" s="46">
        <f t="shared" si="147"/>
        <v>46421</v>
      </c>
      <c r="AA58" s="45"/>
      <c r="AB58" s="32">
        <f t="shared" si="148"/>
        <v>299</v>
      </c>
      <c r="AC58" s="16"/>
      <c r="AD58" s="131">
        <f t="shared" si="119"/>
        <v>95</v>
      </c>
      <c r="AE58" s="16"/>
      <c r="AF58" s="96"/>
      <c r="AG58" s="72"/>
      <c r="AH58" s="72">
        <v>5833680</v>
      </c>
      <c r="AI58" s="72"/>
      <c r="AJ58" s="73" t="str">
        <f t="shared" si="120"/>
        <v/>
      </c>
      <c r="AK58" s="101"/>
      <c r="AL58" s="48"/>
      <c r="AM58" s="104">
        <v>300</v>
      </c>
      <c r="AN58" s="74">
        <f t="shared" si="121"/>
        <v>46411</v>
      </c>
      <c r="AO58" s="108">
        <f t="shared" si="161"/>
        <v>204</v>
      </c>
      <c r="AP58" s="48"/>
      <c r="AQ58" s="110"/>
      <c r="AR58" s="75">
        <f t="shared" si="162"/>
        <v>46411</v>
      </c>
      <c r="AS58" s="108">
        <f t="shared" si="163"/>
        <v>204</v>
      </c>
      <c r="AT58" s="48"/>
      <c r="AU58" s="114">
        <f t="shared" si="149"/>
        <v>46207</v>
      </c>
      <c r="AV58" s="120" t="str" cm="1">
        <f t="array" ref="AV58">IF(OR(G58&gt;$C$6,G58=""),$F$8,INDEX($E$8:$Z$8,MATCH(TRUE,(F58:AA58=""),0)))</f>
        <v>1. Tender Docs &amp; BOQ</v>
      </c>
      <c r="AW58" s="117" t="b">
        <f t="shared" si="150"/>
        <v>0</v>
      </c>
      <c r="AX58" s="76" t="b">
        <f t="shared" si="151"/>
        <v>0</v>
      </c>
      <c r="AY58" s="76" t="b">
        <f t="shared" si="152"/>
        <v>0</v>
      </c>
      <c r="AZ58" s="76" t="b">
        <f t="shared" si="153"/>
        <v>0</v>
      </c>
      <c r="BA58" s="76" t="b">
        <f t="shared" si="154"/>
        <v>0</v>
      </c>
      <c r="BB58" s="76" t="b">
        <f t="shared" si="155"/>
        <v>0</v>
      </c>
      <c r="BC58" s="76" t="b">
        <f t="shared" si="156"/>
        <v>0</v>
      </c>
      <c r="BD58" s="76" t="b">
        <f t="shared" si="157"/>
        <v>0</v>
      </c>
      <c r="BE58" s="76" t="b">
        <f t="shared" si="158"/>
        <v>0</v>
      </c>
      <c r="BF58" s="76" t="b">
        <f t="shared" si="159"/>
        <v>0</v>
      </c>
      <c r="BG58" s="90" t="b">
        <f t="shared" si="160"/>
        <v>0</v>
      </c>
      <c r="BH58" s="48"/>
    </row>
    <row r="59" spans="1:60" ht="26.25" x14ac:dyDescent="0.25">
      <c r="A59" s="56" cm="1">
        <f t="array" ref="A59">SUMPRODUCT(($AV$10:$AV$68&lt;&gt;"")*(ROW($AV$10:$AV$68)&lt;=ROW()))</f>
        <v>43</v>
      </c>
      <c r="B59" s="57"/>
      <c r="C59" s="58" t="s">
        <v>168</v>
      </c>
      <c r="D59" s="93" t="s">
        <v>13</v>
      </c>
      <c r="E59" s="16"/>
      <c r="F59" s="29">
        <f t="shared" si="137"/>
        <v>46316</v>
      </c>
      <c r="G59" s="42"/>
      <c r="H59" s="29">
        <f t="shared" si="138"/>
        <v>46323</v>
      </c>
      <c r="I59" s="42"/>
      <c r="J59" s="29">
        <f t="shared" si="139"/>
        <v>46329</v>
      </c>
      <c r="K59" s="42"/>
      <c r="L59" s="29">
        <f t="shared" si="140"/>
        <v>46332</v>
      </c>
      <c r="M59" s="42"/>
      <c r="N59" s="29">
        <f t="shared" si="141"/>
        <v>46362</v>
      </c>
      <c r="O59" s="42"/>
      <c r="P59" s="29">
        <f t="shared" si="142"/>
        <v>46372</v>
      </c>
      <c r="Q59" s="42"/>
      <c r="R59" s="29">
        <f t="shared" si="143"/>
        <v>46392</v>
      </c>
      <c r="S59" s="42"/>
      <c r="T59" s="29">
        <f t="shared" si="144"/>
        <v>46399</v>
      </c>
      <c r="U59" s="42"/>
      <c r="V59" s="29">
        <f t="shared" si="145"/>
        <v>46406</v>
      </c>
      <c r="W59" s="42"/>
      <c r="X59" s="29">
        <f t="shared" si="146"/>
        <v>46411</v>
      </c>
      <c r="Y59" s="42"/>
      <c r="Z59" s="30">
        <f t="shared" si="147"/>
        <v>46421</v>
      </c>
      <c r="AA59" s="42"/>
      <c r="AB59" s="31">
        <f t="shared" si="148"/>
        <v>299</v>
      </c>
      <c r="AC59" s="16"/>
      <c r="AD59" s="131">
        <f t="shared" si="119"/>
        <v>95</v>
      </c>
      <c r="AE59" s="16"/>
      <c r="AF59" s="97"/>
      <c r="AG59" s="67"/>
      <c r="AH59" s="67" t="s">
        <v>134</v>
      </c>
      <c r="AI59" s="67"/>
      <c r="AJ59" s="68" t="str">
        <f t="shared" si="120"/>
        <v/>
      </c>
      <c r="AK59" s="102"/>
      <c r="AL59" s="48"/>
      <c r="AM59" s="105">
        <f t="shared" ref="AM59:AM68" si="164">AM58</f>
        <v>300</v>
      </c>
      <c r="AN59" s="69">
        <f t="shared" si="121"/>
        <v>46411</v>
      </c>
      <c r="AO59" s="107">
        <f t="shared" si="161"/>
        <v>204</v>
      </c>
      <c r="AP59" s="48"/>
      <c r="AQ59" s="111"/>
      <c r="AR59" s="70">
        <f t="shared" si="162"/>
        <v>46411</v>
      </c>
      <c r="AS59" s="107">
        <f t="shared" si="163"/>
        <v>204</v>
      </c>
      <c r="AT59" s="48"/>
      <c r="AU59" s="113">
        <f t="shared" si="149"/>
        <v>46207</v>
      </c>
      <c r="AV59" s="119" t="str" cm="1">
        <f t="array" ref="AV59">IF(OR(G59&gt;$C$6,G59=""),$F$8,INDEX($E$8:$Z$8,MATCH(TRUE,(F59:AA59=""),0)))</f>
        <v>1. Tender Docs &amp; BOQ</v>
      </c>
      <c r="AW59" s="116" t="b">
        <f t="shared" si="150"/>
        <v>0</v>
      </c>
      <c r="AX59" s="71" t="b">
        <f t="shared" si="151"/>
        <v>0</v>
      </c>
      <c r="AY59" s="71" t="b">
        <f t="shared" si="152"/>
        <v>0</v>
      </c>
      <c r="AZ59" s="71" t="b">
        <f t="shared" si="153"/>
        <v>0</v>
      </c>
      <c r="BA59" s="71" t="b">
        <f t="shared" si="154"/>
        <v>0</v>
      </c>
      <c r="BB59" s="71" t="b">
        <f t="shared" si="155"/>
        <v>0</v>
      </c>
      <c r="BC59" s="71" t="b">
        <f t="shared" si="156"/>
        <v>0</v>
      </c>
      <c r="BD59" s="71" t="b">
        <f t="shared" si="157"/>
        <v>0</v>
      </c>
      <c r="BE59" s="71" t="b">
        <f t="shared" si="158"/>
        <v>0</v>
      </c>
      <c r="BF59" s="71" t="b">
        <f t="shared" si="159"/>
        <v>0</v>
      </c>
      <c r="BG59" s="89" t="b">
        <f t="shared" si="160"/>
        <v>0</v>
      </c>
      <c r="BH59" s="48"/>
    </row>
    <row r="60" spans="1:60" ht="26.25" x14ac:dyDescent="0.25">
      <c r="A60" s="56" cm="1">
        <f t="array" ref="A60">SUMPRODUCT(($AV$10:$AV$68&lt;&gt;"")*(ROW($AV$10:$AV$68)&lt;=ROW()))</f>
        <v>44</v>
      </c>
      <c r="B60" s="59"/>
      <c r="C60" s="60" t="s">
        <v>265</v>
      </c>
      <c r="D60" s="59" t="s">
        <v>13</v>
      </c>
      <c r="E60" s="43"/>
      <c r="F60" s="44">
        <f t="shared" si="137"/>
        <v>46316</v>
      </c>
      <c r="G60" s="45"/>
      <c r="H60" s="44">
        <f t="shared" si="138"/>
        <v>46323</v>
      </c>
      <c r="I60" s="45"/>
      <c r="J60" s="44">
        <f t="shared" si="139"/>
        <v>46329</v>
      </c>
      <c r="K60" s="45"/>
      <c r="L60" s="44">
        <f t="shared" si="140"/>
        <v>46332</v>
      </c>
      <c r="M60" s="45"/>
      <c r="N60" s="44">
        <f t="shared" si="141"/>
        <v>46362</v>
      </c>
      <c r="O60" s="45"/>
      <c r="P60" s="44">
        <f t="shared" si="142"/>
        <v>46372</v>
      </c>
      <c r="Q60" s="45"/>
      <c r="R60" s="44">
        <f t="shared" si="143"/>
        <v>46392</v>
      </c>
      <c r="S60" s="45"/>
      <c r="T60" s="44">
        <f t="shared" si="144"/>
        <v>46399</v>
      </c>
      <c r="U60" s="45"/>
      <c r="V60" s="44">
        <f t="shared" si="145"/>
        <v>46406</v>
      </c>
      <c r="W60" s="45"/>
      <c r="X60" s="44">
        <f t="shared" si="146"/>
        <v>46411</v>
      </c>
      <c r="Y60" s="45"/>
      <c r="Z60" s="46">
        <f t="shared" si="147"/>
        <v>46421</v>
      </c>
      <c r="AA60" s="45"/>
      <c r="AB60" s="32">
        <f t="shared" si="148"/>
        <v>299</v>
      </c>
      <c r="AC60" s="16"/>
      <c r="AD60" s="131">
        <f t="shared" si="119"/>
        <v>95</v>
      </c>
      <c r="AE60" s="16"/>
      <c r="AF60" s="96"/>
      <c r="AG60" s="72"/>
      <c r="AH60" s="72" t="s">
        <v>134</v>
      </c>
      <c r="AI60" s="72"/>
      <c r="AJ60" s="73" t="str">
        <f t="shared" si="120"/>
        <v/>
      </c>
      <c r="AK60" s="101"/>
      <c r="AL60" s="48"/>
      <c r="AM60" s="104">
        <f t="shared" si="164"/>
        <v>300</v>
      </c>
      <c r="AN60" s="74">
        <f t="shared" si="121"/>
        <v>46411</v>
      </c>
      <c r="AO60" s="108">
        <f t="shared" si="161"/>
        <v>204</v>
      </c>
      <c r="AP60" s="48"/>
      <c r="AQ60" s="110"/>
      <c r="AR60" s="75">
        <f t="shared" si="162"/>
        <v>46411</v>
      </c>
      <c r="AS60" s="108">
        <f t="shared" si="163"/>
        <v>204</v>
      </c>
      <c r="AT60" s="48"/>
      <c r="AU60" s="114">
        <f t="shared" si="149"/>
        <v>46207</v>
      </c>
      <c r="AV60" s="120" t="str" cm="1">
        <f t="array" ref="AV60">IF(OR(G60&gt;$C$6,G60=""),$F$8,INDEX($E$8:$Z$8,MATCH(TRUE,(F60:AA60=""),0)))</f>
        <v>1. Tender Docs &amp; BOQ</v>
      </c>
      <c r="AW60" s="117" t="b">
        <f t="shared" si="150"/>
        <v>0</v>
      </c>
      <c r="AX60" s="76" t="b">
        <f t="shared" si="151"/>
        <v>0</v>
      </c>
      <c r="AY60" s="76" t="b">
        <f t="shared" si="152"/>
        <v>0</v>
      </c>
      <c r="AZ60" s="76" t="b">
        <f t="shared" si="153"/>
        <v>0</v>
      </c>
      <c r="BA60" s="76" t="b">
        <f t="shared" si="154"/>
        <v>0</v>
      </c>
      <c r="BB60" s="76" t="b">
        <f t="shared" si="155"/>
        <v>0</v>
      </c>
      <c r="BC60" s="76" t="b">
        <f t="shared" si="156"/>
        <v>0</v>
      </c>
      <c r="BD60" s="76" t="b">
        <f t="shared" si="157"/>
        <v>0</v>
      </c>
      <c r="BE60" s="76" t="b">
        <f t="shared" si="158"/>
        <v>0</v>
      </c>
      <c r="BF60" s="76" t="b">
        <f t="shared" si="159"/>
        <v>0</v>
      </c>
      <c r="BG60" s="90" t="b">
        <f t="shared" si="160"/>
        <v>0</v>
      </c>
      <c r="BH60" s="48"/>
    </row>
    <row r="61" spans="1:60" ht="26.25" x14ac:dyDescent="0.25">
      <c r="A61" s="56" cm="1">
        <f t="array" ref="A61">SUMPRODUCT(($AV$10:$AV$68&lt;&gt;"")*(ROW($AV$10:$AV$68)&lt;=ROW()))</f>
        <v>45</v>
      </c>
      <c r="B61" s="57"/>
      <c r="C61" s="58" t="s">
        <v>188</v>
      </c>
      <c r="D61" s="93" t="s">
        <v>13</v>
      </c>
      <c r="E61" s="16"/>
      <c r="F61" s="29">
        <f t="shared" si="107"/>
        <v>46316</v>
      </c>
      <c r="G61" s="42"/>
      <c r="H61" s="29">
        <f t="shared" si="108"/>
        <v>46323</v>
      </c>
      <c r="I61" s="42"/>
      <c r="J61" s="29">
        <f t="shared" si="109"/>
        <v>46329</v>
      </c>
      <c r="K61" s="42"/>
      <c r="L61" s="29">
        <f t="shared" si="110"/>
        <v>46332</v>
      </c>
      <c r="M61" s="42"/>
      <c r="N61" s="29">
        <f t="shared" si="111"/>
        <v>46362</v>
      </c>
      <c r="O61" s="42"/>
      <c r="P61" s="29">
        <f t="shared" si="112"/>
        <v>46372</v>
      </c>
      <c r="Q61" s="42"/>
      <c r="R61" s="29">
        <f t="shared" si="113"/>
        <v>46392</v>
      </c>
      <c r="S61" s="42"/>
      <c r="T61" s="29">
        <f t="shared" si="114"/>
        <v>46399</v>
      </c>
      <c r="U61" s="42"/>
      <c r="V61" s="29">
        <f t="shared" si="115"/>
        <v>46406</v>
      </c>
      <c r="W61" s="42"/>
      <c r="X61" s="29">
        <f t="shared" si="116"/>
        <v>46411</v>
      </c>
      <c r="Y61" s="42"/>
      <c r="Z61" s="30">
        <f t="shared" si="117"/>
        <v>46421</v>
      </c>
      <c r="AA61" s="42"/>
      <c r="AB61" s="31">
        <f t="shared" si="118"/>
        <v>299</v>
      </c>
      <c r="AC61" s="16"/>
      <c r="AD61" s="131">
        <f t="shared" si="119"/>
        <v>95</v>
      </c>
      <c r="AE61" s="16"/>
      <c r="AF61" s="95"/>
      <c r="AG61" s="67"/>
      <c r="AH61" s="67" t="s">
        <v>134</v>
      </c>
      <c r="AI61" s="67"/>
      <c r="AJ61" s="68" t="str">
        <f t="shared" si="120"/>
        <v/>
      </c>
      <c r="AK61" s="102"/>
      <c r="AL61" s="48"/>
      <c r="AM61" s="105">
        <f t="shared" si="164"/>
        <v>300</v>
      </c>
      <c r="AN61" s="69">
        <f t="shared" si="121"/>
        <v>46411</v>
      </c>
      <c r="AO61" s="107">
        <f>AN61-AU61</f>
        <v>204</v>
      </c>
      <c r="AP61" s="48"/>
      <c r="AQ61" s="111"/>
      <c r="AR61" s="70">
        <f>IFERROR(WORKDAY.INTL(AN61,AQ61,11),"")</f>
        <v>46411</v>
      </c>
      <c r="AS61" s="107">
        <f>AR61-AU61</f>
        <v>204</v>
      </c>
      <c r="AT61" s="48"/>
      <c r="AU61" s="113">
        <f t="shared" si="125"/>
        <v>46207</v>
      </c>
      <c r="AV61" s="119" t="str" cm="1">
        <f t="array" ref="AV61">IF(OR(G61&gt;$C$6,G61=""),$F$8,INDEX($E$8:$Z$8,MATCH(TRUE,(F61:AA61=""),0)))</f>
        <v>1. Tender Docs &amp; BOQ</v>
      </c>
      <c r="AW61" s="116" t="b">
        <f t="shared" si="126"/>
        <v>0</v>
      </c>
      <c r="AX61" s="71" t="b">
        <f t="shared" si="127"/>
        <v>0</v>
      </c>
      <c r="AY61" s="71" t="b">
        <f t="shared" si="128"/>
        <v>0</v>
      </c>
      <c r="AZ61" s="71" t="b">
        <f t="shared" si="129"/>
        <v>0</v>
      </c>
      <c r="BA61" s="71" t="b">
        <f t="shared" si="130"/>
        <v>0</v>
      </c>
      <c r="BB61" s="71" t="b">
        <f t="shared" si="131"/>
        <v>0</v>
      </c>
      <c r="BC61" s="71" t="b">
        <f t="shared" si="132"/>
        <v>0</v>
      </c>
      <c r="BD61" s="71" t="b">
        <f t="shared" si="133"/>
        <v>0</v>
      </c>
      <c r="BE61" s="71" t="b">
        <f t="shared" si="134"/>
        <v>0</v>
      </c>
      <c r="BF61" s="71" t="b">
        <f t="shared" si="135"/>
        <v>0</v>
      </c>
      <c r="BG61" s="89" t="b">
        <f t="shared" si="136"/>
        <v>0</v>
      </c>
      <c r="BH61" s="48"/>
    </row>
    <row r="62" spans="1:60" ht="26.25" x14ac:dyDescent="0.25">
      <c r="A62" s="56" cm="1">
        <f t="array" ref="A62">SUMPRODUCT(($AV$10:$AV$68&lt;&gt;"")*(ROW($AV$10:$AV$68)&lt;=ROW()))</f>
        <v>46</v>
      </c>
      <c r="B62" s="59"/>
      <c r="C62" s="60" t="s">
        <v>266</v>
      </c>
      <c r="D62" s="59" t="s">
        <v>13</v>
      </c>
      <c r="E62" s="43"/>
      <c r="F62" s="44">
        <f t="shared" si="107"/>
        <v>46316</v>
      </c>
      <c r="G62" s="45"/>
      <c r="H62" s="44">
        <f t="shared" si="108"/>
        <v>46323</v>
      </c>
      <c r="I62" s="45"/>
      <c r="J62" s="44">
        <f t="shared" si="109"/>
        <v>46329</v>
      </c>
      <c r="K62" s="45"/>
      <c r="L62" s="44">
        <f t="shared" si="110"/>
        <v>46332</v>
      </c>
      <c r="M62" s="45"/>
      <c r="N62" s="44">
        <f t="shared" si="111"/>
        <v>46362</v>
      </c>
      <c r="O62" s="45"/>
      <c r="P62" s="44">
        <f t="shared" si="112"/>
        <v>46372</v>
      </c>
      <c r="Q62" s="45"/>
      <c r="R62" s="44">
        <f t="shared" si="113"/>
        <v>46392</v>
      </c>
      <c r="S62" s="45"/>
      <c r="T62" s="44">
        <f t="shared" si="114"/>
        <v>46399</v>
      </c>
      <c r="U62" s="45"/>
      <c r="V62" s="44">
        <f t="shared" si="115"/>
        <v>46406</v>
      </c>
      <c r="W62" s="45"/>
      <c r="X62" s="44">
        <f t="shared" si="116"/>
        <v>46411</v>
      </c>
      <c r="Y62" s="45"/>
      <c r="Z62" s="46">
        <f t="shared" si="117"/>
        <v>46421</v>
      </c>
      <c r="AA62" s="45"/>
      <c r="AB62" s="32">
        <f t="shared" si="118"/>
        <v>299</v>
      </c>
      <c r="AC62" s="16"/>
      <c r="AD62" s="131">
        <f t="shared" si="119"/>
        <v>95</v>
      </c>
      <c r="AE62" s="16"/>
      <c r="AF62" s="96"/>
      <c r="AG62" s="72"/>
      <c r="AH62" s="72" t="s">
        <v>134</v>
      </c>
      <c r="AI62" s="72"/>
      <c r="AJ62" s="73" t="str">
        <f t="shared" si="120"/>
        <v/>
      </c>
      <c r="AK62" s="101"/>
      <c r="AL62" s="48"/>
      <c r="AM62" s="104">
        <f t="shared" si="164"/>
        <v>300</v>
      </c>
      <c r="AN62" s="74">
        <f t="shared" si="121"/>
        <v>46411</v>
      </c>
      <c r="AO62" s="108">
        <f t="shared" ref="AO62:AO68" si="165">AN62-AU62</f>
        <v>204</v>
      </c>
      <c r="AP62" s="48"/>
      <c r="AQ62" s="110"/>
      <c r="AR62" s="75">
        <f t="shared" ref="AR62:AR68" si="166">IFERROR(WORKDAY.INTL(AN62,AQ62,11),"")</f>
        <v>46411</v>
      </c>
      <c r="AS62" s="108">
        <f t="shared" ref="AS62:AS68" si="167">AR62-AU62</f>
        <v>204</v>
      </c>
      <c r="AT62" s="48"/>
      <c r="AU62" s="114">
        <f t="shared" si="125"/>
        <v>46207</v>
      </c>
      <c r="AV62" s="120" t="str" cm="1">
        <f t="array" ref="AV62">IF(OR(G62&gt;$C$6,G62=""),$F$8,INDEX($E$8:$Z$8,MATCH(TRUE,(F62:AA62=""),0)))</f>
        <v>1. Tender Docs &amp; BOQ</v>
      </c>
      <c r="AW62" s="117" t="b">
        <f t="shared" si="126"/>
        <v>0</v>
      </c>
      <c r="AX62" s="76" t="b">
        <f t="shared" si="127"/>
        <v>0</v>
      </c>
      <c r="AY62" s="76" t="b">
        <f t="shared" si="128"/>
        <v>0</v>
      </c>
      <c r="AZ62" s="76" t="b">
        <f t="shared" si="129"/>
        <v>0</v>
      </c>
      <c r="BA62" s="76" t="b">
        <f t="shared" si="130"/>
        <v>0</v>
      </c>
      <c r="BB62" s="76" t="b">
        <f t="shared" si="131"/>
        <v>0</v>
      </c>
      <c r="BC62" s="76" t="b">
        <f t="shared" si="132"/>
        <v>0</v>
      </c>
      <c r="BD62" s="76" t="b">
        <f t="shared" si="133"/>
        <v>0</v>
      </c>
      <c r="BE62" s="76" t="b">
        <f t="shared" si="134"/>
        <v>0</v>
      </c>
      <c r="BF62" s="76" t="b">
        <f t="shared" si="135"/>
        <v>0</v>
      </c>
      <c r="BG62" s="90" t="b">
        <f t="shared" si="136"/>
        <v>0</v>
      </c>
      <c r="BH62" s="48"/>
    </row>
    <row r="63" spans="1:60" ht="26.25" x14ac:dyDescent="0.25">
      <c r="A63" s="56" cm="1">
        <f t="array" ref="A63">SUMPRODUCT(($AV$10:$AV$68&lt;&gt;"")*(ROW($AV$10:$AV$68)&lt;=ROW()))</f>
        <v>47</v>
      </c>
      <c r="B63" s="57"/>
      <c r="C63" s="58" t="s">
        <v>267</v>
      </c>
      <c r="D63" s="93" t="s">
        <v>13</v>
      </c>
      <c r="E63" s="16"/>
      <c r="F63" s="29">
        <f t="shared" si="107"/>
        <v>46316</v>
      </c>
      <c r="G63" s="42"/>
      <c r="H63" s="29">
        <f t="shared" si="108"/>
        <v>46323</v>
      </c>
      <c r="I63" s="42"/>
      <c r="J63" s="29">
        <f t="shared" si="109"/>
        <v>46329</v>
      </c>
      <c r="K63" s="42"/>
      <c r="L63" s="29">
        <f t="shared" si="110"/>
        <v>46332</v>
      </c>
      <c r="M63" s="42"/>
      <c r="N63" s="29">
        <f t="shared" si="111"/>
        <v>46362</v>
      </c>
      <c r="O63" s="42"/>
      <c r="P63" s="29">
        <f t="shared" si="112"/>
        <v>46372</v>
      </c>
      <c r="Q63" s="42"/>
      <c r="R63" s="29">
        <f t="shared" si="113"/>
        <v>46392</v>
      </c>
      <c r="S63" s="42"/>
      <c r="T63" s="29">
        <f t="shared" si="114"/>
        <v>46399</v>
      </c>
      <c r="U63" s="42"/>
      <c r="V63" s="29">
        <f t="shared" si="115"/>
        <v>46406</v>
      </c>
      <c r="W63" s="42"/>
      <c r="X63" s="29">
        <f t="shared" si="116"/>
        <v>46411</v>
      </c>
      <c r="Y63" s="42"/>
      <c r="Z63" s="30">
        <f t="shared" si="117"/>
        <v>46421</v>
      </c>
      <c r="AA63" s="42"/>
      <c r="AB63" s="31">
        <f t="shared" si="118"/>
        <v>299</v>
      </c>
      <c r="AC63" s="16"/>
      <c r="AD63" s="131">
        <f t="shared" si="119"/>
        <v>95</v>
      </c>
      <c r="AE63" s="16"/>
      <c r="AF63" s="95"/>
      <c r="AG63" s="67"/>
      <c r="AH63" s="67">
        <v>2125500</v>
      </c>
      <c r="AI63" s="67"/>
      <c r="AJ63" s="68" t="str">
        <f t="shared" si="120"/>
        <v/>
      </c>
      <c r="AK63" s="102"/>
      <c r="AL63" s="48"/>
      <c r="AM63" s="105">
        <f t="shared" si="164"/>
        <v>300</v>
      </c>
      <c r="AN63" s="69">
        <f t="shared" si="121"/>
        <v>46411</v>
      </c>
      <c r="AO63" s="107">
        <f t="shared" si="165"/>
        <v>204</v>
      </c>
      <c r="AP63" s="48"/>
      <c r="AQ63" s="111"/>
      <c r="AR63" s="70">
        <f t="shared" si="166"/>
        <v>46411</v>
      </c>
      <c r="AS63" s="107">
        <f t="shared" si="167"/>
        <v>204</v>
      </c>
      <c r="AT63" s="48"/>
      <c r="AU63" s="113">
        <f t="shared" si="125"/>
        <v>46207</v>
      </c>
      <c r="AV63" s="119" t="str" cm="1">
        <f t="array" ref="AV63">IF(OR(G63&gt;$C$6,G63=""),$F$8,INDEX($E$8:$Z$8,MATCH(TRUE,(F63:AA63=""),0)))</f>
        <v>1. Tender Docs &amp; BOQ</v>
      </c>
      <c r="AW63" s="116" t="b">
        <f t="shared" si="126"/>
        <v>0</v>
      </c>
      <c r="AX63" s="71" t="b">
        <f t="shared" si="127"/>
        <v>0</v>
      </c>
      <c r="AY63" s="71" t="b">
        <f t="shared" si="128"/>
        <v>0</v>
      </c>
      <c r="AZ63" s="71" t="b">
        <f t="shared" si="129"/>
        <v>0</v>
      </c>
      <c r="BA63" s="71" t="b">
        <f t="shared" si="130"/>
        <v>0</v>
      </c>
      <c r="BB63" s="71" t="b">
        <f t="shared" si="131"/>
        <v>0</v>
      </c>
      <c r="BC63" s="71" t="b">
        <f t="shared" si="132"/>
        <v>0</v>
      </c>
      <c r="BD63" s="71" t="b">
        <f t="shared" si="133"/>
        <v>0</v>
      </c>
      <c r="BE63" s="71" t="b">
        <f t="shared" si="134"/>
        <v>0</v>
      </c>
      <c r="BF63" s="71" t="b">
        <f t="shared" si="135"/>
        <v>0</v>
      </c>
      <c r="BG63" s="89" t="b">
        <f t="shared" si="136"/>
        <v>0</v>
      </c>
      <c r="BH63" s="48"/>
    </row>
    <row r="64" spans="1:60" ht="26.25" x14ac:dyDescent="0.25">
      <c r="A64" s="56" cm="1">
        <f t="array" ref="A64">SUMPRODUCT(($AV$10:$AV$68&lt;&gt;"")*(ROW($AV$10:$AV$68)&lt;=ROW()))</f>
        <v>48</v>
      </c>
      <c r="B64" s="59"/>
      <c r="C64" s="60" t="s">
        <v>268</v>
      </c>
      <c r="D64" s="59" t="s">
        <v>13</v>
      </c>
      <c r="E64" s="43"/>
      <c r="F64" s="44">
        <f t="shared" si="107"/>
        <v>46316</v>
      </c>
      <c r="G64" s="45"/>
      <c r="H64" s="44">
        <f t="shared" si="108"/>
        <v>46323</v>
      </c>
      <c r="I64" s="45"/>
      <c r="J64" s="44">
        <f t="shared" si="109"/>
        <v>46329</v>
      </c>
      <c r="K64" s="45"/>
      <c r="L64" s="44">
        <f t="shared" si="110"/>
        <v>46332</v>
      </c>
      <c r="M64" s="45"/>
      <c r="N64" s="44">
        <f t="shared" si="111"/>
        <v>46362</v>
      </c>
      <c r="O64" s="45"/>
      <c r="P64" s="44">
        <f t="shared" si="112"/>
        <v>46372</v>
      </c>
      <c r="Q64" s="45"/>
      <c r="R64" s="44">
        <f t="shared" si="113"/>
        <v>46392</v>
      </c>
      <c r="S64" s="45"/>
      <c r="T64" s="44">
        <f t="shared" si="114"/>
        <v>46399</v>
      </c>
      <c r="U64" s="45"/>
      <c r="V64" s="44">
        <f t="shared" si="115"/>
        <v>46406</v>
      </c>
      <c r="W64" s="45"/>
      <c r="X64" s="44">
        <f t="shared" si="116"/>
        <v>46411</v>
      </c>
      <c r="Y64" s="45"/>
      <c r="Z64" s="46">
        <f t="shared" si="117"/>
        <v>46421</v>
      </c>
      <c r="AA64" s="45"/>
      <c r="AB64" s="32">
        <f t="shared" si="118"/>
        <v>299</v>
      </c>
      <c r="AC64" s="16"/>
      <c r="AD64" s="131">
        <f t="shared" si="119"/>
        <v>95</v>
      </c>
      <c r="AE64" s="16"/>
      <c r="AF64" s="96"/>
      <c r="AG64" s="72"/>
      <c r="AH64" s="72" t="s">
        <v>134</v>
      </c>
      <c r="AI64" s="72"/>
      <c r="AJ64" s="73" t="str">
        <f t="shared" si="120"/>
        <v/>
      </c>
      <c r="AK64" s="101"/>
      <c r="AL64" s="48"/>
      <c r="AM64" s="104">
        <f t="shared" si="164"/>
        <v>300</v>
      </c>
      <c r="AN64" s="74">
        <f t="shared" si="121"/>
        <v>46411</v>
      </c>
      <c r="AO64" s="108">
        <f t="shared" si="165"/>
        <v>204</v>
      </c>
      <c r="AP64" s="48"/>
      <c r="AQ64" s="110"/>
      <c r="AR64" s="75">
        <f t="shared" si="166"/>
        <v>46411</v>
      </c>
      <c r="AS64" s="108">
        <f t="shared" si="167"/>
        <v>204</v>
      </c>
      <c r="AT64" s="48"/>
      <c r="AU64" s="114">
        <f t="shared" si="125"/>
        <v>46207</v>
      </c>
      <c r="AV64" s="120" t="str" cm="1">
        <f t="array" ref="AV64">IF(OR(G64&gt;$C$6,G64=""),$F$8,INDEX($E$8:$Z$8,MATCH(TRUE,(F64:AA64=""),0)))</f>
        <v>1. Tender Docs &amp; BOQ</v>
      </c>
      <c r="AW64" s="117" t="b">
        <f t="shared" si="126"/>
        <v>0</v>
      </c>
      <c r="AX64" s="76" t="b">
        <f t="shared" si="127"/>
        <v>0</v>
      </c>
      <c r="AY64" s="76" t="b">
        <f t="shared" si="128"/>
        <v>0</v>
      </c>
      <c r="AZ64" s="76" t="b">
        <f t="shared" si="129"/>
        <v>0</v>
      </c>
      <c r="BA64" s="76" t="b">
        <f t="shared" si="130"/>
        <v>0</v>
      </c>
      <c r="BB64" s="76" t="b">
        <f t="shared" si="131"/>
        <v>0</v>
      </c>
      <c r="BC64" s="76" t="b">
        <f t="shared" si="132"/>
        <v>0</v>
      </c>
      <c r="BD64" s="76" t="b">
        <f t="shared" si="133"/>
        <v>0</v>
      </c>
      <c r="BE64" s="76" t="b">
        <f t="shared" si="134"/>
        <v>0</v>
      </c>
      <c r="BF64" s="76" t="b">
        <f t="shared" si="135"/>
        <v>0</v>
      </c>
      <c r="BG64" s="90" t="b">
        <f t="shared" si="136"/>
        <v>0</v>
      </c>
      <c r="BH64" s="48"/>
    </row>
    <row r="65" spans="1:60" ht="26.25" x14ac:dyDescent="0.25">
      <c r="A65" s="56" cm="1">
        <f t="array" ref="A65">SUMPRODUCT(($AV$10:$AV$68&lt;&gt;"")*(ROW($AV$10:$AV$68)&lt;=ROW()))</f>
        <v>49</v>
      </c>
      <c r="B65" s="57"/>
      <c r="C65" s="58" t="s">
        <v>269</v>
      </c>
      <c r="D65" s="93" t="s">
        <v>11</v>
      </c>
      <c r="E65" s="16"/>
      <c r="F65" s="29">
        <f t="shared" si="107"/>
        <v>46316</v>
      </c>
      <c r="G65" s="42"/>
      <c r="H65" s="29">
        <f t="shared" si="108"/>
        <v>46323</v>
      </c>
      <c r="I65" s="42"/>
      <c r="J65" s="29">
        <f t="shared" si="109"/>
        <v>46329</v>
      </c>
      <c r="K65" s="42"/>
      <c r="L65" s="29">
        <f t="shared" si="110"/>
        <v>46332</v>
      </c>
      <c r="M65" s="42"/>
      <c r="N65" s="29">
        <f t="shared" si="111"/>
        <v>46362</v>
      </c>
      <c r="O65" s="42"/>
      <c r="P65" s="29">
        <f t="shared" si="112"/>
        <v>46372</v>
      </c>
      <c r="Q65" s="42"/>
      <c r="R65" s="29">
        <f t="shared" si="113"/>
        <v>46392</v>
      </c>
      <c r="S65" s="42"/>
      <c r="T65" s="29">
        <f t="shared" si="114"/>
        <v>46399</v>
      </c>
      <c r="U65" s="42"/>
      <c r="V65" s="29">
        <f t="shared" si="115"/>
        <v>46406</v>
      </c>
      <c r="W65" s="42"/>
      <c r="X65" s="29">
        <f t="shared" si="116"/>
        <v>46411</v>
      </c>
      <c r="Y65" s="42"/>
      <c r="Z65" s="30">
        <f t="shared" si="117"/>
        <v>46421</v>
      </c>
      <c r="AA65" s="42"/>
      <c r="AB65" s="31">
        <f t="shared" si="118"/>
        <v>299</v>
      </c>
      <c r="AC65" s="16"/>
      <c r="AD65" s="131">
        <f t="shared" si="119"/>
        <v>95</v>
      </c>
      <c r="AE65" s="16"/>
      <c r="AF65" s="97"/>
      <c r="AG65" s="67"/>
      <c r="AH65" s="67" t="s">
        <v>134</v>
      </c>
      <c r="AI65" s="67"/>
      <c r="AJ65" s="68" t="str">
        <f t="shared" si="120"/>
        <v/>
      </c>
      <c r="AK65" s="102"/>
      <c r="AL65" s="48"/>
      <c r="AM65" s="105">
        <f t="shared" si="164"/>
        <v>300</v>
      </c>
      <c r="AN65" s="69">
        <f t="shared" si="121"/>
        <v>46411</v>
      </c>
      <c r="AO65" s="107">
        <f t="shared" si="165"/>
        <v>204</v>
      </c>
      <c r="AP65" s="48"/>
      <c r="AQ65" s="111"/>
      <c r="AR65" s="70">
        <f t="shared" si="166"/>
        <v>46411</v>
      </c>
      <c r="AS65" s="107">
        <f t="shared" si="167"/>
        <v>204</v>
      </c>
      <c r="AT65" s="48"/>
      <c r="AU65" s="113">
        <f t="shared" si="125"/>
        <v>46207</v>
      </c>
      <c r="AV65" s="119" t="str" cm="1">
        <f t="array" ref="AV65">IF(OR(G65&gt;$C$6,G65=""),$F$8,INDEX($E$8:$Z$8,MATCH(TRUE,(F65:AA65=""),0)))</f>
        <v>1. Tender Docs &amp; BOQ</v>
      </c>
      <c r="AW65" s="116" t="b">
        <f t="shared" si="126"/>
        <v>0</v>
      </c>
      <c r="AX65" s="71" t="b">
        <f t="shared" si="127"/>
        <v>0</v>
      </c>
      <c r="AY65" s="71" t="b">
        <f t="shared" si="128"/>
        <v>0</v>
      </c>
      <c r="AZ65" s="71" t="b">
        <f t="shared" si="129"/>
        <v>0</v>
      </c>
      <c r="BA65" s="71" t="b">
        <f t="shared" si="130"/>
        <v>0</v>
      </c>
      <c r="BB65" s="71" t="b">
        <f t="shared" si="131"/>
        <v>0</v>
      </c>
      <c r="BC65" s="71" t="b">
        <f t="shared" si="132"/>
        <v>0</v>
      </c>
      <c r="BD65" s="71" t="b">
        <f t="shared" si="133"/>
        <v>0</v>
      </c>
      <c r="BE65" s="71" t="b">
        <f t="shared" si="134"/>
        <v>0</v>
      </c>
      <c r="BF65" s="71" t="b">
        <f t="shared" si="135"/>
        <v>0</v>
      </c>
      <c r="BG65" s="89" t="b">
        <f t="shared" si="136"/>
        <v>0</v>
      </c>
      <c r="BH65" s="48"/>
    </row>
    <row r="66" spans="1:60" ht="26.25" x14ac:dyDescent="0.25">
      <c r="A66" s="56" cm="1">
        <f t="array" ref="A66">SUMPRODUCT(($AV$10:$AV$68&lt;&gt;"")*(ROW($AV$10:$AV$68)&lt;=ROW()))</f>
        <v>50</v>
      </c>
      <c r="B66" s="59"/>
      <c r="C66" s="60" t="s">
        <v>254</v>
      </c>
      <c r="D66" s="59" t="s">
        <v>13</v>
      </c>
      <c r="E66" s="43"/>
      <c r="F66" s="44">
        <f t="shared" si="107"/>
        <v>46316</v>
      </c>
      <c r="G66" s="45"/>
      <c r="H66" s="44">
        <f t="shared" si="108"/>
        <v>46323</v>
      </c>
      <c r="I66" s="45"/>
      <c r="J66" s="44">
        <f t="shared" si="109"/>
        <v>46329</v>
      </c>
      <c r="K66" s="45"/>
      <c r="L66" s="44">
        <f t="shared" si="110"/>
        <v>46332</v>
      </c>
      <c r="M66" s="45"/>
      <c r="N66" s="44">
        <f t="shared" si="111"/>
        <v>46362</v>
      </c>
      <c r="O66" s="45"/>
      <c r="P66" s="44">
        <f t="shared" si="112"/>
        <v>46372</v>
      </c>
      <c r="Q66" s="45"/>
      <c r="R66" s="44">
        <f t="shared" si="113"/>
        <v>46392</v>
      </c>
      <c r="S66" s="45"/>
      <c r="T66" s="44">
        <f t="shared" si="114"/>
        <v>46399</v>
      </c>
      <c r="U66" s="45"/>
      <c r="V66" s="44">
        <f t="shared" si="115"/>
        <v>46406</v>
      </c>
      <c r="W66" s="45"/>
      <c r="X66" s="44">
        <f t="shared" si="116"/>
        <v>46411</v>
      </c>
      <c r="Y66" s="45"/>
      <c r="Z66" s="46">
        <f t="shared" si="117"/>
        <v>46421</v>
      </c>
      <c r="AA66" s="45"/>
      <c r="AB66" s="32">
        <f t="shared" si="118"/>
        <v>299</v>
      </c>
      <c r="AC66" s="16"/>
      <c r="AD66" s="131">
        <f t="shared" si="119"/>
        <v>95</v>
      </c>
      <c r="AE66" s="16"/>
      <c r="AF66" s="96"/>
      <c r="AG66" s="72"/>
      <c r="AH66" s="72" t="s">
        <v>134</v>
      </c>
      <c r="AI66" s="72"/>
      <c r="AJ66" s="73" t="str">
        <f t="shared" si="120"/>
        <v/>
      </c>
      <c r="AK66" s="101"/>
      <c r="AL66" s="48"/>
      <c r="AM66" s="104">
        <f t="shared" si="164"/>
        <v>300</v>
      </c>
      <c r="AN66" s="74">
        <f t="shared" si="121"/>
        <v>46411</v>
      </c>
      <c r="AO66" s="108">
        <f t="shared" si="165"/>
        <v>204</v>
      </c>
      <c r="AP66" s="48"/>
      <c r="AQ66" s="110"/>
      <c r="AR66" s="75">
        <f t="shared" si="166"/>
        <v>46411</v>
      </c>
      <c r="AS66" s="108">
        <f t="shared" si="167"/>
        <v>204</v>
      </c>
      <c r="AT66" s="48"/>
      <c r="AU66" s="114">
        <f t="shared" si="125"/>
        <v>46207</v>
      </c>
      <c r="AV66" s="120" t="str" cm="1">
        <f t="array" ref="AV66">IF(OR(G66&gt;$C$6,G66=""),$F$8,INDEX($E$8:$Z$8,MATCH(TRUE,(F66:AA66=""),0)))</f>
        <v>1. Tender Docs &amp; BOQ</v>
      </c>
      <c r="AW66" s="117" t="b">
        <f t="shared" si="126"/>
        <v>0</v>
      </c>
      <c r="AX66" s="76" t="b">
        <f t="shared" si="127"/>
        <v>0</v>
      </c>
      <c r="AY66" s="76" t="b">
        <f t="shared" si="128"/>
        <v>0</v>
      </c>
      <c r="AZ66" s="76" t="b">
        <f t="shared" si="129"/>
        <v>0</v>
      </c>
      <c r="BA66" s="76" t="b">
        <f t="shared" si="130"/>
        <v>0</v>
      </c>
      <c r="BB66" s="76" t="b">
        <f t="shared" si="131"/>
        <v>0</v>
      </c>
      <c r="BC66" s="76" t="b">
        <f t="shared" si="132"/>
        <v>0</v>
      </c>
      <c r="BD66" s="76" t="b">
        <f t="shared" si="133"/>
        <v>0</v>
      </c>
      <c r="BE66" s="76" t="b">
        <f t="shared" si="134"/>
        <v>0</v>
      </c>
      <c r="BF66" s="76" t="b">
        <f t="shared" si="135"/>
        <v>0</v>
      </c>
      <c r="BG66" s="90" t="b">
        <f t="shared" si="136"/>
        <v>0</v>
      </c>
      <c r="BH66" s="48"/>
    </row>
    <row r="67" spans="1:60" ht="26.25" x14ac:dyDescent="0.25">
      <c r="A67" s="56" cm="1">
        <f t="array" ref="A67">SUMPRODUCT(($AV$10:$AV$68&lt;&gt;"")*(ROW($AV$10:$AV$68)&lt;=ROW()))</f>
        <v>51</v>
      </c>
      <c r="B67" s="57"/>
      <c r="C67" s="58" t="s">
        <v>270</v>
      </c>
      <c r="D67" s="93" t="s">
        <v>11</v>
      </c>
      <c r="E67" s="16"/>
      <c r="F67" s="29">
        <f t="shared" si="107"/>
        <v>46316</v>
      </c>
      <c r="G67" s="42"/>
      <c r="H67" s="29">
        <f t="shared" si="108"/>
        <v>46323</v>
      </c>
      <c r="I67" s="42"/>
      <c r="J67" s="29">
        <f t="shared" si="109"/>
        <v>46329</v>
      </c>
      <c r="K67" s="42"/>
      <c r="L67" s="29">
        <f t="shared" si="110"/>
        <v>46332</v>
      </c>
      <c r="M67" s="42"/>
      <c r="N67" s="29">
        <f t="shared" si="111"/>
        <v>46362</v>
      </c>
      <c r="O67" s="42"/>
      <c r="P67" s="29">
        <f t="shared" si="112"/>
        <v>46372</v>
      </c>
      <c r="Q67" s="42"/>
      <c r="R67" s="29">
        <f t="shared" si="113"/>
        <v>46392</v>
      </c>
      <c r="S67" s="42"/>
      <c r="T67" s="29">
        <f t="shared" si="114"/>
        <v>46399</v>
      </c>
      <c r="U67" s="42"/>
      <c r="V67" s="29">
        <f t="shared" si="115"/>
        <v>46406</v>
      </c>
      <c r="W67" s="42"/>
      <c r="X67" s="29">
        <f t="shared" si="116"/>
        <v>46411</v>
      </c>
      <c r="Y67" s="42"/>
      <c r="Z67" s="30">
        <f t="shared" si="117"/>
        <v>46421</v>
      </c>
      <c r="AA67" s="42"/>
      <c r="AB67" s="31">
        <f t="shared" si="118"/>
        <v>299</v>
      </c>
      <c r="AC67" s="16"/>
      <c r="AD67" s="131">
        <f t="shared" si="119"/>
        <v>95</v>
      </c>
      <c r="AE67" s="16"/>
      <c r="AF67" s="95"/>
      <c r="AG67" s="67"/>
      <c r="AH67" s="67" t="s">
        <v>134</v>
      </c>
      <c r="AI67" s="67"/>
      <c r="AJ67" s="68" t="str">
        <f t="shared" si="120"/>
        <v/>
      </c>
      <c r="AK67" s="102"/>
      <c r="AL67" s="48"/>
      <c r="AM67" s="105">
        <f t="shared" si="164"/>
        <v>300</v>
      </c>
      <c r="AN67" s="69">
        <f t="shared" si="121"/>
        <v>46411</v>
      </c>
      <c r="AO67" s="107">
        <f t="shared" si="165"/>
        <v>204</v>
      </c>
      <c r="AP67" s="48"/>
      <c r="AQ67" s="111"/>
      <c r="AR67" s="70">
        <f t="shared" si="166"/>
        <v>46411</v>
      </c>
      <c r="AS67" s="107">
        <f t="shared" si="167"/>
        <v>204</v>
      </c>
      <c r="AT67" s="48"/>
      <c r="AU67" s="113">
        <f t="shared" si="125"/>
        <v>46207</v>
      </c>
      <c r="AV67" s="119" t="str" cm="1">
        <f t="array" ref="AV67">IF(OR(G67&gt;$C$6,G67=""),$F$8,INDEX($E$8:$Z$8,MATCH(TRUE,(F67:AA67=""),0)))</f>
        <v>1. Tender Docs &amp; BOQ</v>
      </c>
      <c r="AW67" s="116" t="b">
        <f t="shared" si="126"/>
        <v>0</v>
      </c>
      <c r="AX67" s="71" t="b">
        <f t="shared" si="127"/>
        <v>0</v>
      </c>
      <c r="AY67" s="71" t="b">
        <f t="shared" si="128"/>
        <v>0</v>
      </c>
      <c r="AZ67" s="71" t="b">
        <f t="shared" si="129"/>
        <v>0</v>
      </c>
      <c r="BA67" s="71" t="b">
        <f t="shared" si="130"/>
        <v>0</v>
      </c>
      <c r="BB67" s="71" t="b">
        <f t="shared" si="131"/>
        <v>0</v>
      </c>
      <c r="BC67" s="71" t="b">
        <f t="shared" si="132"/>
        <v>0</v>
      </c>
      <c r="BD67" s="71" t="b">
        <f t="shared" si="133"/>
        <v>0</v>
      </c>
      <c r="BE67" s="71" t="b">
        <f t="shared" si="134"/>
        <v>0</v>
      </c>
      <c r="BF67" s="71" t="b">
        <f t="shared" si="135"/>
        <v>0</v>
      </c>
      <c r="BG67" s="89" t="b">
        <f t="shared" si="136"/>
        <v>0</v>
      </c>
      <c r="BH67" s="48"/>
    </row>
    <row r="68" spans="1:60" ht="26.25" x14ac:dyDescent="0.25">
      <c r="A68" s="56" cm="1">
        <f t="array" ref="A68">SUMPRODUCT(($AV$10:$AV$68&lt;&gt;"")*(ROW($AV$10:$AV$68)&lt;=ROW()))</f>
        <v>52</v>
      </c>
      <c r="B68" s="59"/>
      <c r="C68" s="60" t="s">
        <v>145</v>
      </c>
      <c r="D68" s="59" t="s">
        <v>7</v>
      </c>
      <c r="E68" s="43"/>
      <c r="F68" s="44">
        <f t="shared" si="107"/>
        <v>46316</v>
      </c>
      <c r="G68" s="45"/>
      <c r="H68" s="44">
        <f t="shared" si="108"/>
        <v>46323</v>
      </c>
      <c r="I68" s="45"/>
      <c r="J68" s="44">
        <f t="shared" si="109"/>
        <v>46329</v>
      </c>
      <c r="K68" s="45"/>
      <c r="L68" s="44">
        <f t="shared" si="110"/>
        <v>46332</v>
      </c>
      <c r="M68" s="45"/>
      <c r="N68" s="44">
        <f t="shared" si="111"/>
        <v>46362</v>
      </c>
      <c r="O68" s="45"/>
      <c r="P68" s="44">
        <f t="shared" si="112"/>
        <v>46372</v>
      </c>
      <c r="Q68" s="45"/>
      <c r="R68" s="44">
        <f t="shared" si="113"/>
        <v>46392</v>
      </c>
      <c r="S68" s="45"/>
      <c r="T68" s="44">
        <f t="shared" si="114"/>
        <v>46399</v>
      </c>
      <c r="U68" s="45"/>
      <c r="V68" s="44">
        <f t="shared" si="115"/>
        <v>46406</v>
      </c>
      <c r="W68" s="45"/>
      <c r="X68" s="44">
        <f t="shared" si="116"/>
        <v>46411</v>
      </c>
      <c r="Y68" s="45"/>
      <c r="Z68" s="46">
        <f t="shared" si="117"/>
        <v>46421</v>
      </c>
      <c r="AA68" s="45"/>
      <c r="AB68" s="32">
        <f t="shared" si="118"/>
        <v>299</v>
      </c>
      <c r="AC68" s="16"/>
      <c r="AD68" s="131">
        <f t="shared" si="119"/>
        <v>95</v>
      </c>
      <c r="AE68" s="16"/>
      <c r="AF68" s="96"/>
      <c r="AG68" s="72"/>
      <c r="AH68" s="72" t="s">
        <v>134</v>
      </c>
      <c r="AI68" s="72"/>
      <c r="AJ68" s="73" t="str">
        <f t="shared" si="120"/>
        <v/>
      </c>
      <c r="AK68" s="101"/>
      <c r="AL68" s="48"/>
      <c r="AM68" s="104">
        <f t="shared" si="164"/>
        <v>300</v>
      </c>
      <c r="AN68" s="74">
        <f t="shared" si="121"/>
        <v>46411</v>
      </c>
      <c r="AO68" s="108">
        <f t="shared" si="165"/>
        <v>204</v>
      </c>
      <c r="AP68" s="48"/>
      <c r="AQ68" s="110"/>
      <c r="AR68" s="75">
        <f t="shared" si="166"/>
        <v>46411</v>
      </c>
      <c r="AS68" s="108">
        <f t="shared" si="167"/>
        <v>204</v>
      </c>
      <c r="AT68" s="48"/>
      <c r="AU68" s="114">
        <f t="shared" si="125"/>
        <v>46207</v>
      </c>
      <c r="AV68" s="120" t="str" cm="1">
        <f t="array" ref="AV68">IF(OR(G68&gt;$C$6,G68=""),$F$8,INDEX($E$8:$Z$8,MATCH(TRUE,(F68:AA68=""),0)))</f>
        <v>1. Tender Docs &amp; BOQ</v>
      </c>
      <c r="AW68" s="117" t="b">
        <f t="shared" si="126"/>
        <v>0</v>
      </c>
      <c r="AX68" s="76" t="b">
        <f t="shared" si="127"/>
        <v>0</v>
      </c>
      <c r="AY68" s="76" t="b">
        <f t="shared" si="128"/>
        <v>0</v>
      </c>
      <c r="AZ68" s="76" t="b">
        <f t="shared" si="129"/>
        <v>0</v>
      </c>
      <c r="BA68" s="76" t="b">
        <f t="shared" si="130"/>
        <v>0</v>
      </c>
      <c r="BB68" s="76" t="b">
        <f t="shared" si="131"/>
        <v>0</v>
      </c>
      <c r="BC68" s="76" t="b">
        <f t="shared" si="132"/>
        <v>0</v>
      </c>
      <c r="BD68" s="76" t="b">
        <f t="shared" si="133"/>
        <v>0</v>
      </c>
      <c r="BE68" s="76" t="b">
        <f t="shared" si="134"/>
        <v>0</v>
      </c>
      <c r="BF68" s="76" t="b">
        <f t="shared" si="135"/>
        <v>0</v>
      </c>
      <c r="BG68" s="90" t="b">
        <f t="shared" si="136"/>
        <v>0</v>
      </c>
      <c r="BH68" s="48"/>
    </row>
    <row r="69" spans="1:60" ht="26.25" x14ac:dyDescent="0.25">
      <c r="A69" s="8"/>
      <c r="B69" s="8"/>
      <c r="C69" s="34" t="s">
        <v>189</v>
      </c>
      <c r="D69" s="100"/>
      <c r="E69" s="16"/>
      <c r="F69" s="123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124"/>
      <c r="AC69" s="16"/>
      <c r="AD69" s="130"/>
      <c r="AE69" s="16"/>
      <c r="AF69" s="99">
        <f>SUM(AF10:AF68)</f>
        <v>0</v>
      </c>
      <c r="AG69" s="10">
        <f>SUM(AG10:AG68)</f>
        <v>0</v>
      </c>
      <c r="AH69" s="10">
        <f>SUM(AH10:AH68)</f>
        <v>630893318</v>
      </c>
      <c r="AI69" s="10">
        <f>SUM(AI10:AI68)</f>
        <v>200928000</v>
      </c>
      <c r="AJ69" s="10">
        <f>SUM(AJ10:AJ68)</f>
        <v>26102822</v>
      </c>
      <c r="AK69" s="9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92"/>
      <c r="BH69" s="48"/>
    </row>
    <row r="71" spans="1:60" x14ac:dyDescent="0.25">
      <c r="C71" s="7" t="s">
        <v>474</v>
      </c>
      <c r="AF71" s="190">
        <v>46112</v>
      </c>
    </row>
    <row r="73" spans="1:60" x14ac:dyDescent="0.25">
      <c r="B73" s="3">
        <v>1</v>
      </c>
      <c r="C73" s="7" t="s">
        <v>473</v>
      </c>
      <c r="AF73" s="3" t="s">
        <v>475</v>
      </c>
    </row>
    <row r="74" spans="1:60" x14ac:dyDescent="0.25">
      <c r="B74" s="3">
        <v>2</v>
      </c>
      <c r="C74" s="7" t="s">
        <v>477</v>
      </c>
      <c r="AF74" s="3" t="s">
        <v>478</v>
      </c>
    </row>
    <row r="75" spans="1:60" x14ac:dyDescent="0.25">
      <c r="B75" s="3">
        <v>3</v>
      </c>
    </row>
    <row r="76" spans="1:60" x14ac:dyDescent="0.25">
      <c r="B76" s="3">
        <v>4</v>
      </c>
    </row>
    <row r="77" spans="1:60" x14ac:dyDescent="0.25">
      <c r="B77" s="3">
        <v>5</v>
      </c>
    </row>
    <row r="78" spans="1:60" x14ac:dyDescent="0.25">
      <c r="B78" s="3">
        <v>6</v>
      </c>
    </row>
    <row r="79" spans="1:60" x14ac:dyDescent="0.25">
      <c r="B79" s="3">
        <v>7</v>
      </c>
    </row>
  </sheetData>
  <sheetProtection formatColumns="0" formatRows="0" autoFilter="0"/>
  <mergeCells count="75">
    <mergeCell ref="AU7:AU9"/>
    <mergeCell ref="AG7:AG9"/>
    <mergeCell ref="AH7:AH9"/>
    <mergeCell ref="AI7:AI9"/>
    <mergeCell ref="AJ7:AJ9"/>
    <mergeCell ref="AK7:AK9"/>
    <mergeCell ref="AN7:AN9"/>
    <mergeCell ref="AO7:AO9"/>
    <mergeCell ref="AQ7:AQ9"/>
    <mergeCell ref="AR7:AR9"/>
    <mergeCell ref="AS7:AS9"/>
    <mergeCell ref="AM7:AM9"/>
    <mergeCell ref="BF7:BF9"/>
    <mergeCell ref="BG7:BG9"/>
    <mergeCell ref="AV7:AV9"/>
    <mergeCell ref="AW7:AW9"/>
    <mergeCell ref="AX7:AX9"/>
    <mergeCell ref="AY7:AY9"/>
    <mergeCell ref="AZ7:AZ9"/>
    <mergeCell ref="BA7:BA9"/>
    <mergeCell ref="BB7:BB9"/>
    <mergeCell ref="BC7:BC9"/>
    <mergeCell ref="BD7:BD9"/>
    <mergeCell ref="BE7:BE9"/>
    <mergeCell ref="AF7:AF9"/>
    <mergeCell ref="V8:W8"/>
    <mergeCell ref="X8:Y8"/>
    <mergeCell ref="Z8:AA8"/>
    <mergeCell ref="T7:U7"/>
    <mergeCell ref="V7:W7"/>
    <mergeCell ref="X7:Y7"/>
    <mergeCell ref="Z7:AA7"/>
    <mergeCell ref="AB7:AB9"/>
    <mergeCell ref="AD7:AD9"/>
    <mergeCell ref="A7:A9"/>
    <mergeCell ref="B7:B9"/>
    <mergeCell ref="C7:C9"/>
    <mergeCell ref="D7:D9"/>
    <mergeCell ref="F7:G7"/>
    <mergeCell ref="H7:I7"/>
    <mergeCell ref="F8:G8"/>
    <mergeCell ref="H8:I8"/>
    <mergeCell ref="J7:K7"/>
    <mergeCell ref="L7:M7"/>
    <mergeCell ref="L8:M8"/>
    <mergeCell ref="N7:O7"/>
    <mergeCell ref="P7:Q7"/>
    <mergeCell ref="R7:S7"/>
    <mergeCell ref="T8:U8"/>
    <mergeCell ref="J8:K8"/>
    <mergeCell ref="N8:O8"/>
    <mergeCell ref="P8:Q8"/>
    <mergeCell ref="R8:S8"/>
    <mergeCell ref="H3:H4"/>
    <mergeCell ref="I3:I4"/>
    <mergeCell ref="J3:J4"/>
    <mergeCell ref="K3:K4"/>
    <mergeCell ref="L3:L4"/>
    <mergeCell ref="M3:N4"/>
    <mergeCell ref="I1:I2"/>
    <mergeCell ref="J1:J2"/>
    <mergeCell ref="K1:K2"/>
    <mergeCell ref="L1:L2"/>
    <mergeCell ref="M1:N2"/>
    <mergeCell ref="A3:B4"/>
    <mergeCell ref="C3:C4"/>
    <mergeCell ref="D3:D4"/>
    <mergeCell ref="F3:F4"/>
    <mergeCell ref="G3:G4"/>
    <mergeCell ref="H1:H2"/>
    <mergeCell ref="A1:B2"/>
    <mergeCell ref="C1:C2"/>
    <mergeCell ref="D1:D2"/>
    <mergeCell ref="F1:F2"/>
    <mergeCell ref="G1:G2"/>
  </mergeCells>
  <conditionalFormatting sqref="G11:G14 I11:I14 K11:K14 M11:M14 O11:O14 Q11:Q14 S11:S14 U11:U14 W11:W14 Y11:Y14 AA11:AA14 G16:G20 I16:I20 K16:K20 M16:M20 O16:O20 Q16:Q20 S16:S20 U16:U20 W16:W20 Y16:Y20 AA16:AA20 G22:G26 I22:I26 K22:K26 M22:M26 O22:O26 Q22:Q26 S22:S26 U22:U26 W22:W26 Y22:Y26 AA22:AA26 G28:G40 I28:I40 K28:K40 M28:M40 O28:O40 Q28:Q40 S28:S40 U28:U40 W28:W40 Y28:Y40 AA28:AA40 G42:G50 I42:I50 K42:K50 M42:M50 O42:O50 Q42:Q50 S42:S50 U42:U50 W42:W50 Y42:Y50 AA42:AA50 G52:G68 I52:I68 K52:K68 M52:M68 O52:O68 Q52:Q68 S52:S68 U52:U68 W52:W68 Y52:Y68 AA52:AA68">
    <cfRule type="cellIs" dxfId="140" priority="6" operator="between">
      <formula>1</formula>
      <formula>$C$6</formula>
    </cfRule>
  </conditionalFormatting>
  <conditionalFormatting sqref="AB10:AB69 AO16:AO20 AS16:AS20">
    <cfRule type="cellIs" dxfId="139" priority="10" operator="lessThan">
      <formula>0</formula>
    </cfRule>
  </conditionalFormatting>
  <conditionalFormatting sqref="AO11:AO14 AS11:AS14 AO22:AO26 AS22:AS26 AO28:AO40 AS28:AS40 AO42:AO50 AS42:AS50 AO52:AO68 AS52:AS68">
    <cfRule type="cellIs" dxfId="138" priority="11" operator="lessThan">
      <formula>0</formula>
    </cfRule>
  </conditionalFormatting>
  <conditionalFormatting sqref="AW11:BG14 BB15:BG15 AW16:BG20 BB21:BG21 AW22:BG26 BB27:BG27 AW28:BG40 BB41:BG41 AW42:BG50 BB51:BG51 AW52:BG68 AL69:BG69">
    <cfRule type="cellIs" dxfId="131" priority="7" operator="equal">
      <formula>TRUE</formula>
    </cfRule>
  </conditionalFormatting>
  <conditionalFormatting sqref="BB10:BG10">
    <cfRule type="cellIs" dxfId="130" priority="5" operator="equal">
      <formula>TRUE</formula>
    </cfRule>
  </conditionalFormatting>
  <pageMargins left="3.937007874015748E-2" right="3.937007874015748E-2" top="0.74803149606299213" bottom="0.74803149606299213" header="0.31496062992125984" footer="0.31496062992125984"/>
  <pageSetup paperSize="8" scale="71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79AC5257-6FFF-4FC2-A3AF-F06B5A502816}">
            <xm:f>AV11=Data!$B$12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8" stopIfTrue="1" id="{8CA8AA4F-2AEB-41BF-987B-A7E89FA1C7B9}">
            <xm:f>AV11=Data!$B$11</xm:f>
            <x14:dxf>
              <fill>
                <patternFill>
                  <bgColor theme="9" tint="0.79998168889431442"/>
                </patternFill>
              </fill>
            </x14:dxf>
          </x14:cfRule>
          <x14:cfRule type="expression" priority="9" id="{D06E79BF-5727-4F67-8569-B88375B4C839}">
            <xm:f>AV11=Data!$B$2</xm:f>
            <x14:dxf>
              <fill>
                <patternFill>
                  <bgColor rgb="FFFFE5E5"/>
                </patternFill>
              </fill>
            </x14:dxf>
          </x14:cfRule>
          <xm:sqref>AU11:AU70</xm:sqref>
        </x14:conditionalFormatting>
        <x14:conditionalFormatting xmlns:xm="http://schemas.microsoft.com/office/excel/2006/main">
          <x14:cfRule type="cellIs" priority="1" operator="equal" id="{E41ED51D-2209-405B-9E58-CC60E0636168}">
            <xm:f>Data!$B$12</xm:f>
            <x14:dxf>
              <fill>
                <patternFill>
                  <bgColor theme="9" tint="0.59996337778862885"/>
                </patternFill>
              </fill>
            </x14:dxf>
          </x14:cfRule>
          <x14:cfRule type="cellIs" priority="2" stopIfTrue="1" operator="equal" id="{179ECC6B-136E-438E-BFD2-A03065C97239}">
            <xm:f>Data!$B$11</xm:f>
            <x14:dxf>
              <fill>
                <patternFill>
                  <bgColor theme="9" tint="0.79998168889431442"/>
                </patternFill>
              </fill>
            </x14:dxf>
          </x14:cfRule>
          <x14:cfRule type="cellIs" priority="3" operator="equal" id="{576CEBD6-6A1D-4F07-B7EF-EE2942ADB4C5}">
            <xm:f>Data!$B$2</xm:f>
            <x14:dxf>
              <fill>
                <patternFill>
                  <bgColor rgb="FFFFE5E5"/>
                </patternFill>
              </fill>
            </x14:dxf>
          </x14:cfRule>
          <xm:sqref>AV11:AV14 AV16:AV20 AV22:AV26 AV28:AV40 AV42:AV50 AV52:AV68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E9B6581-36C9-4BFD-983A-C766920E345B}">
          <x14:formula1>
            <xm:f>Data!$B$2:$B$13</xm:f>
          </x14:formula1>
          <xm:sqref>AV22:AV26 AV11:AV14 AV28:AV40 AV42:AV50 AV52:AV68 AV16:AV20</xm:sqref>
        </x14:dataValidation>
        <x14:dataValidation type="list" allowBlank="1" showInputMessage="1" showErrorMessage="1" xr:uid="{A82CF838-2332-4D21-88F5-CB3B978B68E7}">
          <x14:formula1>
            <xm:f>Data!$C$2:$C$12</xm:f>
          </x14:formula1>
          <xm:sqref>D42:D50 D11:D14 D28:D40 D22:D26 D52:D68 D16:D20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56086-EEC6-4CD1-AD41-13B1EC9F9E66}">
  <sheetPr codeName="Sheet6">
    <tabColor theme="9" tint="0.59999389629810485"/>
    <pageSetUpPr fitToPage="1"/>
  </sheetPr>
  <dimension ref="A1:BH66"/>
  <sheetViews>
    <sheetView showGridLines="0" zoomScale="70" zoomScaleNormal="70" zoomScalePageLayoutView="55" workbookViewId="0">
      <pane xSplit="3" ySplit="9" topLeftCell="D10" activePane="bottomRight" state="frozen"/>
      <selection pane="topRight" activeCell="AI6" sqref="AI6:AI8"/>
      <selection pane="bottomLeft" activeCell="AI6" sqref="AI6:AI8"/>
      <selection pane="bottomRight" activeCell="D12" sqref="D12"/>
    </sheetView>
  </sheetViews>
  <sheetFormatPr defaultColWidth="9.140625" defaultRowHeight="12.75" outlineLevelRow="1" outlineLevelCol="1" x14ac:dyDescent="0.25"/>
  <cols>
    <col min="1" max="2" width="7.42578125" style="3" customWidth="1"/>
    <col min="3" max="3" width="39.140625" style="7" customWidth="1"/>
    <col min="4" max="4" width="14.5703125" style="5" customWidth="1" outlineLevel="1"/>
    <col min="5" max="5" width="1.140625" style="3" customWidth="1" outlineLevel="1"/>
    <col min="6" max="27" width="11.85546875" style="4" customWidth="1" outlineLevel="1"/>
    <col min="28" max="28" width="11.85546875" style="5" customWidth="1" outlineLevel="1"/>
    <col min="29" max="29" width="1" style="3" customWidth="1" outlineLevel="1"/>
    <col min="30" max="30" width="14.42578125" style="5" customWidth="1" outlineLevel="1"/>
    <col min="31" max="31" width="1.140625" style="3" customWidth="1" outlineLevel="1"/>
    <col min="32" max="35" width="14.85546875" style="3" customWidth="1"/>
    <col min="36" max="36" width="15.5703125" style="3" customWidth="1" outlineLevel="1"/>
    <col min="37" max="37" width="23.5703125" style="3" customWidth="1"/>
    <col min="38" max="38" width="0.85546875" style="3" customWidth="1"/>
    <col min="39" max="39" width="7.42578125" style="3" customWidth="1"/>
    <col min="40" max="40" width="13.5703125" style="3" customWidth="1"/>
    <col min="41" max="41" width="7.140625" style="5" customWidth="1"/>
    <col min="42" max="42" width="0.85546875" style="3" customWidth="1"/>
    <col min="43" max="43" width="10.5703125" style="5" customWidth="1"/>
    <col min="44" max="44" width="16.85546875" style="3" customWidth="1"/>
    <col min="45" max="45" width="7.140625" style="5" customWidth="1"/>
    <col min="46" max="46" width="0.85546875" style="3" customWidth="1"/>
    <col min="47" max="47" width="12" style="3" customWidth="1"/>
    <col min="48" max="48" width="35" style="3" bestFit="1" customWidth="1"/>
    <col min="49" max="59" width="4.140625" style="6" customWidth="1"/>
    <col min="60" max="60" width="21.140625" style="3" customWidth="1"/>
    <col min="61" max="16384" width="9.140625" style="3"/>
  </cols>
  <sheetData>
    <row r="1" spans="1:60" s="11" customFormat="1" ht="15" customHeight="1" outlineLevel="1" x14ac:dyDescent="0.25">
      <c r="A1" s="208" t="s">
        <v>57</v>
      </c>
      <c r="B1" s="209"/>
      <c r="C1" s="206" t="s">
        <v>58</v>
      </c>
      <c r="D1" s="211" t="s">
        <v>59</v>
      </c>
      <c r="F1" s="206" t="s">
        <v>60</v>
      </c>
      <c r="G1" s="206" t="s">
        <v>61</v>
      </c>
      <c r="H1" s="206" t="s">
        <v>62</v>
      </c>
      <c r="I1" s="206" t="s">
        <v>63</v>
      </c>
      <c r="J1" s="206" t="s">
        <v>64</v>
      </c>
      <c r="K1" s="206" t="s">
        <v>19</v>
      </c>
      <c r="L1" s="206" t="s">
        <v>65</v>
      </c>
      <c r="M1" s="211" t="s">
        <v>66</v>
      </c>
      <c r="N1" s="224"/>
      <c r="P1" s="27" t="s">
        <v>67</v>
      </c>
      <c r="Q1" s="26"/>
      <c r="R1" s="26"/>
      <c r="S1" s="26"/>
      <c r="U1" s="26" t="s">
        <v>20</v>
      </c>
      <c r="V1" s="26"/>
      <c r="W1" s="26"/>
      <c r="X1" s="26"/>
      <c r="Y1" s="26"/>
      <c r="AA1" s="27" t="s">
        <v>68</v>
      </c>
      <c r="AB1" s="26"/>
      <c r="AC1" s="26"/>
      <c r="AD1" s="28"/>
      <c r="AF1" s="27" t="s">
        <v>33</v>
      </c>
      <c r="AG1" s="26"/>
      <c r="AH1" s="39" t="s">
        <v>34</v>
      </c>
      <c r="AI1" s="40" t="s">
        <v>35</v>
      </c>
      <c r="AY1" s="33"/>
      <c r="AZ1" s="33"/>
      <c r="BA1" s="33"/>
      <c r="BB1" s="33"/>
      <c r="BC1" s="33"/>
      <c r="BD1" s="33"/>
      <c r="BE1" s="33"/>
      <c r="BF1" s="33"/>
      <c r="BG1" s="33"/>
    </row>
    <row r="2" spans="1:60" s="11" customFormat="1" ht="15" outlineLevel="1" x14ac:dyDescent="0.25">
      <c r="A2" s="208"/>
      <c r="B2" s="209"/>
      <c r="C2" s="210"/>
      <c r="D2" s="208"/>
      <c r="E2" s="15"/>
      <c r="F2" s="207"/>
      <c r="G2" s="207"/>
      <c r="H2" s="207"/>
      <c r="I2" s="207"/>
      <c r="J2" s="207"/>
      <c r="K2" s="207"/>
      <c r="L2" s="207"/>
      <c r="M2" s="225"/>
      <c r="N2" s="226"/>
      <c r="P2" s="22" t="s">
        <v>69</v>
      </c>
      <c r="Q2" s="23"/>
      <c r="R2" s="23"/>
      <c r="S2" s="147"/>
      <c r="U2" s="22" t="s">
        <v>25</v>
      </c>
      <c r="V2" s="23"/>
      <c r="W2" s="23"/>
      <c r="X2" s="35">
        <f>AI54</f>
        <v>0</v>
      </c>
      <c r="Y2" s="37">
        <f>X2/(SUM(AH10:$AH$53)+SUM(AI10:$AI$53)-SUMIFS(AH10:$AH$53,$AI$10:$AI$53,"&lt;&gt;"))</f>
        <v>0</v>
      </c>
      <c r="AA2" s="24" t="s">
        <v>70</v>
      </c>
      <c r="AB2" s="25"/>
      <c r="AC2" s="25"/>
      <c r="AD2" s="12" cm="1">
        <f t="array" ref="AD2">SUM(ISNUMBER($AO$10:AO53)*1)</f>
        <v>37</v>
      </c>
      <c r="AF2" s="22" t="s">
        <v>444</v>
      </c>
      <c r="AG2" s="23"/>
      <c r="AH2" s="13">
        <f>COUNTIFS($AB$10:AB53,"&lt;0")</f>
        <v>1</v>
      </c>
      <c r="AI2" s="13">
        <f>MIN(AB10:AB53)</f>
        <v>-1</v>
      </c>
    </row>
    <row r="3" spans="1:60" s="11" customFormat="1" ht="15" customHeight="1" outlineLevel="1" x14ac:dyDescent="0.25">
      <c r="A3" s="212" t="s">
        <v>45</v>
      </c>
      <c r="B3" s="213"/>
      <c r="C3" s="216" t="s">
        <v>271</v>
      </c>
      <c r="D3" s="218" t="s">
        <v>272</v>
      </c>
      <c r="E3" s="122"/>
      <c r="F3" s="218"/>
      <c r="G3" s="218"/>
      <c r="H3" s="218" t="s">
        <v>273</v>
      </c>
      <c r="I3" s="218" t="s">
        <v>224</v>
      </c>
      <c r="J3" s="227">
        <v>23227</v>
      </c>
      <c r="K3" s="227">
        <v>11722</v>
      </c>
      <c r="L3" s="218">
        <v>45688</v>
      </c>
      <c r="M3" s="220">
        <v>46112</v>
      </c>
      <c r="N3" s="221"/>
      <c r="P3" s="22" t="s">
        <v>77</v>
      </c>
      <c r="Q3" s="23"/>
      <c r="R3" s="23"/>
      <c r="S3" s="148">
        <f>AF54</f>
        <v>0</v>
      </c>
      <c r="U3" s="22" t="s">
        <v>78</v>
      </c>
      <c r="V3" s="23"/>
      <c r="W3" s="23"/>
      <c r="X3" s="36">
        <f>S4-SUMIFS(AH10:$AH$53,$AI$10:$AI$53,"&lt;&gt;")</f>
        <v>98594000</v>
      </c>
      <c r="Y3" s="153">
        <f>X3/(X2+X3)</f>
        <v>1</v>
      </c>
      <c r="AA3" s="22" t="s">
        <v>79</v>
      </c>
      <c r="AB3" s="23"/>
      <c r="AC3" s="23"/>
      <c r="AD3" s="13">
        <f>COUNTIFS($AV$10:AV53,Z8)</f>
        <v>0</v>
      </c>
      <c r="AF3" s="22" t="s">
        <v>447</v>
      </c>
      <c r="AG3" s="23"/>
      <c r="AH3" s="13">
        <f>COUNTIFS($AO$10:AO53,"&lt;0")</f>
        <v>2</v>
      </c>
      <c r="AI3" s="14">
        <f>MIN(AO10:AO53)</f>
        <v>-81</v>
      </c>
    </row>
    <row r="4" spans="1:60" s="11" customFormat="1" ht="15" outlineLevel="1" x14ac:dyDescent="0.25">
      <c r="A4" s="214"/>
      <c r="B4" s="215"/>
      <c r="C4" s="217"/>
      <c r="D4" s="219"/>
      <c r="E4" s="122"/>
      <c r="F4" s="219"/>
      <c r="G4" s="219"/>
      <c r="H4" s="219"/>
      <c r="I4" s="219"/>
      <c r="J4" s="228"/>
      <c r="K4" s="228"/>
      <c r="L4" s="219"/>
      <c r="M4" s="222"/>
      <c r="N4" s="223"/>
      <c r="P4" s="22" t="s">
        <v>23</v>
      </c>
      <c r="Q4" s="23"/>
      <c r="R4" s="23"/>
      <c r="S4" s="148">
        <f>AH54</f>
        <v>98594000</v>
      </c>
      <c r="U4" s="22" t="s">
        <v>80</v>
      </c>
      <c r="V4" s="23"/>
      <c r="W4" s="23"/>
      <c r="X4" s="36">
        <f>SUMIFS(AF10:$AF$53,$AI$10:$AI$53,"&lt;&gt;")-X2</f>
        <v>0</v>
      </c>
      <c r="Y4" s="38" t="e">
        <f>X4/$S$2</f>
        <v>#DIV/0!</v>
      </c>
      <c r="AA4" s="22" t="s">
        <v>81</v>
      </c>
      <c r="AB4" s="23"/>
      <c r="AC4" s="23"/>
      <c r="AD4" s="13">
        <f>C6-L3</f>
        <v>424</v>
      </c>
      <c r="AF4" s="22" t="s">
        <v>448</v>
      </c>
      <c r="AG4" s="23"/>
      <c r="AH4" s="13">
        <f>COUNTIFS($AS$10:AS53,"&lt;0")</f>
        <v>2</v>
      </c>
      <c r="AI4" s="14">
        <f>MIN(AS10:AS53)</f>
        <v>-81</v>
      </c>
    </row>
    <row r="5" spans="1:60" s="11" customFormat="1" ht="15" outlineLevel="1" x14ac:dyDescent="0.25">
      <c r="U5" s="22" t="s">
        <v>82</v>
      </c>
      <c r="V5" s="23"/>
      <c r="W5" s="23"/>
      <c r="X5" s="36">
        <f>SUMIFS(AH10:$AH$53,$AI$10:$AI$53,"&lt;&gt;")-X2</f>
        <v>0</v>
      </c>
      <c r="Y5" s="38" t="e">
        <f>X5/$S$2</f>
        <v>#DIV/0!</v>
      </c>
      <c r="Z5" s="160"/>
      <c r="AA5" s="160"/>
      <c r="AB5" s="160"/>
      <c r="AC5" s="160"/>
      <c r="AD5" s="160"/>
      <c r="AE5" s="160"/>
      <c r="AF5" s="160"/>
      <c r="AG5" s="160"/>
      <c r="AH5" s="160"/>
      <c r="AI5" s="160"/>
    </row>
    <row r="6" spans="1:60" ht="23.25" outlineLevel="1" x14ac:dyDescent="0.25">
      <c r="A6" s="127" t="s">
        <v>83</v>
      </c>
      <c r="B6" s="128"/>
      <c r="C6" s="129">
        <v>46112</v>
      </c>
      <c r="D6" s="19"/>
      <c r="E6" s="16"/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5"/>
      <c r="AB6" s="126"/>
      <c r="AC6" s="19"/>
      <c r="AD6" s="19"/>
      <c r="AE6" s="19"/>
      <c r="AF6" s="19"/>
      <c r="AG6" s="19"/>
      <c r="AH6" s="19"/>
      <c r="AI6" s="19"/>
      <c r="AJ6" s="19"/>
      <c r="AK6" s="19"/>
      <c r="AL6" s="16"/>
      <c r="AM6" s="168" t="s">
        <v>446</v>
      </c>
      <c r="AN6" s="16"/>
      <c r="AO6" s="16"/>
      <c r="AP6" s="16"/>
      <c r="AQ6" s="16"/>
      <c r="AR6" s="16"/>
      <c r="AS6" s="16"/>
      <c r="AT6" s="16"/>
      <c r="AU6" s="16"/>
      <c r="AV6" s="16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6"/>
    </row>
    <row r="7" spans="1:60" ht="18.75" customHeight="1" x14ac:dyDescent="0.25">
      <c r="A7" s="233" t="s">
        <v>84</v>
      </c>
      <c r="B7" s="236" t="s">
        <v>85</v>
      </c>
      <c r="C7" s="236" t="s">
        <v>86</v>
      </c>
      <c r="D7" s="238" t="s">
        <v>1</v>
      </c>
      <c r="F7" s="229">
        <v>15</v>
      </c>
      <c r="G7" s="230"/>
      <c r="H7" s="229">
        <v>7</v>
      </c>
      <c r="I7" s="230"/>
      <c r="J7" s="229">
        <v>6</v>
      </c>
      <c r="K7" s="230"/>
      <c r="L7" s="229">
        <v>3</v>
      </c>
      <c r="M7" s="230"/>
      <c r="N7" s="229">
        <v>30</v>
      </c>
      <c r="O7" s="230"/>
      <c r="P7" s="229">
        <v>10</v>
      </c>
      <c r="Q7" s="230"/>
      <c r="R7" s="229">
        <v>20</v>
      </c>
      <c r="S7" s="230"/>
      <c r="T7" s="229">
        <v>7</v>
      </c>
      <c r="U7" s="230"/>
      <c r="V7" s="229">
        <v>7</v>
      </c>
      <c r="W7" s="230"/>
      <c r="X7" s="229">
        <v>5</v>
      </c>
      <c r="Y7" s="230"/>
      <c r="Z7" s="229">
        <v>10</v>
      </c>
      <c r="AA7" s="230"/>
      <c r="AB7" s="243" t="s">
        <v>87</v>
      </c>
      <c r="AC7" s="16"/>
      <c r="AD7" s="244" t="s">
        <v>88</v>
      </c>
      <c r="AE7" s="16"/>
      <c r="AF7" s="241" t="s">
        <v>77</v>
      </c>
      <c r="AG7" s="257" t="s">
        <v>89</v>
      </c>
      <c r="AH7" s="257" t="s">
        <v>23</v>
      </c>
      <c r="AI7" s="257" t="s">
        <v>90</v>
      </c>
      <c r="AJ7" s="257" t="s">
        <v>91</v>
      </c>
      <c r="AK7" s="258" t="s">
        <v>92</v>
      </c>
      <c r="AL7" s="86"/>
      <c r="AM7" s="255" t="s">
        <v>93</v>
      </c>
      <c r="AN7" s="257" t="s">
        <v>94</v>
      </c>
      <c r="AO7" s="259" t="s">
        <v>95</v>
      </c>
      <c r="AP7" s="86"/>
      <c r="AQ7" s="261" t="s">
        <v>96</v>
      </c>
      <c r="AR7" s="252" t="s">
        <v>97</v>
      </c>
      <c r="AS7" s="259" t="s">
        <v>95</v>
      </c>
      <c r="AT7" s="86"/>
      <c r="AU7" s="255" t="s">
        <v>98</v>
      </c>
      <c r="AV7" s="252" t="s">
        <v>99</v>
      </c>
      <c r="AW7" s="246" t="s">
        <v>2</v>
      </c>
      <c r="AX7" s="246" t="s">
        <v>4</v>
      </c>
      <c r="AY7" s="246" t="s">
        <v>6</v>
      </c>
      <c r="AZ7" s="246" t="s">
        <v>100</v>
      </c>
      <c r="BA7" s="246" t="s">
        <v>10</v>
      </c>
      <c r="BB7" s="246" t="s">
        <v>12</v>
      </c>
      <c r="BC7" s="246" t="s">
        <v>14</v>
      </c>
      <c r="BD7" s="246" t="s">
        <v>15</v>
      </c>
      <c r="BE7" s="246" t="s">
        <v>16</v>
      </c>
      <c r="BF7" s="246" t="s">
        <v>17</v>
      </c>
      <c r="BG7" s="249" t="s">
        <v>101</v>
      </c>
      <c r="BH7" s="86"/>
    </row>
    <row r="8" spans="1:60" ht="26.25" x14ac:dyDescent="0.25">
      <c r="A8" s="234"/>
      <c r="B8" s="237"/>
      <c r="C8" s="237"/>
      <c r="D8" s="239"/>
      <c r="E8" s="16"/>
      <c r="F8" s="231" t="s">
        <v>2</v>
      </c>
      <c r="G8" s="232"/>
      <c r="H8" s="231" t="s">
        <v>4</v>
      </c>
      <c r="I8" s="232"/>
      <c r="J8" s="231" t="s">
        <v>6</v>
      </c>
      <c r="K8" s="232"/>
      <c r="L8" s="231" t="s">
        <v>8</v>
      </c>
      <c r="M8" s="232"/>
      <c r="N8" s="231" t="s">
        <v>10</v>
      </c>
      <c r="O8" s="232"/>
      <c r="P8" s="231" t="s">
        <v>12</v>
      </c>
      <c r="Q8" s="232"/>
      <c r="R8" s="231" t="s">
        <v>14</v>
      </c>
      <c r="S8" s="232"/>
      <c r="T8" s="231" t="s">
        <v>15</v>
      </c>
      <c r="U8" s="232"/>
      <c r="V8" s="231" t="s">
        <v>16</v>
      </c>
      <c r="W8" s="232"/>
      <c r="X8" s="231" t="s">
        <v>17</v>
      </c>
      <c r="Y8" s="232"/>
      <c r="Z8" s="231" t="s">
        <v>18</v>
      </c>
      <c r="AA8" s="232"/>
      <c r="AB8" s="243"/>
      <c r="AC8" s="16"/>
      <c r="AD8" s="245"/>
      <c r="AE8" s="16"/>
      <c r="AF8" s="242"/>
      <c r="AG8" s="237"/>
      <c r="AH8" s="237"/>
      <c r="AI8" s="237"/>
      <c r="AJ8" s="237"/>
      <c r="AK8" s="239"/>
      <c r="AL8" s="48"/>
      <c r="AM8" s="234"/>
      <c r="AN8" s="237"/>
      <c r="AO8" s="260"/>
      <c r="AP8" s="48"/>
      <c r="AQ8" s="262"/>
      <c r="AR8" s="253"/>
      <c r="AS8" s="260"/>
      <c r="AT8" s="48"/>
      <c r="AU8" s="234"/>
      <c r="AV8" s="253"/>
      <c r="AW8" s="247"/>
      <c r="AX8" s="247"/>
      <c r="AY8" s="247"/>
      <c r="AZ8" s="247"/>
      <c r="BA8" s="247"/>
      <c r="BB8" s="247"/>
      <c r="BC8" s="247"/>
      <c r="BD8" s="247"/>
      <c r="BE8" s="247"/>
      <c r="BF8" s="247"/>
      <c r="BG8" s="250"/>
      <c r="BH8" s="146"/>
    </row>
    <row r="9" spans="1:60" s="7" customFormat="1" ht="22.5" x14ac:dyDescent="0.25">
      <c r="A9" s="235"/>
      <c r="B9" s="237"/>
      <c r="C9" s="237"/>
      <c r="D9" s="240"/>
      <c r="E9" s="20"/>
      <c r="F9" s="65" t="s">
        <v>102</v>
      </c>
      <c r="G9" s="66" t="s">
        <v>103</v>
      </c>
      <c r="H9" s="65" t="s">
        <v>102</v>
      </c>
      <c r="I9" s="66" t="s">
        <v>103</v>
      </c>
      <c r="J9" s="65" t="s">
        <v>102</v>
      </c>
      <c r="K9" s="66" t="s">
        <v>103</v>
      </c>
      <c r="L9" s="65" t="s">
        <v>102</v>
      </c>
      <c r="M9" s="66" t="s">
        <v>103</v>
      </c>
      <c r="N9" s="65" t="s">
        <v>102</v>
      </c>
      <c r="O9" s="66" t="s">
        <v>103</v>
      </c>
      <c r="P9" s="65" t="s">
        <v>102</v>
      </c>
      <c r="Q9" s="66" t="s">
        <v>103</v>
      </c>
      <c r="R9" s="65" t="s">
        <v>102</v>
      </c>
      <c r="S9" s="66" t="s">
        <v>103</v>
      </c>
      <c r="T9" s="65" t="s">
        <v>102</v>
      </c>
      <c r="U9" s="66" t="s">
        <v>103</v>
      </c>
      <c r="V9" s="65" t="s">
        <v>102</v>
      </c>
      <c r="W9" s="66" t="s">
        <v>103</v>
      </c>
      <c r="X9" s="65" t="s">
        <v>102</v>
      </c>
      <c r="Y9" s="66" t="s">
        <v>103</v>
      </c>
      <c r="Z9" s="65" t="s">
        <v>102</v>
      </c>
      <c r="AA9" s="66" t="s">
        <v>103</v>
      </c>
      <c r="AB9" s="243"/>
      <c r="AC9" s="20"/>
      <c r="AD9" s="245"/>
      <c r="AE9" s="20"/>
      <c r="AF9" s="242"/>
      <c r="AG9" s="237"/>
      <c r="AH9" s="237"/>
      <c r="AI9" s="237"/>
      <c r="AJ9" s="237"/>
      <c r="AK9" s="239"/>
      <c r="AL9" s="87"/>
      <c r="AM9" s="234"/>
      <c r="AN9" s="237"/>
      <c r="AO9" s="260"/>
      <c r="AP9" s="87"/>
      <c r="AQ9" s="263"/>
      <c r="AR9" s="254"/>
      <c r="AS9" s="264"/>
      <c r="AT9" s="87"/>
      <c r="AU9" s="256"/>
      <c r="AV9" s="254"/>
      <c r="AW9" s="248"/>
      <c r="AX9" s="248"/>
      <c r="AY9" s="248"/>
      <c r="AZ9" s="248"/>
      <c r="BA9" s="248"/>
      <c r="BB9" s="248"/>
      <c r="BC9" s="248"/>
      <c r="BD9" s="248"/>
      <c r="BE9" s="248"/>
      <c r="BF9" s="248"/>
      <c r="BG9" s="251"/>
      <c r="BH9" s="87"/>
    </row>
    <row r="10" spans="1:60" ht="23.25" x14ac:dyDescent="0.25">
      <c r="A10" s="53"/>
      <c r="B10" s="49"/>
      <c r="C10" s="50" t="s">
        <v>104</v>
      </c>
      <c r="D10" s="61"/>
      <c r="E10" s="51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1"/>
      <c r="BF10" s="51"/>
      <c r="BG10" s="88"/>
      <c r="BH10" s="146"/>
    </row>
    <row r="11" spans="1:60" ht="26.25" x14ac:dyDescent="0.25">
      <c r="A11" s="56" cm="1">
        <f t="array" ref="A11">SUMPRODUCT(($AV$10:$AV$53&lt;&gt;"")*(ROW($AV$10:$AV$53)&lt;=ROW()))</f>
        <v>1</v>
      </c>
      <c r="B11" s="57"/>
      <c r="C11" s="58" t="s">
        <v>274</v>
      </c>
      <c r="D11" s="93" t="s">
        <v>5</v>
      </c>
      <c r="E11" s="16"/>
      <c r="F11" s="29">
        <f>H11-$H$7</f>
        <v>46136</v>
      </c>
      <c r="G11" s="42"/>
      <c r="H11" s="29">
        <f>J11-$J$7</f>
        <v>46143</v>
      </c>
      <c r="I11" s="42"/>
      <c r="J11" s="29">
        <f>L11-$L$7</f>
        <v>46149</v>
      </c>
      <c r="K11" s="42"/>
      <c r="L11" s="29">
        <f>N11-$N$7</f>
        <v>46152</v>
      </c>
      <c r="M11" s="42"/>
      <c r="N11" s="29">
        <f>P11-$P$7</f>
        <v>46182</v>
      </c>
      <c r="O11" s="42"/>
      <c r="P11" s="29">
        <f>R11-$R$7</f>
        <v>46192</v>
      </c>
      <c r="Q11" s="42"/>
      <c r="R11" s="29">
        <f>T11-$T$7</f>
        <v>46212</v>
      </c>
      <c r="S11" s="42"/>
      <c r="T11" s="29">
        <f>V11-$V$7</f>
        <v>46219</v>
      </c>
      <c r="U11" s="42"/>
      <c r="V11" s="29">
        <f>X11-$X$7</f>
        <v>46226</v>
      </c>
      <c r="W11" s="42"/>
      <c r="X11" s="29">
        <f>AN11</f>
        <v>46231</v>
      </c>
      <c r="Y11" s="42"/>
      <c r="Z11" s="30">
        <f>X11+$Z$7</f>
        <v>46241</v>
      </c>
      <c r="AA11" s="42"/>
      <c r="AB11" s="31">
        <f>IF(AV11="10. Issued to Contractor","-",IF(AV11="11. Subcontract Agreement signed","-",MAX(AN11,AR11)-$C$6))</f>
        <v>119</v>
      </c>
      <c r="AC11" s="16"/>
      <c r="AD11" s="131">
        <f>SUM($H$7:$Y$7)</f>
        <v>95</v>
      </c>
      <c r="AE11" s="16"/>
      <c r="AF11" s="95"/>
      <c r="AG11" s="67"/>
      <c r="AH11" s="67">
        <v>1889000</v>
      </c>
      <c r="AI11" s="67"/>
      <c r="AJ11" s="68" t="str">
        <f>IF(AI11&gt;0,SUM(AH11)-SUM(AI11),"")</f>
        <v/>
      </c>
      <c r="AK11" s="102"/>
      <c r="AL11" s="48"/>
      <c r="AM11" s="105">
        <v>120</v>
      </c>
      <c r="AN11" s="69">
        <f>$M$3+AM11-1</f>
        <v>46231</v>
      </c>
      <c r="AO11" s="107">
        <f>AN11-AU11</f>
        <v>24</v>
      </c>
      <c r="AP11" s="48"/>
      <c r="AQ11" s="111"/>
      <c r="AR11" s="70">
        <f>IFERROR(WORKDAY.INTL(AN11,AQ11,11),"")</f>
        <v>46231</v>
      </c>
      <c r="AS11" s="107">
        <f>AR11-AU11</f>
        <v>24</v>
      </c>
      <c r="AT11" s="48"/>
      <c r="AU11" s="113">
        <f>IF(Y11&gt;0,Y11,IFERROR(MAX(_xlfn.XLOOKUP($AV11,$H$8:$Z$8,$G11:$Y11),$C$6)+(AN11-_xlfn.XLOOKUP($AV11,$H$8:$Z$8,$F11:$X11))*AD11/SUM($H$7:$Y$7),$C$6+SUM(AD11)))</f>
        <v>46207</v>
      </c>
      <c r="AV11" s="119" t="str" cm="1">
        <f t="array" ref="AV11">IF(OR(G11&gt;$C$6,G11=""),$F$8,INDEX($E$8:$Z$8,MATCH(TRUE,(F11:AA11=""),0)))</f>
        <v>1. Tender Docs &amp; BOQ</v>
      </c>
      <c r="AW11" s="116" t="b">
        <f>IF(AND(G11&gt;0,G11&lt;$C$6),TRUE,FALSE)</f>
        <v>0</v>
      </c>
      <c r="AX11" s="71" t="b">
        <f>IF(AND(I11&gt;0,I11&lt;$C$6),TRUE,FALSE)</f>
        <v>0</v>
      </c>
      <c r="AY11" s="71" t="b">
        <f>IF(AND(K11&gt;0,K11&lt;$C$6),TRUE,FALSE)</f>
        <v>0</v>
      </c>
      <c r="AZ11" s="71" t="b">
        <f>IF(AND(M11&gt;0,M11&lt;$C$6),TRUE,FALSE)</f>
        <v>0</v>
      </c>
      <c r="BA11" s="71" t="b">
        <f>IF(AND(O11&gt;0,O11&lt;$C$6),TRUE,FALSE)</f>
        <v>0</v>
      </c>
      <c r="BB11" s="71" t="b">
        <f>IF(AND(Q11&gt;0,Q11&lt;$C$6),TRUE,FALSE)</f>
        <v>0</v>
      </c>
      <c r="BC11" s="71" t="b">
        <f>IF(AND(S11&gt;0,S11&lt;$C$6),TRUE,FALSE)</f>
        <v>0</v>
      </c>
      <c r="BD11" s="71" t="b">
        <f>IF(AND(U11&gt;0,U11&lt;$C$6),TRUE,FALSE)</f>
        <v>0</v>
      </c>
      <c r="BE11" s="71" t="b">
        <f>IF(AND(W11&gt;0,W11&lt;$C$6),TRUE,FALSE)</f>
        <v>0</v>
      </c>
      <c r="BF11" s="71" t="b">
        <f>IF(AND(Y11&gt;0,Y11&lt;$C$6),TRUE,FALSE)</f>
        <v>0</v>
      </c>
      <c r="BG11" s="89" t="b">
        <f>IF(AND(AA11&gt;0,AA11&lt;$C$6),TRUE,FALSE)</f>
        <v>0</v>
      </c>
      <c r="BH11" s="146"/>
    </row>
    <row r="12" spans="1:60" ht="26.25" x14ac:dyDescent="0.25">
      <c r="A12" s="56" cm="1">
        <f t="array" ref="A12">SUMPRODUCT(($AV$10:$AV$53&lt;&gt;"")*(ROW($AV$10:$AV$53)&lt;=ROW()))</f>
        <v>2</v>
      </c>
      <c r="B12" s="59"/>
      <c r="C12" s="60" t="s">
        <v>275</v>
      </c>
      <c r="D12" s="59" t="s">
        <v>5</v>
      </c>
      <c r="E12" s="43"/>
      <c r="F12" s="44">
        <f>H12-$H$7</f>
        <v>46136</v>
      </c>
      <c r="G12" s="45"/>
      <c r="H12" s="44">
        <f>J12-$J$7</f>
        <v>46143</v>
      </c>
      <c r="I12" s="45"/>
      <c r="J12" s="44">
        <f>L12-$L$7</f>
        <v>46149</v>
      </c>
      <c r="K12" s="45"/>
      <c r="L12" s="44">
        <f>N12-$N$7</f>
        <v>46152</v>
      </c>
      <c r="M12" s="45"/>
      <c r="N12" s="44">
        <f>P12-$P$7</f>
        <v>46182</v>
      </c>
      <c r="O12" s="45"/>
      <c r="P12" s="44">
        <f>R12-$R$7</f>
        <v>46192</v>
      </c>
      <c r="Q12" s="45"/>
      <c r="R12" s="44">
        <f>T12-$T$7</f>
        <v>46212</v>
      </c>
      <c r="S12" s="45"/>
      <c r="T12" s="44">
        <f>V12-$V$7</f>
        <v>46219</v>
      </c>
      <c r="U12" s="45"/>
      <c r="V12" s="44">
        <f>X12-$X$7</f>
        <v>46226</v>
      </c>
      <c r="W12" s="45"/>
      <c r="X12" s="44">
        <f t="shared" ref="X12" si="0">AN12</f>
        <v>46231</v>
      </c>
      <c r="Y12" s="45"/>
      <c r="Z12" s="46">
        <f>X12+$Z$7</f>
        <v>46241</v>
      </c>
      <c r="AA12" s="45"/>
      <c r="AB12" s="47">
        <f>IF(AV12="10. Issued to Contractor","-",IF(AV12="11. Subcontract Agreement signed","-",MAX(AN12,AR12)-$C$6))</f>
        <v>119</v>
      </c>
      <c r="AC12" s="16"/>
      <c r="AD12" s="131">
        <f t="shared" ref="AD12:AD14" si="1">SUM($H$7:$Y$7)</f>
        <v>95</v>
      </c>
      <c r="AE12" s="16"/>
      <c r="AF12" s="96"/>
      <c r="AG12" s="72"/>
      <c r="AH12" s="72">
        <v>5748000</v>
      </c>
      <c r="AI12" s="72"/>
      <c r="AJ12" s="73" t="str">
        <f>IF(AI12&gt;0,SUM(AH12)-SUM(AI12),"")</f>
        <v/>
      </c>
      <c r="AK12" s="101"/>
      <c r="AL12" s="48"/>
      <c r="AM12" s="104">
        <v>120</v>
      </c>
      <c r="AN12" s="74">
        <f>$M$3+AM12-1</f>
        <v>46231</v>
      </c>
      <c r="AO12" s="108">
        <f>AN12-AU12</f>
        <v>24</v>
      </c>
      <c r="AP12" s="48"/>
      <c r="AQ12" s="110"/>
      <c r="AR12" s="75">
        <f>IFERROR(WORKDAY.INTL(AN12,AQ12,11),"")</f>
        <v>46231</v>
      </c>
      <c r="AS12" s="108">
        <f>AR12-AU12</f>
        <v>24</v>
      </c>
      <c r="AT12" s="48"/>
      <c r="AU12" s="114">
        <f t="shared" ref="AU12" si="2">IF(Y12&gt;0,Y12,IFERROR(MAX(_xlfn.XLOOKUP($AV12,$H$8:$Z$8,$G12:$Y12),$C$6)+(AN12-_xlfn.XLOOKUP($AV12,$H$8:$Z$8,$F12:$X12))*AD12/SUM($H$7:$Y$7),$C$6+SUM(AD12)))</f>
        <v>46207</v>
      </c>
      <c r="AV12" s="120" t="str" cm="1">
        <f t="array" ref="AV12">IF(OR(G12&gt;$C$6,G12=""),$F$8,INDEX($E$8:$Z$8,MATCH(TRUE,(F12:AA12=""),0)))</f>
        <v>1. Tender Docs &amp; BOQ</v>
      </c>
      <c r="AW12" s="117" t="b">
        <f>IF(AND(G12&gt;0,G12&lt;$C$6),TRUE,FALSE)</f>
        <v>0</v>
      </c>
      <c r="AX12" s="76" t="b">
        <f>IF(AND(I12&gt;0,I12&lt;$C$6),TRUE,FALSE)</f>
        <v>0</v>
      </c>
      <c r="AY12" s="76" t="b">
        <f>IF(AND(K12&gt;0,K12&lt;$C$6),TRUE,FALSE)</f>
        <v>0</v>
      </c>
      <c r="AZ12" s="76" t="b">
        <f>IF(AND(M12&gt;0,M12&lt;$C$6),TRUE,FALSE)</f>
        <v>0</v>
      </c>
      <c r="BA12" s="76" t="b">
        <f>IF(AND(O12&gt;0,O12&lt;$C$6),TRUE,FALSE)</f>
        <v>0</v>
      </c>
      <c r="BB12" s="76" t="b">
        <f>IF(AND(Q12&gt;0,Q12&lt;$C$6),TRUE,FALSE)</f>
        <v>0</v>
      </c>
      <c r="BC12" s="76" t="b">
        <f>IF(AND(S12&gt;0,S12&lt;$C$6),TRUE,FALSE)</f>
        <v>0</v>
      </c>
      <c r="BD12" s="76" t="b">
        <f>IF(AND(U12&gt;0,U12&lt;$C$6),TRUE,FALSE)</f>
        <v>0</v>
      </c>
      <c r="BE12" s="76" t="b">
        <f>IF(AND(W12&gt;0,W12&lt;$C$6),TRUE,FALSE)</f>
        <v>0</v>
      </c>
      <c r="BF12" s="76" t="b">
        <f>IF(AND(Y12&gt;0,Y12&lt;$C$6),TRUE,FALSE)</f>
        <v>0</v>
      </c>
      <c r="BG12" s="90" t="b">
        <f>IF(AND(AA12&gt;0,AA12&lt;$C$6),TRUE,FALSE)</f>
        <v>0</v>
      </c>
      <c r="BH12" s="146"/>
    </row>
    <row r="13" spans="1:60" ht="23.25" x14ac:dyDescent="0.25">
      <c r="A13" s="55"/>
      <c r="B13" s="49"/>
      <c r="C13" s="50" t="s">
        <v>115</v>
      </c>
      <c r="D13" s="51"/>
      <c r="E13" s="51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1"/>
      <c r="AC13" s="51"/>
      <c r="AD13" s="132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51"/>
      <c r="AZ13" s="51"/>
      <c r="BA13" s="51"/>
      <c r="BB13" s="51"/>
      <c r="BC13" s="51"/>
      <c r="BD13" s="51"/>
      <c r="BE13" s="51"/>
      <c r="BF13" s="51"/>
      <c r="BG13" s="88"/>
      <c r="BH13" s="146"/>
    </row>
    <row r="14" spans="1:60" ht="26.25" x14ac:dyDescent="0.25">
      <c r="A14" s="56" cm="1">
        <f t="array" ref="A14">SUMPRODUCT(($AV$10:$AV$53&lt;&gt;"")*(ROW($AV$10:$AV$53)&lt;=ROW()))</f>
        <v>3</v>
      </c>
      <c r="B14" s="57"/>
      <c r="C14" s="58" t="s">
        <v>115</v>
      </c>
      <c r="D14" s="93" t="s">
        <v>107</v>
      </c>
      <c r="E14" s="16"/>
      <c r="F14" s="29">
        <f>H14-$H$7</f>
        <v>46016</v>
      </c>
      <c r="G14" s="42">
        <v>46016</v>
      </c>
      <c r="H14" s="29">
        <f>J14-$J$7</f>
        <v>46023</v>
      </c>
      <c r="I14" s="42">
        <v>46023</v>
      </c>
      <c r="J14" s="29">
        <f>L14-$L$7</f>
        <v>46029</v>
      </c>
      <c r="K14" s="42">
        <v>46029</v>
      </c>
      <c r="L14" s="29">
        <f>N14-$N$7</f>
        <v>46032</v>
      </c>
      <c r="M14" s="42">
        <v>46032</v>
      </c>
      <c r="N14" s="29">
        <f>P14-$P$7</f>
        <v>46062</v>
      </c>
      <c r="O14" s="42">
        <v>46062</v>
      </c>
      <c r="P14" s="29">
        <f>R14-$R$7</f>
        <v>46072</v>
      </c>
      <c r="Q14" s="42">
        <v>46072</v>
      </c>
      <c r="R14" s="29">
        <f>T14-$T$7</f>
        <v>46092</v>
      </c>
      <c r="S14" s="42"/>
      <c r="T14" s="29">
        <f>V14-$V$7</f>
        <v>46099</v>
      </c>
      <c r="U14" s="42"/>
      <c r="V14" s="29">
        <f>X14-$X$7</f>
        <v>46106</v>
      </c>
      <c r="W14" s="42"/>
      <c r="X14" s="29">
        <f>AN14</f>
        <v>46111</v>
      </c>
      <c r="Y14" s="42"/>
      <c r="Z14" s="30">
        <f>X14+$Z$7</f>
        <v>46121</v>
      </c>
      <c r="AA14" s="42"/>
      <c r="AB14" s="31">
        <f>IF(AV14="10. Issued to Contractor","-",IF(AV14="11. Subcontract Agreement signed","-",MAX(AN14,AR14)-$C$6))</f>
        <v>-1</v>
      </c>
      <c r="AC14" s="16"/>
      <c r="AD14" s="131">
        <f t="shared" si="1"/>
        <v>95</v>
      </c>
      <c r="AE14" s="16"/>
      <c r="AF14" s="95"/>
      <c r="AG14" s="67"/>
      <c r="AH14" s="67">
        <v>34000000</v>
      </c>
      <c r="AI14" s="67"/>
      <c r="AJ14" s="68" t="str">
        <f>IF(AI14&gt;0,SUM(AH14)-SUM(AI14),"")</f>
        <v/>
      </c>
      <c r="AK14" s="102"/>
      <c r="AL14" s="48"/>
      <c r="AM14" s="105">
        <v>0</v>
      </c>
      <c r="AN14" s="69">
        <f>$M$3+AM14-1</f>
        <v>46111</v>
      </c>
      <c r="AO14" s="107">
        <f>AN14-AU14</f>
        <v>-40</v>
      </c>
      <c r="AP14" s="48"/>
      <c r="AQ14" s="111"/>
      <c r="AR14" s="70">
        <f>IFERROR(WORKDAY.INTL(AN14,AQ14,11),"")</f>
        <v>46111</v>
      </c>
      <c r="AS14" s="107">
        <f>AR14-AU14</f>
        <v>-40</v>
      </c>
      <c r="AT14" s="48"/>
      <c r="AU14" s="113">
        <f>IF(Y14&gt;0,Y14,IFERROR(MAX(_xlfn.XLOOKUP($AV14,$H$8:$Z$8,$G14:$Y14),$C$6)+(AN14-_xlfn.XLOOKUP($AV14,$H$8:$Z$8,$F14:$X14))*AD14/SUM($H$7:$Y$7),$C$6+SUM(AD14)))</f>
        <v>46151</v>
      </c>
      <c r="AV14" s="119" t="str" cm="1">
        <f t="array" ref="AV14">IF(OR(G14&gt;$C$6,G14=""),$F$8,INDEX($E$8:$Z$8,MATCH(TRUE,(F14:AA14=""),0)))</f>
        <v>7. BAFO</v>
      </c>
      <c r="AW14" s="116" t="b">
        <f>IF(AND(G14&gt;0,G14&lt;$C$6),TRUE,FALSE)</f>
        <v>1</v>
      </c>
      <c r="AX14" s="71" t="b">
        <f>IF(AND(I14&gt;0,I14&lt;$C$6),TRUE,FALSE)</f>
        <v>1</v>
      </c>
      <c r="AY14" s="71" t="b">
        <f>IF(AND(K14&gt;0,K14&lt;$C$6),TRUE,FALSE)</f>
        <v>1</v>
      </c>
      <c r="AZ14" s="71" t="b">
        <f>IF(AND(M14&gt;0,M14&lt;$C$6),TRUE,FALSE)</f>
        <v>1</v>
      </c>
      <c r="BA14" s="71" t="b">
        <f>IF(AND(O14&gt;0,O14&lt;$C$6),TRUE,FALSE)</f>
        <v>1</v>
      </c>
      <c r="BB14" s="71" t="b">
        <f>IF(AND(Q14&gt;0,Q14&lt;$C$6),TRUE,FALSE)</f>
        <v>1</v>
      </c>
      <c r="BC14" s="71" t="b">
        <f>IF(AND(S14&gt;0,S14&lt;$C$6),TRUE,FALSE)</f>
        <v>0</v>
      </c>
      <c r="BD14" s="71" t="b">
        <f>IF(AND(U14&gt;0,U14&lt;$C$6),TRUE,FALSE)</f>
        <v>0</v>
      </c>
      <c r="BE14" s="71" t="b">
        <f>IF(AND(W14&gt;0,W14&lt;$C$6),TRUE,FALSE)</f>
        <v>0</v>
      </c>
      <c r="BF14" s="71" t="b">
        <f>IF(AND(Y14&gt;0,Y14&lt;$C$6),TRUE,FALSE)</f>
        <v>0</v>
      </c>
      <c r="BG14" s="89" t="b">
        <f>IF(AND(AA14&gt;0,AA14&lt;$C$6),TRUE,FALSE)</f>
        <v>0</v>
      </c>
      <c r="BH14" s="146"/>
    </row>
    <row r="15" spans="1:60" ht="23.25" x14ac:dyDescent="0.25">
      <c r="A15" s="53"/>
      <c r="B15" s="49"/>
      <c r="C15" s="50" t="s">
        <v>445</v>
      </c>
      <c r="D15" s="51"/>
      <c r="E15" s="51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1"/>
      <c r="AC15" s="51"/>
      <c r="AD15" s="132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51"/>
      <c r="BD15" s="51"/>
      <c r="BE15" s="51"/>
      <c r="BF15" s="51"/>
      <c r="BG15" s="88"/>
      <c r="BH15" s="146"/>
    </row>
    <row r="16" spans="1:60" ht="26.25" x14ac:dyDescent="0.25">
      <c r="A16" s="56" cm="1">
        <f t="array" ref="A16">SUMPRODUCT(($AV$10:$AV$53&lt;&gt;"")*(ROW($AV$10:$AV$53)&lt;=ROW()))</f>
        <v>4</v>
      </c>
      <c r="B16" s="59"/>
      <c r="C16" s="60" t="s">
        <v>174</v>
      </c>
      <c r="D16" s="59" t="s">
        <v>7</v>
      </c>
      <c r="E16" s="43"/>
      <c r="F16" s="44">
        <f t="shared" ref="F16:F19" si="3">H16-$H$7</f>
        <v>46116</v>
      </c>
      <c r="G16" s="45"/>
      <c r="H16" s="44">
        <f t="shared" ref="H16:H19" si="4">J16-$J$7</f>
        <v>46123</v>
      </c>
      <c r="I16" s="45"/>
      <c r="J16" s="44">
        <f t="shared" ref="J16:J19" si="5">L16-$L$7</f>
        <v>46129</v>
      </c>
      <c r="K16" s="45"/>
      <c r="L16" s="44">
        <f t="shared" ref="L16:L19" si="6">N16-$N$7</f>
        <v>46132</v>
      </c>
      <c r="M16" s="45"/>
      <c r="N16" s="44">
        <f t="shared" ref="N16:N19" si="7">P16-$P$7</f>
        <v>46162</v>
      </c>
      <c r="O16" s="45"/>
      <c r="P16" s="44">
        <f t="shared" ref="P16:P19" si="8">R16-$R$7</f>
        <v>46172</v>
      </c>
      <c r="Q16" s="45"/>
      <c r="R16" s="44">
        <f t="shared" ref="R16:R19" si="9">T16-$T$7</f>
        <v>46192</v>
      </c>
      <c r="S16" s="45"/>
      <c r="T16" s="44">
        <f t="shared" ref="T16:T19" si="10">V16-$V$7</f>
        <v>46199</v>
      </c>
      <c r="U16" s="45"/>
      <c r="V16" s="44">
        <f t="shared" ref="V16:V19" si="11">X16-$X$7</f>
        <v>46206</v>
      </c>
      <c r="W16" s="45"/>
      <c r="X16" s="44">
        <f t="shared" ref="X16:X17" si="12">AN16</f>
        <v>46211</v>
      </c>
      <c r="Y16" s="45"/>
      <c r="Z16" s="46">
        <f t="shared" ref="Z16:Z19" si="13">X16+$Z$7</f>
        <v>46221</v>
      </c>
      <c r="AA16" s="45"/>
      <c r="AB16" s="32">
        <f t="shared" ref="AB16:AB19" si="14">IF(AV16="10. Issued to Contractor","-",IF(AV16="11. Subcontract Agreement signed","-",MAX(AN16,AR16)-$C$6))</f>
        <v>99</v>
      </c>
      <c r="AC16" s="16"/>
      <c r="AD16" s="131">
        <f t="shared" ref="AD16:AD23" si="15">SUM($H$7:$Y$7)</f>
        <v>95</v>
      </c>
      <c r="AE16" s="16"/>
      <c r="AF16" s="96"/>
      <c r="AG16" s="72"/>
      <c r="AH16" s="72" t="s">
        <v>134</v>
      </c>
      <c r="AI16" s="72"/>
      <c r="AJ16" s="73" t="str">
        <f>IF(AI16&gt;0,SUM(AH16)-SUM(AI16),"")</f>
        <v/>
      </c>
      <c r="AK16" s="101"/>
      <c r="AL16" s="48"/>
      <c r="AM16" s="104">
        <v>100</v>
      </c>
      <c r="AN16" s="74">
        <f t="shared" ref="AN16:AN19" si="16">$M$3+AM16-1</f>
        <v>46211</v>
      </c>
      <c r="AO16" s="108">
        <f t="shared" ref="AO16:AO19" si="17">AN16-AU16</f>
        <v>4</v>
      </c>
      <c r="AP16" s="48"/>
      <c r="AQ16" s="110"/>
      <c r="AR16" s="75">
        <f t="shared" ref="AR16:AR19" si="18">IFERROR(WORKDAY.INTL(AN16,AQ16,11),"")</f>
        <v>46211</v>
      </c>
      <c r="AS16" s="108">
        <f t="shared" ref="AS16:AS19" si="19">AR16-AU16</f>
        <v>4</v>
      </c>
      <c r="AT16" s="48"/>
      <c r="AU16" s="114">
        <f t="shared" ref="AU16:AU17" si="20">IF(Y16&gt;0,Y16,IFERROR(MAX(_xlfn.XLOOKUP($AV16,$H$8:$Z$8,$G16:$Y16),$C$6)+(AN16-_xlfn.XLOOKUP($AV16,$H$8:$Z$8,$F16:$X16))*AD16/SUM($H$7:$Y$7),$C$6+SUM(AD16)))</f>
        <v>46207</v>
      </c>
      <c r="AV16" s="120" t="str" cm="1">
        <f t="array" ref="AV16">IF(OR(G16&gt;$C$6,G16=""),$F$8,INDEX($E$8:$Z$8,MATCH(TRUE,(F16:AA16=""),0)))</f>
        <v>1. Tender Docs &amp; BOQ</v>
      </c>
      <c r="AW16" s="117" t="b">
        <f t="shared" ref="AW16:AW19" si="21">IF(AND(G16&gt;0,G16&lt;$C$6),TRUE,FALSE)</f>
        <v>0</v>
      </c>
      <c r="AX16" s="76" t="b">
        <f t="shared" ref="AX16:AX19" si="22">IF(AND(I16&gt;0,I16&lt;$C$6),TRUE,FALSE)</f>
        <v>0</v>
      </c>
      <c r="AY16" s="76" t="b">
        <f t="shared" ref="AY16:AY19" si="23">IF(AND(K16&gt;0,K16&lt;$C$6),TRUE,FALSE)</f>
        <v>0</v>
      </c>
      <c r="AZ16" s="76" t="b">
        <f t="shared" ref="AZ16:AZ19" si="24">IF(AND(M16&gt;0,M16&lt;$C$6),TRUE,FALSE)</f>
        <v>0</v>
      </c>
      <c r="BA16" s="76" t="b">
        <f t="shared" ref="BA16:BA19" si="25">IF(AND(O16&gt;0,O16&lt;$C$6),TRUE,FALSE)</f>
        <v>0</v>
      </c>
      <c r="BB16" s="76" t="b">
        <f t="shared" ref="BB16:BB19" si="26">IF(AND(Q16&gt;0,Q16&lt;$C$6),TRUE,FALSE)</f>
        <v>0</v>
      </c>
      <c r="BC16" s="76" t="b">
        <f t="shared" ref="BC16:BC19" si="27">IF(AND(S16&gt;0,S16&lt;$C$6),TRUE,FALSE)</f>
        <v>0</v>
      </c>
      <c r="BD16" s="76" t="b">
        <f t="shared" ref="BD16:BD19" si="28">IF(AND(U16&gt;0,U16&lt;$C$6),TRUE,FALSE)</f>
        <v>0</v>
      </c>
      <c r="BE16" s="76" t="b">
        <f t="shared" ref="BE16:BE19" si="29">IF(AND(W16&gt;0,W16&lt;$C$6),TRUE,FALSE)</f>
        <v>0</v>
      </c>
      <c r="BF16" s="76" t="b">
        <f t="shared" ref="BF16:BF19" si="30">IF(AND(Y16&gt;0,Y16&lt;$C$6),TRUE,FALSE)</f>
        <v>0</v>
      </c>
      <c r="BG16" s="90" t="b">
        <f t="shared" ref="BG16:BG19" si="31">IF(AND(AA16&gt;0,AA16&lt;$C$6),TRUE,FALSE)</f>
        <v>0</v>
      </c>
      <c r="BH16" s="146"/>
    </row>
    <row r="17" spans="1:60" ht="30" x14ac:dyDescent="0.25">
      <c r="A17" s="56" cm="1">
        <f t="array" ref="A17">SUMPRODUCT(($AV$10:$AV$53&lt;&gt;"")*(ROW($AV$10:$AV$53)&lt;=ROW()))</f>
        <v>5</v>
      </c>
      <c r="B17" s="57"/>
      <c r="C17" s="58" t="s">
        <v>277</v>
      </c>
      <c r="D17" s="93" t="s">
        <v>7</v>
      </c>
      <c r="E17" s="16"/>
      <c r="F17" s="29">
        <f t="shared" si="3"/>
        <v>46116</v>
      </c>
      <c r="G17" s="42"/>
      <c r="H17" s="29">
        <f t="shared" si="4"/>
        <v>46123</v>
      </c>
      <c r="I17" s="42"/>
      <c r="J17" s="29">
        <f t="shared" si="5"/>
        <v>46129</v>
      </c>
      <c r="K17" s="42"/>
      <c r="L17" s="29">
        <f t="shared" si="6"/>
        <v>46132</v>
      </c>
      <c r="M17" s="42"/>
      <c r="N17" s="29">
        <f t="shared" si="7"/>
        <v>46162</v>
      </c>
      <c r="O17" s="42"/>
      <c r="P17" s="29">
        <f t="shared" si="8"/>
        <v>46172</v>
      </c>
      <c r="Q17" s="42"/>
      <c r="R17" s="29">
        <f t="shared" si="9"/>
        <v>46192</v>
      </c>
      <c r="S17" s="42"/>
      <c r="T17" s="29">
        <f t="shared" si="10"/>
        <v>46199</v>
      </c>
      <c r="U17" s="42"/>
      <c r="V17" s="29">
        <f t="shared" si="11"/>
        <v>46206</v>
      </c>
      <c r="W17" s="42"/>
      <c r="X17" s="29">
        <f t="shared" si="12"/>
        <v>46211</v>
      </c>
      <c r="Y17" s="42"/>
      <c r="Z17" s="30">
        <f t="shared" si="13"/>
        <v>46221</v>
      </c>
      <c r="AA17" s="42"/>
      <c r="AB17" s="31">
        <f t="shared" si="14"/>
        <v>99</v>
      </c>
      <c r="AC17" s="16"/>
      <c r="AD17" s="131">
        <f t="shared" si="15"/>
        <v>95</v>
      </c>
      <c r="AE17" s="16"/>
      <c r="AF17" s="95"/>
      <c r="AG17" s="67"/>
      <c r="AH17" s="67" t="s">
        <v>134</v>
      </c>
      <c r="AI17" s="67"/>
      <c r="AJ17" s="68" t="str">
        <f>IF(AI17&gt;0,SUM(AH17)-SUM(AI17),"")</f>
        <v/>
      </c>
      <c r="AK17" s="102"/>
      <c r="AL17" s="48"/>
      <c r="AM17" s="105">
        <f>AM16</f>
        <v>100</v>
      </c>
      <c r="AN17" s="69">
        <f t="shared" si="16"/>
        <v>46211</v>
      </c>
      <c r="AO17" s="107">
        <f t="shared" si="17"/>
        <v>4</v>
      </c>
      <c r="AP17" s="48"/>
      <c r="AQ17" s="111"/>
      <c r="AR17" s="70">
        <f t="shared" si="18"/>
        <v>46211</v>
      </c>
      <c r="AS17" s="107">
        <f t="shared" si="19"/>
        <v>4</v>
      </c>
      <c r="AT17" s="48"/>
      <c r="AU17" s="113">
        <f t="shared" si="20"/>
        <v>46207</v>
      </c>
      <c r="AV17" s="119" t="str" cm="1">
        <f t="array" ref="AV17">IF(OR(G17&gt;$C$6,G17=""),$F$8,INDEX($E$8:$Z$8,MATCH(TRUE,(F17:AA17=""),0)))</f>
        <v>1. Tender Docs &amp; BOQ</v>
      </c>
      <c r="AW17" s="116" t="b">
        <f t="shared" si="21"/>
        <v>0</v>
      </c>
      <c r="AX17" s="71" t="b">
        <f t="shared" si="22"/>
        <v>0</v>
      </c>
      <c r="AY17" s="71" t="b">
        <f t="shared" si="23"/>
        <v>0</v>
      </c>
      <c r="AZ17" s="71" t="b">
        <f t="shared" si="24"/>
        <v>0</v>
      </c>
      <c r="BA17" s="71" t="b">
        <f t="shared" si="25"/>
        <v>0</v>
      </c>
      <c r="BB17" s="71" t="b">
        <f t="shared" si="26"/>
        <v>0</v>
      </c>
      <c r="BC17" s="71" t="b">
        <f t="shared" si="27"/>
        <v>0</v>
      </c>
      <c r="BD17" s="71" t="b">
        <f t="shared" si="28"/>
        <v>0</v>
      </c>
      <c r="BE17" s="71" t="b">
        <f t="shared" si="29"/>
        <v>0</v>
      </c>
      <c r="BF17" s="71" t="b">
        <f t="shared" si="30"/>
        <v>0</v>
      </c>
      <c r="BG17" s="89" t="b">
        <f t="shared" si="31"/>
        <v>0</v>
      </c>
      <c r="BH17" s="146"/>
    </row>
    <row r="18" spans="1:60" ht="26.25" x14ac:dyDescent="0.25">
      <c r="A18" s="56" cm="1">
        <f t="array" ref="A18">SUMPRODUCT(($AV$10:$AV$53&lt;&gt;"")*(ROW($AV$10:$AV$53)&lt;=ROW()))</f>
        <v>6</v>
      </c>
      <c r="B18" s="59"/>
      <c r="C18" s="60" t="s">
        <v>279</v>
      </c>
      <c r="D18" s="59" t="s">
        <v>7</v>
      </c>
      <c r="E18" s="43"/>
      <c r="F18" s="44">
        <f t="shared" si="3"/>
        <v>46116</v>
      </c>
      <c r="G18" s="45"/>
      <c r="H18" s="44">
        <f t="shared" si="4"/>
        <v>46123</v>
      </c>
      <c r="I18" s="45"/>
      <c r="J18" s="44">
        <f t="shared" si="5"/>
        <v>46129</v>
      </c>
      <c r="K18" s="45"/>
      <c r="L18" s="44">
        <f t="shared" si="6"/>
        <v>46132</v>
      </c>
      <c r="M18" s="45"/>
      <c r="N18" s="44">
        <f t="shared" si="7"/>
        <v>46162</v>
      </c>
      <c r="O18" s="45"/>
      <c r="P18" s="44">
        <f t="shared" si="8"/>
        <v>46172</v>
      </c>
      <c r="Q18" s="45"/>
      <c r="R18" s="44">
        <f t="shared" si="9"/>
        <v>46192</v>
      </c>
      <c r="S18" s="45"/>
      <c r="T18" s="44">
        <f t="shared" si="10"/>
        <v>46199</v>
      </c>
      <c r="U18" s="45"/>
      <c r="V18" s="44">
        <f t="shared" si="11"/>
        <v>46206</v>
      </c>
      <c r="W18" s="45"/>
      <c r="X18" s="44">
        <f t="shared" ref="X18:X19" si="32">AN18</f>
        <v>46211</v>
      </c>
      <c r="Y18" s="45"/>
      <c r="Z18" s="46">
        <f t="shared" si="13"/>
        <v>46221</v>
      </c>
      <c r="AA18" s="45"/>
      <c r="AB18" s="32">
        <f t="shared" si="14"/>
        <v>99</v>
      </c>
      <c r="AC18" s="16"/>
      <c r="AD18" s="131">
        <f t="shared" si="15"/>
        <v>95</v>
      </c>
      <c r="AE18" s="16"/>
      <c r="AF18" s="96"/>
      <c r="AG18" s="72"/>
      <c r="AH18" s="72">
        <v>2000000</v>
      </c>
      <c r="AI18" s="72"/>
      <c r="AJ18" s="73" t="str">
        <f>IF(AI18&gt;0,SUM(AH18)-SUM(AI18),"")</f>
        <v/>
      </c>
      <c r="AK18" s="101"/>
      <c r="AL18" s="48"/>
      <c r="AM18" s="104">
        <f>AM17</f>
        <v>100</v>
      </c>
      <c r="AN18" s="74">
        <f t="shared" si="16"/>
        <v>46211</v>
      </c>
      <c r="AO18" s="108">
        <f t="shared" si="17"/>
        <v>4</v>
      </c>
      <c r="AP18" s="48"/>
      <c r="AQ18" s="110"/>
      <c r="AR18" s="75">
        <f t="shared" si="18"/>
        <v>46211</v>
      </c>
      <c r="AS18" s="108">
        <f t="shared" si="19"/>
        <v>4</v>
      </c>
      <c r="AT18" s="48"/>
      <c r="AU18" s="114">
        <f t="shared" ref="AU18:AU19" si="33">IF(Y18&gt;0,Y18,IFERROR(MAX(_xlfn.XLOOKUP($AV18,$H$8:$Z$8,$G18:$Y18),$C$6)+(AN18-_xlfn.XLOOKUP($AV18,$H$8:$Z$8,$F18:$X18))*AD18/SUM($H$7:$Y$7),$C$6+SUM(AD18)))</f>
        <v>46207</v>
      </c>
      <c r="AV18" s="120" t="str" cm="1">
        <f t="array" ref="AV18">IF(OR(G18&gt;$C$6,G18=""),$F$8,INDEX($E$8:$Z$8,MATCH(TRUE,(F18:AA18=""),0)))</f>
        <v>1. Tender Docs &amp; BOQ</v>
      </c>
      <c r="AW18" s="117" t="b">
        <f t="shared" si="21"/>
        <v>0</v>
      </c>
      <c r="AX18" s="76" t="b">
        <f t="shared" si="22"/>
        <v>0</v>
      </c>
      <c r="AY18" s="76" t="b">
        <f t="shared" si="23"/>
        <v>0</v>
      </c>
      <c r="AZ18" s="76" t="b">
        <f t="shared" si="24"/>
        <v>0</v>
      </c>
      <c r="BA18" s="76" t="b">
        <f t="shared" si="25"/>
        <v>0</v>
      </c>
      <c r="BB18" s="76" t="b">
        <f t="shared" si="26"/>
        <v>0</v>
      </c>
      <c r="BC18" s="76" t="b">
        <f t="shared" si="27"/>
        <v>0</v>
      </c>
      <c r="BD18" s="76" t="b">
        <f t="shared" si="28"/>
        <v>0</v>
      </c>
      <c r="BE18" s="76" t="b">
        <f t="shared" si="29"/>
        <v>0</v>
      </c>
      <c r="BF18" s="76" t="b">
        <f t="shared" si="30"/>
        <v>0</v>
      </c>
      <c r="BG18" s="90" t="b">
        <f t="shared" si="31"/>
        <v>0</v>
      </c>
      <c r="BH18" s="146"/>
    </row>
    <row r="19" spans="1:60" ht="26.25" x14ac:dyDescent="0.25">
      <c r="A19" s="56" cm="1">
        <f t="array" ref="A19">SUMPRODUCT(($AV$10:$AV$53&lt;&gt;"")*(ROW($AV$10:$AV$53)&lt;=ROW()))</f>
        <v>7</v>
      </c>
      <c r="B19" s="57"/>
      <c r="C19" s="58" t="s">
        <v>280</v>
      </c>
      <c r="D19" s="93" t="s">
        <v>7</v>
      </c>
      <c r="E19" s="16"/>
      <c r="F19" s="29">
        <f t="shared" si="3"/>
        <v>46116</v>
      </c>
      <c r="G19" s="42"/>
      <c r="H19" s="29">
        <f t="shared" si="4"/>
        <v>46123</v>
      </c>
      <c r="I19" s="42"/>
      <c r="J19" s="29">
        <f t="shared" si="5"/>
        <v>46129</v>
      </c>
      <c r="K19" s="42"/>
      <c r="L19" s="29">
        <f t="shared" si="6"/>
        <v>46132</v>
      </c>
      <c r="M19" s="42"/>
      <c r="N19" s="29">
        <f t="shared" si="7"/>
        <v>46162</v>
      </c>
      <c r="O19" s="42"/>
      <c r="P19" s="29">
        <f t="shared" si="8"/>
        <v>46172</v>
      </c>
      <c r="Q19" s="42"/>
      <c r="R19" s="29">
        <f t="shared" si="9"/>
        <v>46192</v>
      </c>
      <c r="S19" s="42"/>
      <c r="T19" s="29">
        <f t="shared" si="10"/>
        <v>46199</v>
      </c>
      <c r="U19" s="42"/>
      <c r="V19" s="29">
        <f t="shared" si="11"/>
        <v>46206</v>
      </c>
      <c r="W19" s="42"/>
      <c r="X19" s="29">
        <f t="shared" si="32"/>
        <v>46211</v>
      </c>
      <c r="Y19" s="42"/>
      <c r="Z19" s="30">
        <f t="shared" si="13"/>
        <v>46221</v>
      </c>
      <c r="AA19" s="42"/>
      <c r="AB19" s="31">
        <f t="shared" si="14"/>
        <v>99</v>
      </c>
      <c r="AC19" s="16"/>
      <c r="AD19" s="131">
        <f t="shared" si="15"/>
        <v>95</v>
      </c>
      <c r="AE19" s="16"/>
      <c r="AF19" s="95"/>
      <c r="AG19" s="67"/>
      <c r="AH19" s="67" t="s">
        <v>134</v>
      </c>
      <c r="AI19" s="67"/>
      <c r="AJ19" s="68" t="str">
        <f>IF(AI19&gt;0,SUM(AH19)-SUM(AI19),"")</f>
        <v/>
      </c>
      <c r="AK19" s="102"/>
      <c r="AL19" s="48"/>
      <c r="AM19" s="105">
        <f>AM18</f>
        <v>100</v>
      </c>
      <c r="AN19" s="69">
        <f t="shared" si="16"/>
        <v>46211</v>
      </c>
      <c r="AO19" s="107">
        <f t="shared" si="17"/>
        <v>4</v>
      </c>
      <c r="AP19" s="48"/>
      <c r="AQ19" s="111"/>
      <c r="AR19" s="70">
        <f t="shared" si="18"/>
        <v>46211</v>
      </c>
      <c r="AS19" s="107">
        <f t="shared" si="19"/>
        <v>4</v>
      </c>
      <c r="AT19" s="48"/>
      <c r="AU19" s="113">
        <f t="shared" si="33"/>
        <v>46207</v>
      </c>
      <c r="AV19" s="119" t="str" cm="1">
        <f t="array" ref="AV19">IF(OR(G19&gt;$C$6,G19=""),$F$8,INDEX($E$8:$Z$8,MATCH(TRUE,(F19:AA19=""),0)))</f>
        <v>1. Tender Docs &amp; BOQ</v>
      </c>
      <c r="AW19" s="116" t="b">
        <f t="shared" si="21"/>
        <v>0</v>
      </c>
      <c r="AX19" s="71" t="b">
        <f t="shared" si="22"/>
        <v>0</v>
      </c>
      <c r="AY19" s="71" t="b">
        <f t="shared" si="23"/>
        <v>0</v>
      </c>
      <c r="AZ19" s="71" t="b">
        <f t="shared" si="24"/>
        <v>0</v>
      </c>
      <c r="BA19" s="71" t="b">
        <f t="shared" si="25"/>
        <v>0</v>
      </c>
      <c r="BB19" s="71" t="b">
        <f t="shared" si="26"/>
        <v>0</v>
      </c>
      <c r="BC19" s="71" t="b">
        <f t="shared" si="27"/>
        <v>0</v>
      </c>
      <c r="BD19" s="71" t="b">
        <f t="shared" si="28"/>
        <v>0</v>
      </c>
      <c r="BE19" s="71" t="b">
        <f t="shared" si="29"/>
        <v>0</v>
      </c>
      <c r="BF19" s="71" t="b">
        <f t="shared" si="30"/>
        <v>0</v>
      </c>
      <c r="BG19" s="89" t="b">
        <f t="shared" si="31"/>
        <v>0</v>
      </c>
      <c r="BH19" s="146"/>
    </row>
    <row r="20" spans="1:60" ht="23.25" x14ac:dyDescent="0.25">
      <c r="A20" s="54"/>
      <c r="B20" s="49"/>
      <c r="C20" s="50" t="s">
        <v>128</v>
      </c>
      <c r="D20" s="51"/>
      <c r="E20" s="51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1"/>
      <c r="AC20" s="51"/>
      <c r="AD20" s="132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88"/>
      <c r="BH20" s="146"/>
    </row>
    <row r="21" spans="1:60" ht="26.25" x14ac:dyDescent="0.25">
      <c r="A21" s="56" cm="1">
        <f t="array" ref="A21">SUMPRODUCT(($AV$10:$AV$53&lt;&gt;"")*(ROW($AV$10:$AV$53)&lt;=ROW()))</f>
        <v>8</v>
      </c>
      <c r="B21" s="57"/>
      <c r="C21" s="58" t="s">
        <v>276</v>
      </c>
      <c r="D21" s="93" t="s">
        <v>3</v>
      </c>
      <c r="E21" s="16"/>
      <c r="F21" s="29">
        <f>H21-$H$7</f>
        <v>46136</v>
      </c>
      <c r="G21" s="42"/>
      <c r="H21" s="29">
        <f>J21-$J$7</f>
        <v>46143</v>
      </c>
      <c r="I21" s="42"/>
      <c r="J21" s="29">
        <f>L21-$L$7</f>
        <v>46149</v>
      </c>
      <c r="K21" s="42"/>
      <c r="L21" s="29">
        <f>N21-$N$7</f>
        <v>46152</v>
      </c>
      <c r="M21" s="42"/>
      <c r="N21" s="29">
        <f>P21-$P$7</f>
        <v>46182</v>
      </c>
      <c r="O21" s="42"/>
      <c r="P21" s="29">
        <f>R21-$R$7</f>
        <v>46192</v>
      </c>
      <c r="Q21" s="42"/>
      <c r="R21" s="29">
        <f>T21-$T$7</f>
        <v>46212</v>
      </c>
      <c r="S21" s="42"/>
      <c r="T21" s="29">
        <f>V21-$V$7</f>
        <v>46219</v>
      </c>
      <c r="U21" s="42"/>
      <c r="V21" s="29">
        <f>X21-$X$7</f>
        <v>46226</v>
      </c>
      <c r="W21" s="42"/>
      <c r="X21" s="29">
        <f>AN21</f>
        <v>46231</v>
      </c>
      <c r="Y21" s="42"/>
      <c r="Z21" s="30">
        <f>X21+$Z$7</f>
        <v>46241</v>
      </c>
      <c r="AA21" s="42"/>
      <c r="AB21" s="31">
        <f>IF(AV21="10. Issued to Contractor","-",IF(AV21="11. Subcontract Agreement signed","-",MAX(AN21,AR21)-$C$6))</f>
        <v>119</v>
      </c>
      <c r="AC21" s="16"/>
      <c r="AD21" s="131">
        <f t="shared" si="15"/>
        <v>95</v>
      </c>
      <c r="AE21" s="16"/>
      <c r="AF21" s="95"/>
      <c r="AG21" s="67"/>
      <c r="AH21" s="67">
        <v>12500000</v>
      </c>
      <c r="AI21" s="67"/>
      <c r="AJ21" s="68" t="str">
        <f>IF(AI21&gt;0,SUM(AH21)-SUM(AI21),"")</f>
        <v/>
      </c>
      <c r="AK21" s="102"/>
      <c r="AL21" s="48"/>
      <c r="AM21" s="105">
        <v>120</v>
      </c>
      <c r="AN21" s="69">
        <f>$M$3+AM21-1</f>
        <v>46231</v>
      </c>
      <c r="AO21" s="107">
        <f>AN21-AU21</f>
        <v>24</v>
      </c>
      <c r="AP21" s="48"/>
      <c r="AQ21" s="111"/>
      <c r="AR21" s="70">
        <f>IFERROR(WORKDAY.INTL(AN21,AQ21,11),"")</f>
        <v>46231</v>
      </c>
      <c r="AS21" s="107">
        <f>AR21-AU21</f>
        <v>24</v>
      </c>
      <c r="AT21" s="48"/>
      <c r="AU21" s="113">
        <f>IF(Y21&gt;0,Y21,IFERROR(MAX(_xlfn.XLOOKUP($AV21,$H$8:$Z$8,$G21:$Y21),$C$6)+(AN21-_xlfn.XLOOKUP($AV21,$H$8:$Z$8,$F21:$X21))*AD21/SUM($H$7:$Y$7),$C$6+SUM(AD21)))</f>
        <v>46207</v>
      </c>
      <c r="AV21" s="119" t="str" cm="1">
        <f t="array" ref="AV21">IF(OR(G21&gt;$C$6,G21=""),$F$8,INDEX($E$8:$Z$8,MATCH(TRUE,(F21:AA21=""),0)))</f>
        <v>1. Tender Docs &amp; BOQ</v>
      </c>
      <c r="AW21" s="116" t="b">
        <f>IF(AND(G21&gt;0,G21&lt;$C$6),TRUE,FALSE)</f>
        <v>0</v>
      </c>
      <c r="AX21" s="71" t="b">
        <f>IF(AND(I21&gt;0,I21&lt;$C$6),TRUE,FALSE)</f>
        <v>0</v>
      </c>
      <c r="AY21" s="71" t="b">
        <f>IF(AND(K21&gt;0,K21&lt;$C$6),TRUE,FALSE)</f>
        <v>0</v>
      </c>
      <c r="AZ21" s="71" t="b">
        <f>IF(AND(M21&gt;0,M21&lt;$C$6),TRUE,FALSE)</f>
        <v>0</v>
      </c>
      <c r="BA21" s="71" t="b">
        <f>IF(AND(O21&gt;0,O21&lt;$C$6),TRUE,FALSE)</f>
        <v>0</v>
      </c>
      <c r="BB21" s="71" t="b">
        <f>IF(AND(Q21&gt;0,Q21&lt;$C$6),TRUE,FALSE)</f>
        <v>0</v>
      </c>
      <c r="BC21" s="71" t="b">
        <f>IF(AND(S21&gt;0,S21&lt;$C$6),TRUE,FALSE)</f>
        <v>0</v>
      </c>
      <c r="BD21" s="71" t="b">
        <f>IF(AND(U21&gt;0,U21&lt;$C$6),TRUE,FALSE)</f>
        <v>0</v>
      </c>
      <c r="BE21" s="71" t="b">
        <f>IF(AND(W21&gt;0,W21&lt;$C$6),TRUE,FALSE)</f>
        <v>0</v>
      </c>
      <c r="BF21" s="71" t="b">
        <f>IF(AND(Y21&gt;0,Y21&lt;$C$6),TRUE,FALSE)</f>
        <v>0</v>
      </c>
      <c r="BG21" s="89" t="b">
        <f>IF(AND(AA21&gt;0,AA21&lt;$C$6),TRUE,FALSE)</f>
        <v>0</v>
      </c>
      <c r="BH21" s="146"/>
    </row>
    <row r="22" spans="1:60" ht="26.25" x14ac:dyDescent="0.25">
      <c r="A22" s="56" cm="1">
        <f t="array" ref="A22">SUMPRODUCT(($AV$10:$AV$53&lt;&gt;"")*(ROW($AV$10:$AV$53)&lt;=ROW()))</f>
        <v>9</v>
      </c>
      <c r="B22" s="59"/>
      <c r="C22" s="60" t="s">
        <v>278</v>
      </c>
      <c r="D22" s="59" t="s">
        <v>7</v>
      </c>
      <c r="E22" s="43"/>
      <c r="F22" s="44">
        <f>H22-$H$7</f>
        <v>46136</v>
      </c>
      <c r="G22" s="45"/>
      <c r="H22" s="44">
        <f>J22-$J$7</f>
        <v>46143</v>
      </c>
      <c r="I22" s="45"/>
      <c r="J22" s="44">
        <f>L22-$L$7</f>
        <v>46149</v>
      </c>
      <c r="K22" s="45"/>
      <c r="L22" s="44">
        <f>N22-$N$7</f>
        <v>46152</v>
      </c>
      <c r="M22" s="45"/>
      <c r="N22" s="44">
        <f>P22-$P$7</f>
        <v>46182</v>
      </c>
      <c r="O22" s="45"/>
      <c r="P22" s="44">
        <f>R22-$R$7</f>
        <v>46192</v>
      </c>
      <c r="Q22" s="45"/>
      <c r="R22" s="44">
        <f>T22-$T$7</f>
        <v>46212</v>
      </c>
      <c r="S22" s="45"/>
      <c r="T22" s="44">
        <f>V22-$V$7</f>
        <v>46219</v>
      </c>
      <c r="U22" s="45"/>
      <c r="V22" s="44">
        <f>X22-$X$7</f>
        <v>46226</v>
      </c>
      <c r="W22" s="45"/>
      <c r="X22" s="44">
        <f>AN22</f>
        <v>46231</v>
      </c>
      <c r="Y22" s="45"/>
      <c r="Z22" s="46">
        <f>X22+$Z$7</f>
        <v>46241</v>
      </c>
      <c r="AA22" s="45"/>
      <c r="AB22" s="32">
        <f>IF(AV22="10. Issued to Contractor","-",IF(AV22="11. Subcontract Agreement signed","-",MAX(AN22,AR22)-$C$6))</f>
        <v>119</v>
      </c>
      <c r="AC22" s="16"/>
      <c r="AD22" s="131">
        <f t="shared" si="15"/>
        <v>95</v>
      </c>
      <c r="AE22" s="16"/>
      <c r="AF22" s="96"/>
      <c r="AG22" s="72"/>
      <c r="AH22" s="72" t="s">
        <v>134</v>
      </c>
      <c r="AI22" s="72"/>
      <c r="AJ22" s="73" t="str">
        <f>IF(AI22&gt;0,SUM(AH22)-SUM(AI22),"")</f>
        <v/>
      </c>
      <c r="AK22" s="101"/>
      <c r="AL22" s="48"/>
      <c r="AM22" s="104">
        <f>AM21</f>
        <v>120</v>
      </c>
      <c r="AN22" s="74">
        <f>$M$3+AM22-1</f>
        <v>46231</v>
      </c>
      <c r="AO22" s="108">
        <f>AN22-AU22</f>
        <v>24</v>
      </c>
      <c r="AP22" s="48"/>
      <c r="AQ22" s="110"/>
      <c r="AR22" s="75">
        <f>IFERROR(WORKDAY.INTL(AN22,AQ22,11),"")</f>
        <v>46231</v>
      </c>
      <c r="AS22" s="108">
        <f>AR22-AU22</f>
        <v>24</v>
      </c>
      <c r="AT22" s="48"/>
      <c r="AU22" s="114">
        <f>IF(Y22&gt;0,Y22,IFERROR(MAX(_xlfn.XLOOKUP($AV22,$H$8:$Z$8,$G22:$Y22),$C$6)+(AN22-_xlfn.XLOOKUP($AV22,$H$8:$Z$8,$F22:$X22))*AD22/SUM($H$7:$Y$7),$C$6+SUM(AD22)))</f>
        <v>46207</v>
      </c>
      <c r="AV22" s="120" t="str" cm="1">
        <f t="array" ref="AV22">IF(OR(G22&gt;$C$6,G22=""),$F$8,INDEX($E$8:$Z$8,MATCH(TRUE,(F22:AA22=""),0)))</f>
        <v>1. Tender Docs &amp; BOQ</v>
      </c>
      <c r="AW22" s="117" t="b">
        <f>IF(AND(G22&gt;0,G22&lt;$C$6),TRUE,FALSE)</f>
        <v>0</v>
      </c>
      <c r="AX22" s="76" t="b">
        <f>IF(AND(I22&gt;0,I22&lt;$C$6),TRUE,FALSE)</f>
        <v>0</v>
      </c>
      <c r="AY22" s="76" t="b">
        <f>IF(AND(K22&gt;0,K22&lt;$C$6),TRUE,FALSE)</f>
        <v>0</v>
      </c>
      <c r="AZ22" s="76" t="b">
        <f>IF(AND(M22&gt;0,M22&lt;$C$6),TRUE,FALSE)</f>
        <v>0</v>
      </c>
      <c r="BA22" s="76" t="b">
        <f>IF(AND(O22&gt;0,O22&lt;$C$6),TRUE,FALSE)</f>
        <v>0</v>
      </c>
      <c r="BB22" s="76" t="b">
        <f>IF(AND(Q22&gt;0,Q22&lt;$C$6),TRUE,FALSE)</f>
        <v>0</v>
      </c>
      <c r="BC22" s="76" t="b">
        <f>IF(AND(S22&gt;0,S22&lt;$C$6),TRUE,FALSE)</f>
        <v>0</v>
      </c>
      <c r="BD22" s="76" t="b">
        <f>IF(AND(U22&gt;0,U22&lt;$C$6),TRUE,FALSE)</f>
        <v>0</v>
      </c>
      <c r="BE22" s="76" t="b">
        <f>IF(AND(W22&gt;0,W22&lt;$C$6),TRUE,FALSE)</f>
        <v>0</v>
      </c>
      <c r="BF22" s="76" t="b">
        <f>IF(AND(Y22&gt;0,Y22&lt;$C$6),TRUE,FALSE)</f>
        <v>0</v>
      </c>
      <c r="BG22" s="90" t="b">
        <f>IF(AND(AA22&gt;0,AA22&lt;$C$6),TRUE,FALSE)</f>
        <v>0</v>
      </c>
      <c r="BH22" s="146"/>
    </row>
    <row r="23" spans="1:60" ht="26.25" x14ac:dyDescent="0.25">
      <c r="A23" s="56" cm="1">
        <f t="array" ref="A23">SUMPRODUCT(($AV$10:$AV$53&lt;&gt;"")*(ROW($AV$10:$AV$53)&lt;=ROW()))</f>
        <v>10</v>
      </c>
      <c r="B23" s="57"/>
      <c r="C23" s="58" t="s">
        <v>232</v>
      </c>
      <c r="D23" s="93" t="s">
        <v>7</v>
      </c>
      <c r="E23" s="16"/>
      <c r="F23" s="29">
        <f>H23-$H$7</f>
        <v>46136</v>
      </c>
      <c r="G23" s="42"/>
      <c r="H23" s="29">
        <f>J23-$J$7</f>
        <v>46143</v>
      </c>
      <c r="I23" s="42"/>
      <c r="J23" s="29">
        <f>L23-$L$7</f>
        <v>46149</v>
      </c>
      <c r="K23" s="42"/>
      <c r="L23" s="29">
        <f>N23-$N$7</f>
        <v>46152</v>
      </c>
      <c r="M23" s="42"/>
      <c r="N23" s="29">
        <f>P23-$P$7</f>
        <v>46182</v>
      </c>
      <c r="O23" s="42"/>
      <c r="P23" s="29">
        <f>R23-$R$7</f>
        <v>46192</v>
      </c>
      <c r="Q23" s="42"/>
      <c r="R23" s="29">
        <f>T23-$T$7</f>
        <v>46212</v>
      </c>
      <c r="S23" s="42"/>
      <c r="T23" s="29">
        <f>V23-$V$7</f>
        <v>46219</v>
      </c>
      <c r="U23" s="42"/>
      <c r="V23" s="29">
        <f>X23-$X$7</f>
        <v>46226</v>
      </c>
      <c r="W23" s="42"/>
      <c r="X23" s="29">
        <f>AN23</f>
        <v>46231</v>
      </c>
      <c r="Y23" s="42"/>
      <c r="Z23" s="30">
        <f>X23+$Z$7</f>
        <v>46241</v>
      </c>
      <c r="AA23" s="42"/>
      <c r="AB23" s="31">
        <f>IF(AV23="10. Issued to Contractor","-",IF(AV23="11. Subcontract Agreement signed","-",MAX(AN23,AR23)-$C$6))</f>
        <v>119</v>
      </c>
      <c r="AC23" s="16"/>
      <c r="AD23" s="131">
        <f t="shared" si="15"/>
        <v>95</v>
      </c>
      <c r="AE23" s="16"/>
      <c r="AF23" s="95"/>
      <c r="AG23" s="67"/>
      <c r="AH23" s="67" t="s">
        <v>134</v>
      </c>
      <c r="AI23" s="67"/>
      <c r="AJ23" s="68" t="str">
        <f>IF(AI23&gt;0,SUM(AH23)-SUM(AI23),"")</f>
        <v/>
      </c>
      <c r="AK23" s="102"/>
      <c r="AL23" s="48"/>
      <c r="AM23" s="105">
        <f>AM22</f>
        <v>120</v>
      </c>
      <c r="AN23" s="69">
        <f>$M$3+AM23-1</f>
        <v>46231</v>
      </c>
      <c r="AO23" s="107">
        <f>AN23-AU23</f>
        <v>24</v>
      </c>
      <c r="AP23" s="48"/>
      <c r="AQ23" s="111"/>
      <c r="AR23" s="70">
        <f>IFERROR(WORKDAY.INTL(AN23,AQ23,11),"")</f>
        <v>46231</v>
      </c>
      <c r="AS23" s="107">
        <f>AR23-AU23</f>
        <v>24</v>
      </c>
      <c r="AT23" s="48"/>
      <c r="AU23" s="113">
        <f>IF(Y23&gt;0,Y23,IFERROR(MAX(_xlfn.XLOOKUP($AV23,$H$8:$Z$8,$G23:$Y23),$C$6)+(AN23-_xlfn.XLOOKUP($AV23,$H$8:$Z$8,$F23:$X23))*AD23/SUM($H$7:$Y$7),$C$6+SUM(AD23)))</f>
        <v>46207</v>
      </c>
      <c r="AV23" s="119" t="str" cm="1">
        <f t="array" ref="AV23">IF(OR(G23&gt;$C$6,G23=""),$F$8,INDEX($E$8:$Z$8,MATCH(TRUE,(F23:AA23=""),0)))</f>
        <v>1. Tender Docs &amp; BOQ</v>
      </c>
      <c r="AW23" s="116" t="b">
        <f>IF(AND(G23&gt;0,G23&lt;$C$6),TRUE,FALSE)</f>
        <v>0</v>
      </c>
      <c r="AX23" s="71" t="b">
        <f>IF(AND(I23&gt;0,I23&lt;$C$6),TRUE,FALSE)</f>
        <v>0</v>
      </c>
      <c r="AY23" s="71" t="b">
        <f>IF(AND(K23&gt;0,K23&lt;$C$6),TRUE,FALSE)</f>
        <v>0</v>
      </c>
      <c r="AZ23" s="71" t="b">
        <f>IF(AND(M23&gt;0,M23&lt;$C$6),TRUE,FALSE)</f>
        <v>0</v>
      </c>
      <c r="BA23" s="71" t="b">
        <f>IF(AND(O23&gt;0,O23&lt;$C$6),TRUE,FALSE)</f>
        <v>0</v>
      </c>
      <c r="BB23" s="71" t="b">
        <f>IF(AND(Q23&gt;0,Q23&lt;$C$6),TRUE,FALSE)</f>
        <v>0</v>
      </c>
      <c r="BC23" s="71" t="b">
        <f>IF(AND(S23&gt;0,S23&lt;$C$6),TRUE,FALSE)</f>
        <v>0</v>
      </c>
      <c r="BD23" s="71" t="b">
        <f>IF(AND(U23&gt;0,U23&lt;$C$6),TRUE,FALSE)</f>
        <v>0</v>
      </c>
      <c r="BE23" s="71" t="b">
        <f>IF(AND(W23&gt;0,W23&lt;$C$6),TRUE,FALSE)</f>
        <v>0</v>
      </c>
      <c r="BF23" s="71" t="b">
        <f>IF(AND(Y23&gt;0,Y23&lt;$C$6),TRUE,FALSE)</f>
        <v>0</v>
      </c>
      <c r="BG23" s="89" t="b">
        <f>IF(AND(AA23&gt;0,AA23&lt;$C$6),TRUE,FALSE)</f>
        <v>0</v>
      </c>
      <c r="BH23" s="146"/>
    </row>
    <row r="24" spans="1:60" ht="23.25" x14ac:dyDescent="0.25">
      <c r="A24" s="54"/>
      <c r="B24" s="49"/>
      <c r="C24" s="50" t="s">
        <v>137</v>
      </c>
      <c r="D24" s="51"/>
      <c r="E24" s="51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1"/>
      <c r="AC24" s="51"/>
      <c r="AD24" s="132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  <c r="BC24" s="51"/>
      <c r="BD24" s="51"/>
      <c r="BE24" s="51"/>
      <c r="BF24" s="51"/>
      <c r="BG24" s="88"/>
      <c r="BH24" s="146"/>
    </row>
    <row r="25" spans="1:60" ht="26.25" x14ac:dyDescent="0.25">
      <c r="A25" s="56" cm="1">
        <f t="array" ref="A25">SUMPRODUCT(($AV$10:$AV$53&lt;&gt;"")*(ROW($AV$10:$AV$53)&lt;=ROW()))</f>
        <v>11</v>
      </c>
      <c r="B25" s="59"/>
      <c r="C25" s="60" t="s">
        <v>281</v>
      </c>
      <c r="D25" s="59" t="s">
        <v>11</v>
      </c>
      <c r="E25" s="43"/>
      <c r="F25" s="44">
        <f t="shared" ref="F25:F33" si="34">H25-$H$7</f>
        <v>46136</v>
      </c>
      <c r="G25" s="45"/>
      <c r="H25" s="44">
        <f t="shared" ref="H25:H33" si="35">J25-$J$7</f>
        <v>46143</v>
      </c>
      <c r="I25" s="45"/>
      <c r="J25" s="44">
        <f t="shared" ref="J25:J33" si="36">L25-$L$7</f>
        <v>46149</v>
      </c>
      <c r="K25" s="45"/>
      <c r="L25" s="44">
        <f t="shared" ref="L25:L33" si="37">N25-$N$7</f>
        <v>46152</v>
      </c>
      <c r="M25" s="45"/>
      <c r="N25" s="44">
        <f t="shared" ref="N25:N33" si="38">P25-$P$7</f>
        <v>46182</v>
      </c>
      <c r="O25" s="45"/>
      <c r="P25" s="44">
        <f t="shared" ref="P25:P33" si="39">R25-$R$7</f>
        <v>46192</v>
      </c>
      <c r="Q25" s="45"/>
      <c r="R25" s="44">
        <f t="shared" ref="R25:R33" si="40">T25-$T$7</f>
        <v>46212</v>
      </c>
      <c r="S25" s="45"/>
      <c r="T25" s="44">
        <f t="shared" ref="T25:T33" si="41">V25-$V$7</f>
        <v>46219</v>
      </c>
      <c r="U25" s="45"/>
      <c r="V25" s="44">
        <f t="shared" ref="V25:V33" si="42">X25-$X$7</f>
        <v>46226</v>
      </c>
      <c r="W25" s="45"/>
      <c r="X25" s="44">
        <f t="shared" ref="X25:X33" si="43">AN25</f>
        <v>46231</v>
      </c>
      <c r="Y25" s="45"/>
      <c r="Z25" s="46">
        <f t="shared" ref="Z25:Z33" si="44">X25+$Z$7</f>
        <v>46241</v>
      </c>
      <c r="AA25" s="45"/>
      <c r="AB25" s="32">
        <f t="shared" ref="AB25:AB33" si="45">IF(AV25="10. Issued to Contractor","-",IF(AV25="11. Subcontract Agreement signed","-",MAX(AN25,AR25)-$C$6))</f>
        <v>119</v>
      </c>
      <c r="AC25" s="16"/>
      <c r="AD25" s="131">
        <f t="shared" ref="AD25:AD44" si="46">SUM($H$7:$Y$7)</f>
        <v>95</v>
      </c>
      <c r="AE25" s="16"/>
      <c r="AF25" s="96"/>
      <c r="AG25" s="72"/>
      <c r="AH25" s="72">
        <v>49000</v>
      </c>
      <c r="AI25" s="72"/>
      <c r="AJ25" s="73" t="str">
        <f t="shared" ref="AJ25:AJ33" si="47">IF(AI25&gt;0,SUM(AH25)-SUM(AI25),"")</f>
        <v/>
      </c>
      <c r="AK25" s="101"/>
      <c r="AL25" s="48"/>
      <c r="AM25" s="104">
        <v>120</v>
      </c>
      <c r="AN25" s="74">
        <f t="shared" ref="AN25:AN33" si="48">$M$3+AM25-1</f>
        <v>46231</v>
      </c>
      <c r="AO25" s="108">
        <f t="shared" ref="AO25:AO33" si="49">AN25-AU25</f>
        <v>24</v>
      </c>
      <c r="AP25" s="48"/>
      <c r="AQ25" s="110"/>
      <c r="AR25" s="75">
        <f t="shared" ref="AR25:AR33" si="50">IFERROR(WORKDAY.INTL(AN25,AQ25,11),"")</f>
        <v>46231</v>
      </c>
      <c r="AS25" s="108">
        <f t="shared" ref="AS25:AS33" si="51">AR25-AU25</f>
        <v>24</v>
      </c>
      <c r="AT25" s="48"/>
      <c r="AU25" s="114">
        <f t="shared" ref="AU25:AU33" si="52">IF(Y25&gt;0,Y25,IFERROR(MAX(_xlfn.XLOOKUP($AV25,$H$8:$Z$8,$G25:$Y25),$C$6)+(AN25-_xlfn.XLOOKUP($AV25,$H$8:$Z$8,$F25:$X25))*AD25/SUM($H$7:$Y$7),$C$6+SUM(AD25)))</f>
        <v>46207</v>
      </c>
      <c r="AV25" s="120" t="str" cm="1">
        <f t="array" ref="AV25">IF(OR(G25&gt;$C$6,G25=""),$F$8,INDEX($E$8:$Z$8,MATCH(TRUE,(F25:AA25=""),0)))</f>
        <v>1. Tender Docs &amp; BOQ</v>
      </c>
      <c r="AW25" s="117" t="b">
        <f t="shared" ref="AW25:AW33" si="53">IF(AND(G25&gt;0,G25&lt;$C$6),TRUE,FALSE)</f>
        <v>0</v>
      </c>
      <c r="AX25" s="76" t="b">
        <f t="shared" ref="AX25:AX33" si="54">IF(AND(I25&gt;0,I25&lt;$C$6),TRUE,FALSE)</f>
        <v>0</v>
      </c>
      <c r="AY25" s="76" t="b">
        <f t="shared" ref="AY25:AY33" si="55">IF(AND(K25&gt;0,K25&lt;$C$6),TRUE,FALSE)</f>
        <v>0</v>
      </c>
      <c r="AZ25" s="76" t="b">
        <f t="shared" ref="AZ25:AZ33" si="56">IF(AND(M25&gt;0,M25&lt;$C$6),TRUE,FALSE)</f>
        <v>0</v>
      </c>
      <c r="BA25" s="76" t="b">
        <f t="shared" ref="BA25:BA33" si="57">IF(AND(O25&gt;0,O25&lt;$C$6),TRUE,FALSE)</f>
        <v>0</v>
      </c>
      <c r="BB25" s="76" t="b">
        <f t="shared" ref="BB25:BB33" si="58">IF(AND(Q25&gt;0,Q25&lt;$C$6),TRUE,FALSE)</f>
        <v>0</v>
      </c>
      <c r="BC25" s="76" t="b">
        <f t="shared" ref="BC25:BC33" si="59">IF(AND(S25&gt;0,S25&lt;$C$6),TRUE,FALSE)</f>
        <v>0</v>
      </c>
      <c r="BD25" s="76" t="b">
        <f t="shared" ref="BD25:BD33" si="60">IF(AND(U25&gt;0,U25&lt;$C$6),TRUE,FALSE)</f>
        <v>0</v>
      </c>
      <c r="BE25" s="76" t="b">
        <f t="shared" ref="BE25:BE33" si="61">IF(AND(W25&gt;0,W25&lt;$C$6),TRUE,FALSE)</f>
        <v>0</v>
      </c>
      <c r="BF25" s="76" t="b">
        <f t="shared" ref="BF25:BF33" si="62">IF(AND(Y25&gt;0,Y25&lt;$C$6),TRUE,FALSE)</f>
        <v>0</v>
      </c>
      <c r="BG25" s="90" t="b">
        <f t="shared" ref="BG25:BG33" si="63">IF(AND(AA25&gt;0,AA25&lt;$C$6),TRUE,FALSE)</f>
        <v>0</v>
      </c>
      <c r="BH25" s="146"/>
    </row>
    <row r="26" spans="1:60" ht="26.25" x14ac:dyDescent="0.25">
      <c r="A26" s="56" cm="1">
        <f t="array" ref="A26">SUMPRODUCT(($AV$10:$AV$53&lt;&gt;"")*(ROW($AV$10:$AV$53)&lt;=ROW()))</f>
        <v>12</v>
      </c>
      <c r="B26" s="57"/>
      <c r="C26" s="58" t="s">
        <v>239</v>
      </c>
      <c r="D26" s="93" t="s">
        <v>11</v>
      </c>
      <c r="E26" s="16"/>
      <c r="F26" s="29">
        <f t="shared" si="34"/>
        <v>46136</v>
      </c>
      <c r="G26" s="42"/>
      <c r="H26" s="29">
        <f t="shared" si="35"/>
        <v>46143</v>
      </c>
      <c r="I26" s="42"/>
      <c r="J26" s="29">
        <f t="shared" si="36"/>
        <v>46149</v>
      </c>
      <c r="K26" s="42"/>
      <c r="L26" s="29">
        <f t="shared" si="37"/>
        <v>46152</v>
      </c>
      <c r="M26" s="42"/>
      <c r="N26" s="29">
        <f t="shared" si="38"/>
        <v>46182</v>
      </c>
      <c r="O26" s="42"/>
      <c r="P26" s="29">
        <f t="shared" si="39"/>
        <v>46192</v>
      </c>
      <c r="Q26" s="42"/>
      <c r="R26" s="29">
        <f t="shared" si="40"/>
        <v>46212</v>
      </c>
      <c r="S26" s="42"/>
      <c r="T26" s="29">
        <f t="shared" si="41"/>
        <v>46219</v>
      </c>
      <c r="U26" s="42"/>
      <c r="V26" s="29">
        <f t="shared" si="42"/>
        <v>46226</v>
      </c>
      <c r="W26" s="42"/>
      <c r="X26" s="29">
        <f t="shared" si="43"/>
        <v>46231</v>
      </c>
      <c r="Y26" s="42"/>
      <c r="Z26" s="30">
        <f t="shared" si="44"/>
        <v>46241</v>
      </c>
      <c r="AA26" s="42"/>
      <c r="AB26" s="31">
        <f t="shared" si="45"/>
        <v>119</v>
      </c>
      <c r="AC26" s="16"/>
      <c r="AD26" s="131">
        <f t="shared" si="46"/>
        <v>95</v>
      </c>
      <c r="AE26" s="16"/>
      <c r="AF26" s="95"/>
      <c r="AG26" s="67"/>
      <c r="AH26" s="67">
        <v>19000000</v>
      </c>
      <c r="AI26" s="67"/>
      <c r="AJ26" s="68" t="str">
        <f t="shared" si="47"/>
        <v/>
      </c>
      <c r="AK26" s="102"/>
      <c r="AL26" s="48"/>
      <c r="AM26" s="105">
        <f t="shared" ref="AM26:AM31" si="64">AM25</f>
        <v>120</v>
      </c>
      <c r="AN26" s="69">
        <f t="shared" si="48"/>
        <v>46231</v>
      </c>
      <c r="AO26" s="107">
        <f t="shared" si="49"/>
        <v>24</v>
      </c>
      <c r="AP26" s="48"/>
      <c r="AQ26" s="111"/>
      <c r="AR26" s="70">
        <f t="shared" si="50"/>
        <v>46231</v>
      </c>
      <c r="AS26" s="107">
        <f t="shared" si="51"/>
        <v>24</v>
      </c>
      <c r="AT26" s="48"/>
      <c r="AU26" s="113">
        <f t="shared" si="52"/>
        <v>46207</v>
      </c>
      <c r="AV26" s="119" t="str" cm="1">
        <f t="array" ref="AV26">IF(OR(G26&gt;$C$6,G26=""),$F$8,INDEX($E$8:$Z$8,MATCH(TRUE,(F26:AA26=""),0)))</f>
        <v>1. Tender Docs &amp; BOQ</v>
      </c>
      <c r="AW26" s="116" t="b">
        <f t="shared" si="53"/>
        <v>0</v>
      </c>
      <c r="AX26" s="71" t="b">
        <f t="shared" si="54"/>
        <v>0</v>
      </c>
      <c r="AY26" s="71" t="b">
        <f t="shared" si="55"/>
        <v>0</v>
      </c>
      <c r="AZ26" s="71" t="b">
        <f t="shared" si="56"/>
        <v>0</v>
      </c>
      <c r="BA26" s="71" t="b">
        <f t="shared" si="57"/>
        <v>0</v>
      </c>
      <c r="BB26" s="71" t="b">
        <f t="shared" si="58"/>
        <v>0</v>
      </c>
      <c r="BC26" s="71" t="b">
        <f t="shared" si="59"/>
        <v>0</v>
      </c>
      <c r="BD26" s="71" t="b">
        <f t="shared" si="60"/>
        <v>0</v>
      </c>
      <c r="BE26" s="71" t="b">
        <f t="shared" si="61"/>
        <v>0</v>
      </c>
      <c r="BF26" s="71" t="b">
        <f t="shared" si="62"/>
        <v>0</v>
      </c>
      <c r="BG26" s="89" t="b">
        <f t="shared" si="63"/>
        <v>0</v>
      </c>
      <c r="BH26" s="146"/>
    </row>
    <row r="27" spans="1:60" ht="26.25" x14ac:dyDescent="0.25">
      <c r="A27" s="56" cm="1">
        <f t="array" ref="A27">SUMPRODUCT(($AV$10:$AV$53&lt;&gt;"")*(ROW($AV$10:$AV$53)&lt;=ROW()))</f>
        <v>13</v>
      </c>
      <c r="B27" s="59"/>
      <c r="C27" s="60" t="s">
        <v>282</v>
      </c>
      <c r="D27" s="59" t="s">
        <v>11</v>
      </c>
      <c r="E27" s="43"/>
      <c r="F27" s="44">
        <f t="shared" si="34"/>
        <v>46136</v>
      </c>
      <c r="G27" s="45"/>
      <c r="H27" s="44">
        <f t="shared" si="35"/>
        <v>46143</v>
      </c>
      <c r="I27" s="45"/>
      <c r="J27" s="44">
        <f t="shared" si="36"/>
        <v>46149</v>
      </c>
      <c r="K27" s="45"/>
      <c r="L27" s="44">
        <f t="shared" si="37"/>
        <v>46152</v>
      </c>
      <c r="M27" s="45"/>
      <c r="N27" s="44">
        <f t="shared" si="38"/>
        <v>46182</v>
      </c>
      <c r="O27" s="45"/>
      <c r="P27" s="44">
        <f t="shared" si="39"/>
        <v>46192</v>
      </c>
      <c r="Q27" s="45"/>
      <c r="R27" s="44">
        <f t="shared" si="40"/>
        <v>46212</v>
      </c>
      <c r="S27" s="45"/>
      <c r="T27" s="44">
        <f t="shared" si="41"/>
        <v>46219</v>
      </c>
      <c r="U27" s="45"/>
      <c r="V27" s="44">
        <f t="shared" si="42"/>
        <v>46226</v>
      </c>
      <c r="W27" s="45"/>
      <c r="X27" s="44">
        <f t="shared" si="43"/>
        <v>46231</v>
      </c>
      <c r="Y27" s="45"/>
      <c r="Z27" s="46">
        <f t="shared" si="44"/>
        <v>46241</v>
      </c>
      <c r="AA27" s="45"/>
      <c r="AB27" s="32">
        <f t="shared" si="45"/>
        <v>119</v>
      </c>
      <c r="AC27" s="16"/>
      <c r="AD27" s="131">
        <f t="shared" si="46"/>
        <v>95</v>
      </c>
      <c r="AE27" s="16"/>
      <c r="AF27" s="96"/>
      <c r="AG27" s="72"/>
      <c r="AH27" s="72" t="s">
        <v>134</v>
      </c>
      <c r="AI27" s="72"/>
      <c r="AJ27" s="73" t="str">
        <f t="shared" si="47"/>
        <v/>
      </c>
      <c r="AK27" s="101"/>
      <c r="AL27" s="48"/>
      <c r="AM27" s="104">
        <f t="shared" si="64"/>
        <v>120</v>
      </c>
      <c r="AN27" s="74">
        <f t="shared" si="48"/>
        <v>46231</v>
      </c>
      <c r="AO27" s="108">
        <f t="shared" si="49"/>
        <v>24</v>
      </c>
      <c r="AP27" s="48"/>
      <c r="AQ27" s="110"/>
      <c r="AR27" s="75">
        <f t="shared" si="50"/>
        <v>46231</v>
      </c>
      <c r="AS27" s="108">
        <f t="shared" si="51"/>
        <v>24</v>
      </c>
      <c r="AT27" s="48"/>
      <c r="AU27" s="114">
        <f t="shared" si="52"/>
        <v>46207</v>
      </c>
      <c r="AV27" s="120" t="str" cm="1">
        <f t="array" ref="AV27">IF(OR(G27&gt;$C$6,G27=""),$F$8,INDEX($E$8:$Z$8,MATCH(TRUE,(F27:AA27=""),0)))</f>
        <v>1. Tender Docs &amp; BOQ</v>
      </c>
      <c r="AW27" s="117" t="b">
        <f t="shared" si="53"/>
        <v>0</v>
      </c>
      <c r="AX27" s="76" t="b">
        <f t="shared" si="54"/>
        <v>0</v>
      </c>
      <c r="AY27" s="76" t="b">
        <f t="shared" si="55"/>
        <v>0</v>
      </c>
      <c r="AZ27" s="76" t="b">
        <f t="shared" si="56"/>
        <v>0</v>
      </c>
      <c r="BA27" s="76" t="b">
        <f t="shared" si="57"/>
        <v>0</v>
      </c>
      <c r="BB27" s="76" t="b">
        <f t="shared" si="58"/>
        <v>0</v>
      </c>
      <c r="BC27" s="76" t="b">
        <f t="shared" si="59"/>
        <v>0</v>
      </c>
      <c r="BD27" s="76" t="b">
        <f t="shared" si="60"/>
        <v>0</v>
      </c>
      <c r="BE27" s="76" t="b">
        <f t="shared" si="61"/>
        <v>0</v>
      </c>
      <c r="BF27" s="76" t="b">
        <f t="shared" si="62"/>
        <v>0</v>
      </c>
      <c r="BG27" s="90" t="b">
        <f t="shared" si="63"/>
        <v>0</v>
      </c>
      <c r="BH27" s="146"/>
    </row>
    <row r="28" spans="1:60" ht="26.25" x14ac:dyDescent="0.25">
      <c r="A28" s="56" cm="1">
        <f t="array" ref="A28">SUMPRODUCT(($AV$10:$AV$53&lt;&gt;"")*(ROW($AV$10:$AV$53)&lt;=ROW()))</f>
        <v>14</v>
      </c>
      <c r="B28" s="57"/>
      <c r="C28" s="58" t="s">
        <v>247</v>
      </c>
      <c r="D28" s="93" t="s">
        <v>11</v>
      </c>
      <c r="E28" s="16"/>
      <c r="F28" s="29">
        <f t="shared" si="34"/>
        <v>46136</v>
      </c>
      <c r="G28" s="42"/>
      <c r="H28" s="29">
        <f t="shared" si="35"/>
        <v>46143</v>
      </c>
      <c r="I28" s="42"/>
      <c r="J28" s="29">
        <f t="shared" si="36"/>
        <v>46149</v>
      </c>
      <c r="K28" s="42"/>
      <c r="L28" s="29">
        <f t="shared" si="37"/>
        <v>46152</v>
      </c>
      <c r="M28" s="42"/>
      <c r="N28" s="29">
        <f t="shared" si="38"/>
        <v>46182</v>
      </c>
      <c r="O28" s="42"/>
      <c r="P28" s="29">
        <f t="shared" si="39"/>
        <v>46192</v>
      </c>
      <c r="Q28" s="42"/>
      <c r="R28" s="29">
        <f t="shared" si="40"/>
        <v>46212</v>
      </c>
      <c r="S28" s="42"/>
      <c r="T28" s="29">
        <f t="shared" si="41"/>
        <v>46219</v>
      </c>
      <c r="U28" s="42"/>
      <c r="V28" s="29">
        <f t="shared" si="42"/>
        <v>46226</v>
      </c>
      <c r="W28" s="42"/>
      <c r="X28" s="29">
        <f t="shared" si="43"/>
        <v>46231</v>
      </c>
      <c r="Y28" s="42"/>
      <c r="Z28" s="30">
        <f t="shared" si="44"/>
        <v>46241</v>
      </c>
      <c r="AA28" s="42"/>
      <c r="AB28" s="31">
        <f t="shared" si="45"/>
        <v>119</v>
      </c>
      <c r="AC28" s="16"/>
      <c r="AD28" s="131">
        <f t="shared" si="46"/>
        <v>95</v>
      </c>
      <c r="AE28" s="16"/>
      <c r="AF28" s="95"/>
      <c r="AG28" s="67"/>
      <c r="AH28" s="67" t="s">
        <v>134</v>
      </c>
      <c r="AI28" s="67"/>
      <c r="AJ28" s="68" t="str">
        <f t="shared" si="47"/>
        <v/>
      </c>
      <c r="AK28" s="102"/>
      <c r="AL28" s="48"/>
      <c r="AM28" s="105">
        <f t="shared" si="64"/>
        <v>120</v>
      </c>
      <c r="AN28" s="69">
        <f t="shared" si="48"/>
        <v>46231</v>
      </c>
      <c r="AO28" s="107">
        <f t="shared" si="49"/>
        <v>24</v>
      </c>
      <c r="AP28" s="48"/>
      <c r="AQ28" s="111"/>
      <c r="AR28" s="70">
        <f t="shared" si="50"/>
        <v>46231</v>
      </c>
      <c r="AS28" s="107">
        <f t="shared" si="51"/>
        <v>24</v>
      </c>
      <c r="AT28" s="48"/>
      <c r="AU28" s="113">
        <f t="shared" si="52"/>
        <v>46207</v>
      </c>
      <c r="AV28" s="119" t="str" cm="1">
        <f t="array" ref="AV28">IF(OR(G28&gt;$C$6,G28=""),$F$8,INDEX($E$8:$Z$8,MATCH(TRUE,(F28:AA28=""),0)))</f>
        <v>1. Tender Docs &amp; BOQ</v>
      </c>
      <c r="AW28" s="116" t="b">
        <f t="shared" si="53"/>
        <v>0</v>
      </c>
      <c r="AX28" s="71" t="b">
        <f t="shared" si="54"/>
        <v>0</v>
      </c>
      <c r="AY28" s="71" t="b">
        <f t="shared" si="55"/>
        <v>0</v>
      </c>
      <c r="AZ28" s="71" t="b">
        <f t="shared" si="56"/>
        <v>0</v>
      </c>
      <c r="BA28" s="71" t="b">
        <f t="shared" si="57"/>
        <v>0</v>
      </c>
      <c r="BB28" s="71" t="b">
        <f t="shared" si="58"/>
        <v>0</v>
      </c>
      <c r="BC28" s="71" t="b">
        <f t="shared" si="59"/>
        <v>0</v>
      </c>
      <c r="BD28" s="71" t="b">
        <f t="shared" si="60"/>
        <v>0</v>
      </c>
      <c r="BE28" s="71" t="b">
        <f t="shared" si="61"/>
        <v>0</v>
      </c>
      <c r="BF28" s="71" t="b">
        <f t="shared" si="62"/>
        <v>0</v>
      </c>
      <c r="BG28" s="89" t="b">
        <f t="shared" si="63"/>
        <v>0</v>
      </c>
      <c r="BH28" s="146"/>
    </row>
    <row r="29" spans="1:60" ht="26.25" x14ac:dyDescent="0.25">
      <c r="A29" s="56" cm="1">
        <f t="array" ref="A29">SUMPRODUCT(($AV$10:$AV$53&lt;&gt;"")*(ROW($AV$10:$AV$53)&lt;=ROW()))</f>
        <v>15</v>
      </c>
      <c r="B29" s="59"/>
      <c r="C29" s="60" t="s">
        <v>242</v>
      </c>
      <c r="D29" s="59" t="s">
        <v>11</v>
      </c>
      <c r="E29" s="43"/>
      <c r="F29" s="44">
        <f t="shared" si="34"/>
        <v>46136</v>
      </c>
      <c r="G29" s="45"/>
      <c r="H29" s="44">
        <f t="shared" si="35"/>
        <v>46143</v>
      </c>
      <c r="I29" s="45"/>
      <c r="J29" s="44">
        <f t="shared" si="36"/>
        <v>46149</v>
      </c>
      <c r="K29" s="45"/>
      <c r="L29" s="44">
        <f t="shared" si="37"/>
        <v>46152</v>
      </c>
      <c r="M29" s="45"/>
      <c r="N29" s="44">
        <f t="shared" si="38"/>
        <v>46182</v>
      </c>
      <c r="O29" s="45"/>
      <c r="P29" s="44">
        <f t="shared" si="39"/>
        <v>46192</v>
      </c>
      <c r="Q29" s="45"/>
      <c r="R29" s="44">
        <f t="shared" si="40"/>
        <v>46212</v>
      </c>
      <c r="S29" s="45"/>
      <c r="T29" s="44">
        <f t="shared" si="41"/>
        <v>46219</v>
      </c>
      <c r="U29" s="45"/>
      <c r="V29" s="44">
        <f t="shared" si="42"/>
        <v>46226</v>
      </c>
      <c r="W29" s="45"/>
      <c r="X29" s="44">
        <f t="shared" si="43"/>
        <v>46231</v>
      </c>
      <c r="Y29" s="45"/>
      <c r="Z29" s="46">
        <f t="shared" si="44"/>
        <v>46241</v>
      </c>
      <c r="AA29" s="45"/>
      <c r="AB29" s="32">
        <f t="shared" si="45"/>
        <v>119</v>
      </c>
      <c r="AC29" s="16"/>
      <c r="AD29" s="131">
        <f t="shared" si="46"/>
        <v>95</v>
      </c>
      <c r="AE29" s="16"/>
      <c r="AF29" s="96"/>
      <c r="AG29" s="72"/>
      <c r="AH29" s="72" t="s">
        <v>134</v>
      </c>
      <c r="AI29" s="72"/>
      <c r="AJ29" s="73" t="str">
        <f t="shared" si="47"/>
        <v/>
      </c>
      <c r="AK29" s="101"/>
      <c r="AL29" s="48"/>
      <c r="AM29" s="104">
        <f t="shared" si="64"/>
        <v>120</v>
      </c>
      <c r="AN29" s="74">
        <f t="shared" si="48"/>
        <v>46231</v>
      </c>
      <c r="AO29" s="108">
        <f t="shared" si="49"/>
        <v>24</v>
      </c>
      <c r="AP29" s="48"/>
      <c r="AQ29" s="110"/>
      <c r="AR29" s="75">
        <f t="shared" si="50"/>
        <v>46231</v>
      </c>
      <c r="AS29" s="108">
        <f t="shared" si="51"/>
        <v>24</v>
      </c>
      <c r="AT29" s="48"/>
      <c r="AU29" s="114">
        <f t="shared" si="52"/>
        <v>46207</v>
      </c>
      <c r="AV29" s="120" t="str" cm="1">
        <f t="array" ref="AV29">IF(OR(G29&gt;$C$6,G29=""),$F$8,INDEX($E$8:$Z$8,MATCH(TRUE,(F29:AA29=""),0)))</f>
        <v>1. Tender Docs &amp; BOQ</v>
      </c>
      <c r="AW29" s="117" t="b">
        <f t="shared" si="53"/>
        <v>0</v>
      </c>
      <c r="AX29" s="76" t="b">
        <f t="shared" si="54"/>
        <v>0</v>
      </c>
      <c r="AY29" s="76" t="b">
        <f t="shared" si="55"/>
        <v>0</v>
      </c>
      <c r="AZ29" s="76" t="b">
        <f t="shared" si="56"/>
        <v>0</v>
      </c>
      <c r="BA29" s="76" t="b">
        <f t="shared" si="57"/>
        <v>0</v>
      </c>
      <c r="BB29" s="76" t="b">
        <f t="shared" si="58"/>
        <v>0</v>
      </c>
      <c r="BC29" s="76" t="b">
        <f t="shared" si="59"/>
        <v>0</v>
      </c>
      <c r="BD29" s="76" t="b">
        <f t="shared" si="60"/>
        <v>0</v>
      </c>
      <c r="BE29" s="76" t="b">
        <f t="shared" si="61"/>
        <v>0</v>
      </c>
      <c r="BF29" s="76" t="b">
        <f t="shared" si="62"/>
        <v>0</v>
      </c>
      <c r="BG29" s="90" t="b">
        <f t="shared" si="63"/>
        <v>0</v>
      </c>
      <c r="BH29" s="146"/>
    </row>
    <row r="30" spans="1:60" ht="26.25" x14ac:dyDescent="0.25">
      <c r="A30" s="56" cm="1">
        <f t="array" ref="A30">SUMPRODUCT(($AV$10:$AV$53&lt;&gt;"")*(ROW($AV$10:$AV$53)&lt;=ROW()))</f>
        <v>16</v>
      </c>
      <c r="B30" s="57"/>
      <c r="C30" s="58" t="s">
        <v>283</v>
      </c>
      <c r="D30" s="93" t="s">
        <v>7</v>
      </c>
      <c r="E30" s="16"/>
      <c r="F30" s="29">
        <f t="shared" si="34"/>
        <v>46136</v>
      </c>
      <c r="G30" s="42"/>
      <c r="H30" s="29">
        <f t="shared" si="35"/>
        <v>46143</v>
      </c>
      <c r="I30" s="42"/>
      <c r="J30" s="29">
        <f t="shared" si="36"/>
        <v>46149</v>
      </c>
      <c r="K30" s="42"/>
      <c r="L30" s="29">
        <f t="shared" si="37"/>
        <v>46152</v>
      </c>
      <c r="M30" s="42"/>
      <c r="N30" s="29">
        <f t="shared" si="38"/>
        <v>46182</v>
      </c>
      <c r="O30" s="42"/>
      <c r="P30" s="29">
        <f t="shared" si="39"/>
        <v>46192</v>
      </c>
      <c r="Q30" s="42"/>
      <c r="R30" s="29">
        <f t="shared" si="40"/>
        <v>46212</v>
      </c>
      <c r="S30" s="42"/>
      <c r="T30" s="29">
        <f t="shared" si="41"/>
        <v>46219</v>
      </c>
      <c r="U30" s="42"/>
      <c r="V30" s="29">
        <f t="shared" si="42"/>
        <v>46226</v>
      </c>
      <c r="W30" s="42"/>
      <c r="X30" s="29">
        <f t="shared" si="43"/>
        <v>46231</v>
      </c>
      <c r="Y30" s="42"/>
      <c r="Z30" s="30">
        <f t="shared" si="44"/>
        <v>46241</v>
      </c>
      <c r="AA30" s="42"/>
      <c r="AB30" s="31">
        <f t="shared" si="45"/>
        <v>119</v>
      </c>
      <c r="AC30" s="16"/>
      <c r="AD30" s="131">
        <f t="shared" si="46"/>
        <v>95</v>
      </c>
      <c r="AE30" s="16"/>
      <c r="AF30" s="95"/>
      <c r="AG30" s="67"/>
      <c r="AH30" s="67" t="s">
        <v>134</v>
      </c>
      <c r="AI30" s="67"/>
      <c r="AJ30" s="68" t="str">
        <f t="shared" si="47"/>
        <v/>
      </c>
      <c r="AK30" s="102"/>
      <c r="AL30" s="48"/>
      <c r="AM30" s="105">
        <f t="shared" si="64"/>
        <v>120</v>
      </c>
      <c r="AN30" s="69">
        <f t="shared" si="48"/>
        <v>46231</v>
      </c>
      <c r="AO30" s="107">
        <f t="shared" si="49"/>
        <v>24</v>
      </c>
      <c r="AP30" s="48"/>
      <c r="AQ30" s="111"/>
      <c r="AR30" s="70">
        <f t="shared" si="50"/>
        <v>46231</v>
      </c>
      <c r="AS30" s="107">
        <f t="shared" si="51"/>
        <v>24</v>
      </c>
      <c r="AT30" s="48"/>
      <c r="AU30" s="113">
        <f t="shared" si="52"/>
        <v>46207</v>
      </c>
      <c r="AV30" s="119" t="str" cm="1">
        <f t="array" ref="AV30">IF(OR(G30&gt;$C$6,G30=""),$F$8,INDEX($E$8:$Z$8,MATCH(TRUE,(F30:AA30=""),0)))</f>
        <v>1. Tender Docs &amp; BOQ</v>
      </c>
      <c r="AW30" s="116" t="b">
        <f t="shared" si="53"/>
        <v>0</v>
      </c>
      <c r="AX30" s="71" t="b">
        <f t="shared" si="54"/>
        <v>0</v>
      </c>
      <c r="AY30" s="71" t="b">
        <f t="shared" si="55"/>
        <v>0</v>
      </c>
      <c r="AZ30" s="71" t="b">
        <f t="shared" si="56"/>
        <v>0</v>
      </c>
      <c r="BA30" s="71" t="b">
        <f t="shared" si="57"/>
        <v>0</v>
      </c>
      <c r="BB30" s="71" t="b">
        <f t="shared" si="58"/>
        <v>0</v>
      </c>
      <c r="BC30" s="71" t="b">
        <f t="shared" si="59"/>
        <v>0</v>
      </c>
      <c r="BD30" s="71" t="b">
        <f t="shared" si="60"/>
        <v>0</v>
      </c>
      <c r="BE30" s="71" t="b">
        <f t="shared" si="61"/>
        <v>0</v>
      </c>
      <c r="BF30" s="71" t="b">
        <f t="shared" si="62"/>
        <v>0</v>
      </c>
      <c r="BG30" s="89" t="b">
        <f t="shared" si="63"/>
        <v>0</v>
      </c>
      <c r="BH30" s="146"/>
    </row>
    <row r="31" spans="1:60" ht="26.25" x14ac:dyDescent="0.25">
      <c r="A31" s="56" cm="1">
        <f t="array" ref="A31">SUMPRODUCT(($AV$10:$AV$53&lt;&gt;"")*(ROW($AV$10:$AV$53)&lt;=ROW()))</f>
        <v>17</v>
      </c>
      <c r="B31" s="59"/>
      <c r="C31" s="60" t="s">
        <v>284</v>
      </c>
      <c r="D31" s="59" t="s">
        <v>7</v>
      </c>
      <c r="E31" s="43"/>
      <c r="F31" s="44">
        <f t="shared" si="34"/>
        <v>46136</v>
      </c>
      <c r="G31" s="45"/>
      <c r="H31" s="44">
        <f t="shared" si="35"/>
        <v>46143</v>
      </c>
      <c r="I31" s="45"/>
      <c r="J31" s="44">
        <f t="shared" si="36"/>
        <v>46149</v>
      </c>
      <c r="K31" s="45"/>
      <c r="L31" s="44">
        <f t="shared" si="37"/>
        <v>46152</v>
      </c>
      <c r="M31" s="45"/>
      <c r="N31" s="44">
        <f t="shared" si="38"/>
        <v>46182</v>
      </c>
      <c r="O31" s="45"/>
      <c r="P31" s="44">
        <f t="shared" si="39"/>
        <v>46192</v>
      </c>
      <c r="Q31" s="45"/>
      <c r="R31" s="44">
        <f t="shared" si="40"/>
        <v>46212</v>
      </c>
      <c r="S31" s="45"/>
      <c r="T31" s="44">
        <f t="shared" si="41"/>
        <v>46219</v>
      </c>
      <c r="U31" s="45"/>
      <c r="V31" s="44">
        <f t="shared" si="42"/>
        <v>46226</v>
      </c>
      <c r="W31" s="45"/>
      <c r="X31" s="44">
        <f t="shared" si="43"/>
        <v>46231</v>
      </c>
      <c r="Y31" s="45"/>
      <c r="Z31" s="46">
        <f t="shared" si="44"/>
        <v>46241</v>
      </c>
      <c r="AA31" s="45"/>
      <c r="AB31" s="32">
        <f t="shared" si="45"/>
        <v>119</v>
      </c>
      <c r="AC31" s="16"/>
      <c r="AD31" s="131">
        <f t="shared" si="46"/>
        <v>95</v>
      </c>
      <c r="AE31" s="16"/>
      <c r="AF31" s="96"/>
      <c r="AG31" s="72"/>
      <c r="AH31" s="72" t="s">
        <v>134</v>
      </c>
      <c r="AI31" s="72"/>
      <c r="AJ31" s="73" t="str">
        <f t="shared" si="47"/>
        <v/>
      </c>
      <c r="AK31" s="101"/>
      <c r="AL31" s="48"/>
      <c r="AM31" s="104">
        <f t="shared" si="64"/>
        <v>120</v>
      </c>
      <c r="AN31" s="74">
        <f t="shared" si="48"/>
        <v>46231</v>
      </c>
      <c r="AO31" s="108">
        <f t="shared" si="49"/>
        <v>24</v>
      </c>
      <c r="AP31" s="48"/>
      <c r="AQ31" s="110"/>
      <c r="AR31" s="75">
        <f t="shared" si="50"/>
        <v>46231</v>
      </c>
      <c r="AS31" s="108">
        <f t="shared" si="51"/>
        <v>24</v>
      </c>
      <c r="AT31" s="48"/>
      <c r="AU31" s="114">
        <f t="shared" si="52"/>
        <v>46207</v>
      </c>
      <c r="AV31" s="120" t="str" cm="1">
        <f t="array" ref="AV31">IF(OR(G31&gt;$C$6,G31=""),$F$8,INDEX($E$8:$Z$8,MATCH(TRUE,(F31:AA31=""),0)))</f>
        <v>1. Tender Docs &amp; BOQ</v>
      </c>
      <c r="AW31" s="117" t="b">
        <f t="shared" si="53"/>
        <v>0</v>
      </c>
      <c r="AX31" s="76" t="b">
        <f t="shared" si="54"/>
        <v>0</v>
      </c>
      <c r="AY31" s="76" t="b">
        <f t="shared" si="55"/>
        <v>0</v>
      </c>
      <c r="AZ31" s="76" t="b">
        <f t="shared" si="56"/>
        <v>0</v>
      </c>
      <c r="BA31" s="76" t="b">
        <f t="shared" si="57"/>
        <v>0</v>
      </c>
      <c r="BB31" s="76" t="b">
        <f t="shared" si="58"/>
        <v>0</v>
      </c>
      <c r="BC31" s="76" t="b">
        <f t="shared" si="59"/>
        <v>0</v>
      </c>
      <c r="BD31" s="76" t="b">
        <f t="shared" si="60"/>
        <v>0</v>
      </c>
      <c r="BE31" s="76" t="b">
        <f t="shared" si="61"/>
        <v>0</v>
      </c>
      <c r="BF31" s="76" t="b">
        <f t="shared" si="62"/>
        <v>0</v>
      </c>
      <c r="BG31" s="90" t="b">
        <f t="shared" si="63"/>
        <v>0</v>
      </c>
      <c r="BH31" s="146"/>
    </row>
    <row r="32" spans="1:60" ht="26.25" x14ac:dyDescent="0.25">
      <c r="A32" s="56" cm="1">
        <f t="array" ref="A32">SUMPRODUCT(($AV$10:$AV$53&lt;&gt;"")*(ROW($AV$10:$AV$53)&lt;=ROW()))</f>
        <v>18</v>
      </c>
      <c r="B32" s="57"/>
      <c r="C32" s="58" t="s">
        <v>243</v>
      </c>
      <c r="D32" s="93" t="s">
        <v>11</v>
      </c>
      <c r="E32" s="16"/>
      <c r="F32" s="29">
        <f t="shared" si="34"/>
        <v>46136</v>
      </c>
      <c r="G32" s="42"/>
      <c r="H32" s="29">
        <f t="shared" si="35"/>
        <v>46143</v>
      </c>
      <c r="I32" s="42"/>
      <c r="J32" s="29">
        <f t="shared" si="36"/>
        <v>46149</v>
      </c>
      <c r="K32" s="42"/>
      <c r="L32" s="29">
        <f t="shared" si="37"/>
        <v>46152</v>
      </c>
      <c r="M32" s="42"/>
      <c r="N32" s="29">
        <f t="shared" si="38"/>
        <v>46182</v>
      </c>
      <c r="O32" s="42"/>
      <c r="P32" s="29">
        <f t="shared" si="39"/>
        <v>46192</v>
      </c>
      <c r="Q32" s="42"/>
      <c r="R32" s="29">
        <f t="shared" si="40"/>
        <v>46212</v>
      </c>
      <c r="S32" s="42"/>
      <c r="T32" s="29">
        <f t="shared" si="41"/>
        <v>46219</v>
      </c>
      <c r="U32" s="42"/>
      <c r="V32" s="29">
        <f t="shared" si="42"/>
        <v>46226</v>
      </c>
      <c r="W32" s="42"/>
      <c r="X32" s="29">
        <f t="shared" si="43"/>
        <v>46231</v>
      </c>
      <c r="Y32" s="42"/>
      <c r="Z32" s="30">
        <f t="shared" si="44"/>
        <v>46241</v>
      </c>
      <c r="AA32" s="42"/>
      <c r="AB32" s="31">
        <f t="shared" si="45"/>
        <v>119</v>
      </c>
      <c r="AC32" s="16"/>
      <c r="AD32" s="131">
        <f t="shared" si="46"/>
        <v>95</v>
      </c>
      <c r="AE32" s="16"/>
      <c r="AF32" s="95"/>
      <c r="AG32" s="67"/>
      <c r="AH32" s="67" t="s">
        <v>134</v>
      </c>
      <c r="AI32" s="67"/>
      <c r="AJ32" s="68" t="str">
        <f t="shared" si="47"/>
        <v/>
      </c>
      <c r="AK32" s="102"/>
      <c r="AL32" s="48"/>
      <c r="AM32" s="105">
        <f>AM31</f>
        <v>120</v>
      </c>
      <c r="AN32" s="69">
        <f t="shared" si="48"/>
        <v>46231</v>
      </c>
      <c r="AO32" s="107">
        <f t="shared" si="49"/>
        <v>24</v>
      </c>
      <c r="AP32" s="48"/>
      <c r="AQ32" s="111"/>
      <c r="AR32" s="70">
        <f t="shared" si="50"/>
        <v>46231</v>
      </c>
      <c r="AS32" s="107">
        <f t="shared" si="51"/>
        <v>24</v>
      </c>
      <c r="AT32" s="48"/>
      <c r="AU32" s="113">
        <f t="shared" si="52"/>
        <v>46207</v>
      </c>
      <c r="AV32" s="119" t="str" cm="1">
        <f t="array" ref="AV32">IF(OR(G32&gt;$C$6,G32=""),$F$8,INDEX($E$8:$Z$8,MATCH(TRUE,(F32:AA32=""),0)))</f>
        <v>1. Tender Docs &amp; BOQ</v>
      </c>
      <c r="AW32" s="116" t="b">
        <f t="shared" si="53"/>
        <v>0</v>
      </c>
      <c r="AX32" s="71" t="b">
        <f t="shared" si="54"/>
        <v>0</v>
      </c>
      <c r="AY32" s="71" t="b">
        <f t="shared" si="55"/>
        <v>0</v>
      </c>
      <c r="AZ32" s="71" t="b">
        <f t="shared" si="56"/>
        <v>0</v>
      </c>
      <c r="BA32" s="71" t="b">
        <f t="shared" si="57"/>
        <v>0</v>
      </c>
      <c r="BB32" s="71" t="b">
        <f t="shared" si="58"/>
        <v>0</v>
      </c>
      <c r="BC32" s="71" t="b">
        <f t="shared" si="59"/>
        <v>0</v>
      </c>
      <c r="BD32" s="71" t="b">
        <f t="shared" si="60"/>
        <v>0</v>
      </c>
      <c r="BE32" s="71" t="b">
        <f t="shared" si="61"/>
        <v>0</v>
      </c>
      <c r="BF32" s="71" t="b">
        <f t="shared" si="62"/>
        <v>0</v>
      </c>
      <c r="BG32" s="89" t="b">
        <f t="shared" si="63"/>
        <v>0</v>
      </c>
      <c r="BH32" s="146"/>
    </row>
    <row r="33" spans="1:60" ht="26.25" x14ac:dyDescent="0.25">
      <c r="A33" s="56" cm="1">
        <f t="array" ref="A33">SUMPRODUCT(($AV$10:$AV$53&lt;&gt;"")*(ROW($AV$10:$AV$53)&lt;=ROW()))</f>
        <v>19</v>
      </c>
      <c r="B33" s="59"/>
      <c r="C33" s="60" t="s">
        <v>285</v>
      </c>
      <c r="D33" s="59" t="s">
        <v>13</v>
      </c>
      <c r="E33" s="43"/>
      <c r="F33" s="44">
        <f t="shared" si="34"/>
        <v>46136</v>
      </c>
      <c r="G33" s="45"/>
      <c r="H33" s="44">
        <f t="shared" si="35"/>
        <v>46143</v>
      </c>
      <c r="I33" s="45"/>
      <c r="J33" s="44">
        <f t="shared" si="36"/>
        <v>46149</v>
      </c>
      <c r="K33" s="45"/>
      <c r="L33" s="44">
        <f t="shared" si="37"/>
        <v>46152</v>
      </c>
      <c r="M33" s="45"/>
      <c r="N33" s="44">
        <f t="shared" si="38"/>
        <v>46182</v>
      </c>
      <c r="O33" s="45"/>
      <c r="P33" s="44">
        <f t="shared" si="39"/>
        <v>46192</v>
      </c>
      <c r="Q33" s="45"/>
      <c r="R33" s="44">
        <f t="shared" si="40"/>
        <v>46212</v>
      </c>
      <c r="S33" s="45"/>
      <c r="T33" s="44">
        <f t="shared" si="41"/>
        <v>46219</v>
      </c>
      <c r="U33" s="45"/>
      <c r="V33" s="44">
        <f t="shared" si="42"/>
        <v>46226</v>
      </c>
      <c r="W33" s="45"/>
      <c r="X33" s="44">
        <f t="shared" si="43"/>
        <v>46231</v>
      </c>
      <c r="Y33" s="45"/>
      <c r="Z33" s="46">
        <f t="shared" si="44"/>
        <v>46241</v>
      </c>
      <c r="AA33" s="45"/>
      <c r="AB33" s="32">
        <f t="shared" si="45"/>
        <v>119</v>
      </c>
      <c r="AC33" s="16"/>
      <c r="AD33" s="131">
        <f t="shared" si="46"/>
        <v>95</v>
      </c>
      <c r="AE33" s="16"/>
      <c r="AF33" s="96"/>
      <c r="AG33" s="72"/>
      <c r="AH33" s="72" t="s">
        <v>134</v>
      </c>
      <c r="AI33" s="72"/>
      <c r="AJ33" s="73" t="str">
        <f t="shared" si="47"/>
        <v/>
      </c>
      <c r="AK33" s="101"/>
      <c r="AL33" s="48"/>
      <c r="AM33" s="104">
        <f>AM32</f>
        <v>120</v>
      </c>
      <c r="AN33" s="74">
        <f t="shared" si="48"/>
        <v>46231</v>
      </c>
      <c r="AO33" s="108">
        <f t="shared" si="49"/>
        <v>24</v>
      </c>
      <c r="AP33" s="48"/>
      <c r="AQ33" s="110"/>
      <c r="AR33" s="75">
        <f t="shared" si="50"/>
        <v>46231</v>
      </c>
      <c r="AS33" s="108">
        <f t="shared" si="51"/>
        <v>24</v>
      </c>
      <c r="AT33" s="48"/>
      <c r="AU33" s="114">
        <f t="shared" si="52"/>
        <v>46207</v>
      </c>
      <c r="AV33" s="120" t="str" cm="1">
        <f t="array" ref="AV33">IF(OR(G33&gt;$C$6,G33=""),$F$8,INDEX($E$8:$Z$8,MATCH(TRUE,(F33:AA33=""),0)))</f>
        <v>1. Tender Docs &amp; BOQ</v>
      </c>
      <c r="AW33" s="117" t="b">
        <f t="shared" si="53"/>
        <v>0</v>
      </c>
      <c r="AX33" s="76" t="b">
        <f t="shared" si="54"/>
        <v>0</v>
      </c>
      <c r="AY33" s="76" t="b">
        <f t="shared" si="55"/>
        <v>0</v>
      </c>
      <c r="AZ33" s="76" t="b">
        <f t="shared" si="56"/>
        <v>0</v>
      </c>
      <c r="BA33" s="76" t="b">
        <f t="shared" si="57"/>
        <v>0</v>
      </c>
      <c r="BB33" s="76" t="b">
        <f t="shared" si="58"/>
        <v>0</v>
      </c>
      <c r="BC33" s="76" t="b">
        <f t="shared" si="59"/>
        <v>0</v>
      </c>
      <c r="BD33" s="76" t="b">
        <f t="shared" si="60"/>
        <v>0</v>
      </c>
      <c r="BE33" s="76" t="b">
        <f t="shared" si="61"/>
        <v>0</v>
      </c>
      <c r="BF33" s="76" t="b">
        <f t="shared" si="62"/>
        <v>0</v>
      </c>
      <c r="BG33" s="90" t="b">
        <f t="shared" si="63"/>
        <v>0</v>
      </c>
      <c r="BH33" s="146"/>
    </row>
    <row r="34" spans="1:60" ht="23.25" x14ac:dyDescent="0.25">
      <c r="A34" s="54"/>
      <c r="B34" s="49"/>
      <c r="C34" s="50" t="s">
        <v>156</v>
      </c>
      <c r="D34" s="51"/>
      <c r="E34" s="51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1"/>
      <c r="AC34" s="51"/>
      <c r="AD34" s="132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1"/>
      <c r="BF34" s="51"/>
      <c r="BG34" s="88"/>
      <c r="BH34" s="146"/>
    </row>
    <row r="35" spans="1:60" ht="26.25" x14ac:dyDescent="0.25">
      <c r="A35" s="56" cm="1">
        <f t="array" ref="A35">SUMPRODUCT(($AV$10:$AV$53&lt;&gt;"")*(ROW($AV$10:$AV$53)&lt;=ROW()))</f>
        <v>20</v>
      </c>
      <c r="B35" s="59"/>
      <c r="C35" s="60" t="s">
        <v>286</v>
      </c>
      <c r="D35" s="59" t="s">
        <v>13</v>
      </c>
      <c r="E35" s="43"/>
      <c r="F35" s="44">
        <f t="shared" ref="F35:F44" si="65">H35-$H$7</f>
        <v>46166</v>
      </c>
      <c r="G35" s="45"/>
      <c r="H35" s="44">
        <f t="shared" ref="H35:H44" si="66">J35-$J$7</f>
        <v>46173</v>
      </c>
      <c r="I35" s="45"/>
      <c r="J35" s="44">
        <f t="shared" ref="J35:J44" si="67">L35-$L$7</f>
        <v>46179</v>
      </c>
      <c r="K35" s="45"/>
      <c r="L35" s="44">
        <f t="shared" ref="L35:L44" si="68">N35-$N$7</f>
        <v>46182</v>
      </c>
      <c r="M35" s="45"/>
      <c r="N35" s="44">
        <f t="shared" ref="N35:N44" si="69">P35-$P$7</f>
        <v>46212</v>
      </c>
      <c r="O35" s="45"/>
      <c r="P35" s="44">
        <f t="shared" ref="P35:P44" si="70">R35-$R$7</f>
        <v>46222</v>
      </c>
      <c r="Q35" s="45"/>
      <c r="R35" s="44">
        <f t="shared" ref="R35:R44" si="71">T35-$T$7</f>
        <v>46242</v>
      </c>
      <c r="S35" s="45"/>
      <c r="T35" s="44">
        <f t="shared" ref="T35:T44" si="72">V35-$V$7</f>
        <v>46249</v>
      </c>
      <c r="U35" s="45"/>
      <c r="V35" s="44">
        <f t="shared" ref="V35:V44" si="73">X35-$X$7</f>
        <v>46256</v>
      </c>
      <c r="W35" s="45"/>
      <c r="X35" s="44">
        <f t="shared" ref="X35:X36" si="74">AN35</f>
        <v>46261</v>
      </c>
      <c r="Y35" s="45"/>
      <c r="Z35" s="46">
        <f t="shared" ref="Z35:Z44" si="75">X35+$Z$7</f>
        <v>46271</v>
      </c>
      <c r="AA35" s="45"/>
      <c r="AB35" s="32">
        <f t="shared" ref="AB35:AB44" si="76">IF(AV35="10. Issued to Contractor","-",IF(AV35="11. Subcontract Agreement signed","-",MAX(AN35,AR35)-$C$6))</f>
        <v>149</v>
      </c>
      <c r="AC35" s="16"/>
      <c r="AD35" s="131">
        <f t="shared" ref="AD35:AD36" si="77">SUM($H$7:$Y$7)</f>
        <v>95</v>
      </c>
      <c r="AE35" s="16"/>
      <c r="AF35" s="96"/>
      <c r="AG35" s="72"/>
      <c r="AH35" s="72">
        <v>7000000</v>
      </c>
      <c r="AI35" s="72"/>
      <c r="AJ35" s="73" t="str">
        <f t="shared" ref="AJ35:AJ44" si="78">IF(AI35&gt;0,SUM(AH35)-SUM(AI35),"")</f>
        <v/>
      </c>
      <c r="AK35" s="101"/>
      <c r="AL35" s="48"/>
      <c r="AM35" s="104">
        <v>150</v>
      </c>
      <c r="AN35" s="74">
        <f t="shared" ref="AN35:AN44" si="79">$M$3+AM35-1</f>
        <v>46261</v>
      </c>
      <c r="AO35" s="108">
        <f t="shared" ref="AO35:AO44" si="80">AN35-AU35</f>
        <v>54</v>
      </c>
      <c r="AP35" s="48"/>
      <c r="AQ35" s="110"/>
      <c r="AR35" s="75">
        <f t="shared" ref="AR35:AR44" si="81">IFERROR(WORKDAY.INTL(AN35,AQ35,11),"")</f>
        <v>46261</v>
      </c>
      <c r="AS35" s="108">
        <f t="shared" ref="AS35:AS44" si="82">AR35-AU35</f>
        <v>54</v>
      </c>
      <c r="AT35" s="48"/>
      <c r="AU35" s="114">
        <f t="shared" ref="AU35:AU36" si="83">IF(Y35&gt;0,Y35,IFERROR(MAX(_xlfn.XLOOKUP($AV35,$H$8:$Z$8,$G35:$Y35),$C$6)+(AN35-_xlfn.XLOOKUP($AV35,$H$8:$Z$8,$F35:$X35))*AD35/SUM($H$7:$Y$7),$C$6+SUM(AD35)))</f>
        <v>46207</v>
      </c>
      <c r="AV35" s="120" t="str" cm="1">
        <f t="array" ref="AV35">IF(OR(G35&gt;$C$6,G35=""),$F$8,INDEX($E$8:$Z$8,MATCH(TRUE,(F35:AA35=""),0)))</f>
        <v>1. Tender Docs &amp; BOQ</v>
      </c>
      <c r="AW35" s="117" t="b">
        <f t="shared" ref="AW35:AW44" si="84">IF(AND(G35&gt;0,G35&lt;$C$6),TRUE,FALSE)</f>
        <v>0</v>
      </c>
      <c r="AX35" s="76" t="b">
        <f t="shared" ref="AX35:AX44" si="85">IF(AND(I35&gt;0,I35&lt;$C$6),TRUE,FALSE)</f>
        <v>0</v>
      </c>
      <c r="AY35" s="76" t="b">
        <f t="shared" ref="AY35:AY44" si="86">IF(AND(K35&gt;0,K35&lt;$C$6),TRUE,FALSE)</f>
        <v>0</v>
      </c>
      <c r="AZ35" s="76" t="b">
        <f t="shared" ref="AZ35:AZ44" si="87">IF(AND(M35&gt;0,M35&lt;$C$6),TRUE,FALSE)</f>
        <v>0</v>
      </c>
      <c r="BA35" s="76" t="b">
        <f t="shared" ref="BA35:BA44" si="88">IF(AND(O35&gt;0,O35&lt;$C$6),TRUE,FALSE)</f>
        <v>0</v>
      </c>
      <c r="BB35" s="76" t="b">
        <f t="shared" ref="BB35:BB44" si="89">IF(AND(Q35&gt;0,Q35&lt;$C$6),TRUE,FALSE)</f>
        <v>0</v>
      </c>
      <c r="BC35" s="76" t="b">
        <f t="shared" ref="BC35:BC44" si="90">IF(AND(S35&gt;0,S35&lt;$C$6),TRUE,FALSE)</f>
        <v>0</v>
      </c>
      <c r="BD35" s="76" t="b">
        <f t="shared" ref="BD35:BD44" si="91">IF(AND(U35&gt;0,U35&lt;$C$6),TRUE,FALSE)</f>
        <v>0</v>
      </c>
      <c r="BE35" s="76" t="b">
        <f t="shared" ref="BE35:BE44" si="92">IF(AND(W35&gt;0,W35&lt;$C$6),TRUE,FALSE)</f>
        <v>0</v>
      </c>
      <c r="BF35" s="76" t="b">
        <f t="shared" ref="BF35:BF44" si="93">IF(AND(Y35&gt;0,Y35&lt;$C$6),TRUE,FALSE)</f>
        <v>0</v>
      </c>
      <c r="BG35" s="90" t="b">
        <f t="shared" ref="BG35:BG44" si="94">IF(AND(AA35&gt;0,AA35&lt;$C$6),TRUE,FALSE)</f>
        <v>0</v>
      </c>
      <c r="BH35" s="146"/>
    </row>
    <row r="36" spans="1:60" ht="26.25" x14ac:dyDescent="0.25">
      <c r="A36" s="56" cm="1">
        <f t="array" ref="A36">SUMPRODUCT(($AV$10:$AV$53&lt;&gt;"")*(ROW($AV$10:$AV$53)&lt;=ROW()))</f>
        <v>21</v>
      </c>
      <c r="B36" s="57"/>
      <c r="C36" s="58" t="s">
        <v>168</v>
      </c>
      <c r="D36" s="93" t="s">
        <v>7</v>
      </c>
      <c r="E36" s="16"/>
      <c r="F36" s="29">
        <f t="shared" si="65"/>
        <v>46166</v>
      </c>
      <c r="G36" s="42"/>
      <c r="H36" s="29">
        <f t="shared" si="66"/>
        <v>46173</v>
      </c>
      <c r="I36" s="42"/>
      <c r="J36" s="29">
        <f t="shared" si="67"/>
        <v>46179</v>
      </c>
      <c r="K36" s="42"/>
      <c r="L36" s="29">
        <f t="shared" si="68"/>
        <v>46182</v>
      </c>
      <c r="M36" s="42"/>
      <c r="N36" s="29">
        <f t="shared" si="69"/>
        <v>46212</v>
      </c>
      <c r="O36" s="42"/>
      <c r="P36" s="29">
        <f t="shared" si="70"/>
        <v>46222</v>
      </c>
      <c r="Q36" s="42"/>
      <c r="R36" s="29">
        <f t="shared" si="71"/>
        <v>46242</v>
      </c>
      <c r="S36" s="42"/>
      <c r="T36" s="29">
        <f t="shared" si="72"/>
        <v>46249</v>
      </c>
      <c r="U36" s="42"/>
      <c r="V36" s="29">
        <f t="shared" si="73"/>
        <v>46256</v>
      </c>
      <c r="W36" s="42"/>
      <c r="X36" s="29">
        <f t="shared" si="74"/>
        <v>46261</v>
      </c>
      <c r="Y36" s="42"/>
      <c r="Z36" s="30">
        <f t="shared" si="75"/>
        <v>46271</v>
      </c>
      <c r="AA36" s="42"/>
      <c r="AB36" s="31">
        <f t="shared" si="76"/>
        <v>149</v>
      </c>
      <c r="AC36" s="16"/>
      <c r="AD36" s="131">
        <f t="shared" si="77"/>
        <v>95</v>
      </c>
      <c r="AE36" s="16"/>
      <c r="AF36" s="95"/>
      <c r="AG36" s="67"/>
      <c r="AH36" s="67" t="s">
        <v>134</v>
      </c>
      <c r="AI36" s="67"/>
      <c r="AJ36" s="68" t="str">
        <f t="shared" si="78"/>
        <v/>
      </c>
      <c r="AK36" s="102"/>
      <c r="AL36" s="48"/>
      <c r="AM36" s="105">
        <f>AM35</f>
        <v>150</v>
      </c>
      <c r="AN36" s="69">
        <f t="shared" si="79"/>
        <v>46261</v>
      </c>
      <c r="AO36" s="107">
        <f t="shared" si="80"/>
        <v>54</v>
      </c>
      <c r="AP36" s="48"/>
      <c r="AQ36" s="111"/>
      <c r="AR36" s="70">
        <f t="shared" si="81"/>
        <v>46261</v>
      </c>
      <c r="AS36" s="107">
        <f t="shared" si="82"/>
        <v>54</v>
      </c>
      <c r="AT36" s="48"/>
      <c r="AU36" s="113">
        <f t="shared" si="83"/>
        <v>46207</v>
      </c>
      <c r="AV36" s="119" t="str" cm="1">
        <f t="array" ref="AV36">IF(OR(G36&gt;$C$6,G36=""),$F$8,INDEX($E$8:$Z$8,MATCH(TRUE,(F36:AA36=""),0)))</f>
        <v>1. Tender Docs &amp; BOQ</v>
      </c>
      <c r="AW36" s="116" t="b">
        <f t="shared" si="84"/>
        <v>0</v>
      </c>
      <c r="AX36" s="71" t="b">
        <f t="shared" si="85"/>
        <v>0</v>
      </c>
      <c r="AY36" s="71" t="b">
        <f t="shared" si="86"/>
        <v>0</v>
      </c>
      <c r="AZ36" s="71" t="b">
        <f t="shared" si="87"/>
        <v>0</v>
      </c>
      <c r="BA36" s="71" t="b">
        <f t="shared" si="88"/>
        <v>0</v>
      </c>
      <c r="BB36" s="71" t="b">
        <f t="shared" si="89"/>
        <v>0</v>
      </c>
      <c r="BC36" s="71" t="b">
        <f t="shared" si="90"/>
        <v>0</v>
      </c>
      <c r="BD36" s="71" t="b">
        <f t="shared" si="91"/>
        <v>0</v>
      </c>
      <c r="BE36" s="71" t="b">
        <f t="shared" si="92"/>
        <v>0</v>
      </c>
      <c r="BF36" s="71" t="b">
        <f t="shared" si="93"/>
        <v>0</v>
      </c>
      <c r="BG36" s="89" t="b">
        <f t="shared" si="94"/>
        <v>0</v>
      </c>
      <c r="BH36" s="146"/>
    </row>
    <row r="37" spans="1:60" ht="26.25" x14ac:dyDescent="0.25">
      <c r="A37" s="56" cm="1">
        <f t="array" ref="A37">SUMPRODUCT(($AV$10:$AV$53&lt;&gt;"")*(ROW($AV$10:$AV$53)&lt;=ROW()))</f>
        <v>22</v>
      </c>
      <c r="B37" s="59"/>
      <c r="C37" s="60" t="s">
        <v>287</v>
      </c>
      <c r="D37" s="59" t="s">
        <v>3</v>
      </c>
      <c r="E37" s="43"/>
      <c r="F37" s="44">
        <f t="shared" si="65"/>
        <v>46166</v>
      </c>
      <c r="G37" s="45"/>
      <c r="H37" s="44">
        <f t="shared" si="66"/>
        <v>46173</v>
      </c>
      <c r="I37" s="45"/>
      <c r="J37" s="44">
        <f t="shared" si="67"/>
        <v>46179</v>
      </c>
      <c r="K37" s="45"/>
      <c r="L37" s="44">
        <f t="shared" si="68"/>
        <v>46182</v>
      </c>
      <c r="M37" s="45"/>
      <c r="N37" s="44">
        <f t="shared" si="69"/>
        <v>46212</v>
      </c>
      <c r="O37" s="45"/>
      <c r="P37" s="44">
        <f t="shared" si="70"/>
        <v>46222</v>
      </c>
      <c r="Q37" s="45"/>
      <c r="R37" s="44">
        <f t="shared" si="71"/>
        <v>46242</v>
      </c>
      <c r="S37" s="45"/>
      <c r="T37" s="44">
        <f t="shared" si="72"/>
        <v>46249</v>
      </c>
      <c r="U37" s="45"/>
      <c r="V37" s="44">
        <f t="shared" si="73"/>
        <v>46256</v>
      </c>
      <c r="W37" s="45"/>
      <c r="X37" s="44">
        <f>AN37</f>
        <v>46261</v>
      </c>
      <c r="Y37" s="45"/>
      <c r="Z37" s="46">
        <f t="shared" si="75"/>
        <v>46271</v>
      </c>
      <c r="AA37" s="45"/>
      <c r="AB37" s="32">
        <f t="shared" si="76"/>
        <v>149</v>
      </c>
      <c r="AC37" s="16"/>
      <c r="AD37" s="131">
        <f t="shared" si="46"/>
        <v>95</v>
      </c>
      <c r="AE37" s="16"/>
      <c r="AF37" s="96"/>
      <c r="AG37" s="72"/>
      <c r="AH37" s="72">
        <v>7000000</v>
      </c>
      <c r="AI37" s="72"/>
      <c r="AJ37" s="73" t="str">
        <f t="shared" si="78"/>
        <v/>
      </c>
      <c r="AK37" s="101"/>
      <c r="AL37" s="48"/>
      <c r="AM37" s="104">
        <f t="shared" ref="AM37:AM44" si="95">AM36</f>
        <v>150</v>
      </c>
      <c r="AN37" s="74">
        <f t="shared" si="79"/>
        <v>46261</v>
      </c>
      <c r="AO37" s="108">
        <f t="shared" si="80"/>
        <v>54</v>
      </c>
      <c r="AP37" s="48"/>
      <c r="AQ37" s="110"/>
      <c r="AR37" s="75">
        <f t="shared" si="81"/>
        <v>46261</v>
      </c>
      <c r="AS37" s="108">
        <f t="shared" si="82"/>
        <v>54</v>
      </c>
      <c r="AT37" s="48"/>
      <c r="AU37" s="114">
        <f>IF(Y37&gt;0,Y37,IFERROR(MAX(_xlfn.XLOOKUP($AV37,$H$8:$Z$8,$G37:$Y37),$C$6)+(AN37-_xlfn.XLOOKUP($AV37,$H$8:$Z$8,$F37:$X37))*AD37/SUM($H$7:$Y$7),$C$6+SUM(AD37)))</f>
        <v>46207</v>
      </c>
      <c r="AV37" s="120" t="str" cm="1">
        <f t="array" ref="AV37">IF(OR(G37&gt;$C$6,G37=""),$F$8,INDEX($E$8:$Z$8,MATCH(TRUE,(F37:AA37=""),0)))</f>
        <v>1. Tender Docs &amp; BOQ</v>
      </c>
      <c r="AW37" s="117" t="b">
        <f t="shared" si="84"/>
        <v>0</v>
      </c>
      <c r="AX37" s="76" t="b">
        <f t="shared" si="85"/>
        <v>0</v>
      </c>
      <c r="AY37" s="76" t="b">
        <f t="shared" si="86"/>
        <v>0</v>
      </c>
      <c r="AZ37" s="76" t="b">
        <f t="shared" si="87"/>
        <v>0</v>
      </c>
      <c r="BA37" s="76" t="b">
        <f t="shared" si="88"/>
        <v>0</v>
      </c>
      <c r="BB37" s="76" t="b">
        <f t="shared" si="89"/>
        <v>0</v>
      </c>
      <c r="BC37" s="76" t="b">
        <f t="shared" si="90"/>
        <v>0</v>
      </c>
      <c r="BD37" s="76" t="b">
        <f t="shared" si="91"/>
        <v>0</v>
      </c>
      <c r="BE37" s="76" t="b">
        <f t="shared" si="92"/>
        <v>0</v>
      </c>
      <c r="BF37" s="76" t="b">
        <f t="shared" si="93"/>
        <v>0</v>
      </c>
      <c r="BG37" s="90" t="b">
        <f t="shared" si="94"/>
        <v>0</v>
      </c>
      <c r="BH37" s="48"/>
    </row>
    <row r="38" spans="1:60" ht="26.25" x14ac:dyDescent="0.25">
      <c r="A38" s="56" cm="1">
        <f t="array" ref="A38">SUMPRODUCT(($AV$10:$AV$53&lt;&gt;"")*(ROW($AV$10:$AV$53)&lt;=ROW()))</f>
        <v>23</v>
      </c>
      <c r="B38" s="57"/>
      <c r="C38" s="58" t="s">
        <v>288</v>
      </c>
      <c r="D38" s="93" t="s">
        <v>7</v>
      </c>
      <c r="E38" s="16"/>
      <c r="F38" s="29">
        <f t="shared" si="65"/>
        <v>46166</v>
      </c>
      <c r="G38" s="42"/>
      <c r="H38" s="29">
        <f t="shared" si="66"/>
        <v>46173</v>
      </c>
      <c r="I38" s="42"/>
      <c r="J38" s="29">
        <f t="shared" si="67"/>
        <v>46179</v>
      </c>
      <c r="K38" s="42"/>
      <c r="L38" s="29">
        <f t="shared" si="68"/>
        <v>46182</v>
      </c>
      <c r="M38" s="42"/>
      <c r="N38" s="29">
        <f t="shared" si="69"/>
        <v>46212</v>
      </c>
      <c r="O38" s="42"/>
      <c r="P38" s="29">
        <f t="shared" si="70"/>
        <v>46222</v>
      </c>
      <c r="Q38" s="42"/>
      <c r="R38" s="29">
        <f t="shared" si="71"/>
        <v>46242</v>
      </c>
      <c r="S38" s="42"/>
      <c r="T38" s="29">
        <f t="shared" si="72"/>
        <v>46249</v>
      </c>
      <c r="U38" s="42"/>
      <c r="V38" s="29">
        <f t="shared" si="73"/>
        <v>46256</v>
      </c>
      <c r="W38" s="42"/>
      <c r="X38" s="29">
        <f>AN38</f>
        <v>46261</v>
      </c>
      <c r="Y38" s="42"/>
      <c r="Z38" s="30">
        <f t="shared" si="75"/>
        <v>46271</v>
      </c>
      <c r="AA38" s="42"/>
      <c r="AB38" s="31">
        <f t="shared" si="76"/>
        <v>149</v>
      </c>
      <c r="AC38" s="16"/>
      <c r="AD38" s="131">
        <f t="shared" si="46"/>
        <v>95</v>
      </c>
      <c r="AE38" s="16"/>
      <c r="AF38" s="95"/>
      <c r="AG38" s="67"/>
      <c r="AH38" s="67" t="s">
        <v>134</v>
      </c>
      <c r="AI38" s="67"/>
      <c r="AJ38" s="68" t="str">
        <f t="shared" si="78"/>
        <v/>
      </c>
      <c r="AK38" s="102"/>
      <c r="AL38" s="48"/>
      <c r="AM38" s="105">
        <f t="shared" si="95"/>
        <v>150</v>
      </c>
      <c r="AN38" s="69">
        <f t="shared" si="79"/>
        <v>46261</v>
      </c>
      <c r="AO38" s="107">
        <f t="shared" si="80"/>
        <v>54</v>
      </c>
      <c r="AP38" s="48"/>
      <c r="AQ38" s="111"/>
      <c r="AR38" s="70">
        <f t="shared" si="81"/>
        <v>46261</v>
      </c>
      <c r="AS38" s="107">
        <f t="shared" si="82"/>
        <v>54</v>
      </c>
      <c r="AT38" s="48"/>
      <c r="AU38" s="113">
        <f>IF(Y38&gt;0,Y38,IFERROR(MAX(_xlfn.XLOOKUP($AV38,$H$8:$Z$8,$G38:$Y38),$C$6)+(AN38-_xlfn.XLOOKUP($AV38,$H$8:$Z$8,$F38:$X38))*AD38/SUM($H$7:$Y$7),$C$6+SUM(AD38)))</f>
        <v>46207</v>
      </c>
      <c r="AV38" s="119" t="str" cm="1">
        <f t="array" ref="AV38">IF(OR(G38&gt;$C$6,G38=""),$F$8,INDEX($E$8:$Z$8,MATCH(TRUE,(F38:AA38=""),0)))</f>
        <v>1. Tender Docs &amp; BOQ</v>
      </c>
      <c r="AW38" s="116" t="b">
        <f t="shared" si="84"/>
        <v>0</v>
      </c>
      <c r="AX38" s="71" t="b">
        <f t="shared" si="85"/>
        <v>0</v>
      </c>
      <c r="AY38" s="71" t="b">
        <f t="shared" si="86"/>
        <v>0</v>
      </c>
      <c r="AZ38" s="71" t="b">
        <f t="shared" si="87"/>
        <v>0</v>
      </c>
      <c r="BA38" s="71" t="b">
        <f t="shared" si="88"/>
        <v>0</v>
      </c>
      <c r="BB38" s="71" t="b">
        <f t="shared" si="89"/>
        <v>0</v>
      </c>
      <c r="BC38" s="71" t="b">
        <f t="shared" si="90"/>
        <v>0</v>
      </c>
      <c r="BD38" s="71" t="b">
        <f t="shared" si="91"/>
        <v>0</v>
      </c>
      <c r="BE38" s="71" t="b">
        <f t="shared" si="92"/>
        <v>0</v>
      </c>
      <c r="BF38" s="71" t="b">
        <f t="shared" si="93"/>
        <v>0</v>
      </c>
      <c r="BG38" s="89" t="b">
        <f t="shared" si="94"/>
        <v>0</v>
      </c>
      <c r="BH38" s="48"/>
    </row>
    <row r="39" spans="1:60" ht="26.25" x14ac:dyDescent="0.25">
      <c r="A39" s="56" cm="1">
        <f t="array" ref="A39">SUMPRODUCT(($AV$10:$AV$53&lt;&gt;"")*(ROW($AV$10:$AV$53)&lt;=ROW()))</f>
        <v>24</v>
      </c>
      <c r="B39" s="59"/>
      <c r="C39" s="60" t="s">
        <v>289</v>
      </c>
      <c r="D39" s="59" t="s">
        <v>3</v>
      </c>
      <c r="E39" s="43"/>
      <c r="F39" s="44">
        <f t="shared" si="65"/>
        <v>46166</v>
      </c>
      <c r="G39" s="45"/>
      <c r="H39" s="44">
        <f t="shared" si="66"/>
        <v>46173</v>
      </c>
      <c r="I39" s="45"/>
      <c r="J39" s="44">
        <f t="shared" si="67"/>
        <v>46179</v>
      </c>
      <c r="K39" s="45"/>
      <c r="L39" s="44">
        <f t="shared" si="68"/>
        <v>46182</v>
      </c>
      <c r="M39" s="45"/>
      <c r="N39" s="44">
        <f t="shared" si="69"/>
        <v>46212</v>
      </c>
      <c r="O39" s="45"/>
      <c r="P39" s="44">
        <f t="shared" si="70"/>
        <v>46222</v>
      </c>
      <c r="Q39" s="45"/>
      <c r="R39" s="44">
        <f t="shared" si="71"/>
        <v>46242</v>
      </c>
      <c r="S39" s="45"/>
      <c r="T39" s="44">
        <f t="shared" si="72"/>
        <v>46249</v>
      </c>
      <c r="U39" s="45"/>
      <c r="V39" s="44">
        <f t="shared" si="73"/>
        <v>46256</v>
      </c>
      <c r="W39" s="45"/>
      <c r="X39" s="44">
        <f>AN39</f>
        <v>46261</v>
      </c>
      <c r="Y39" s="45"/>
      <c r="Z39" s="46">
        <f t="shared" si="75"/>
        <v>46271</v>
      </c>
      <c r="AA39" s="45"/>
      <c r="AB39" s="32">
        <f t="shared" si="76"/>
        <v>149</v>
      </c>
      <c r="AC39" s="16"/>
      <c r="AD39" s="131">
        <f t="shared" si="46"/>
        <v>95</v>
      </c>
      <c r="AE39" s="16"/>
      <c r="AF39" s="96"/>
      <c r="AG39" s="72"/>
      <c r="AH39" s="72" t="s">
        <v>134</v>
      </c>
      <c r="AI39" s="72"/>
      <c r="AJ39" s="73" t="str">
        <f t="shared" si="78"/>
        <v/>
      </c>
      <c r="AK39" s="101"/>
      <c r="AL39" s="48"/>
      <c r="AM39" s="104">
        <f t="shared" si="95"/>
        <v>150</v>
      </c>
      <c r="AN39" s="74">
        <f t="shared" si="79"/>
        <v>46261</v>
      </c>
      <c r="AO39" s="108">
        <f t="shared" si="80"/>
        <v>54</v>
      </c>
      <c r="AP39" s="48"/>
      <c r="AQ39" s="110"/>
      <c r="AR39" s="75">
        <f t="shared" si="81"/>
        <v>46261</v>
      </c>
      <c r="AS39" s="108">
        <f t="shared" si="82"/>
        <v>54</v>
      </c>
      <c r="AT39" s="48"/>
      <c r="AU39" s="114">
        <f>IF(Y39&gt;0,Y39,IFERROR(MAX(_xlfn.XLOOKUP($AV39,$H$8:$Z$8,$G39:$Y39),$C$6)+(AN39-_xlfn.XLOOKUP($AV39,$H$8:$Z$8,$F39:$X39))*AD39/SUM($H$7:$Y$7),$C$6+SUM(AD39)))</f>
        <v>46207</v>
      </c>
      <c r="AV39" s="120" t="str" cm="1">
        <f t="array" ref="AV39">IF(OR(G39&gt;$C$6,G39=""),$F$8,INDEX($E$8:$Z$8,MATCH(TRUE,(F39:AA39=""),0)))</f>
        <v>1. Tender Docs &amp; BOQ</v>
      </c>
      <c r="AW39" s="117" t="b">
        <f t="shared" si="84"/>
        <v>0</v>
      </c>
      <c r="AX39" s="76" t="b">
        <f t="shared" si="85"/>
        <v>0</v>
      </c>
      <c r="AY39" s="76" t="b">
        <f t="shared" si="86"/>
        <v>0</v>
      </c>
      <c r="AZ39" s="76" t="b">
        <f t="shared" si="87"/>
        <v>0</v>
      </c>
      <c r="BA39" s="76" t="b">
        <f t="shared" si="88"/>
        <v>0</v>
      </c>
      <c r="BB39" s="76" t="b">
        <f t="shared" si="89"/>
        <v>0</v>
      </c>
      <c r="BC39" s="76" t="b">
        <f t="shared" si="90"/>
        <v>0</v>
      </c>
      <c r="BD39" s="76" t="b">
        <f t="shared" si="91"/>
        <v>0</v>
      </c>
      <c r="BE39" s="76" t="b">
        <f t="shared" si="92"/>
        <v>0</v>
      </c>
      <c r="BF39" s="76" t="b">
        <f t="shared" si="93"/>
        <v>0</v>
      </c>
      <c r="BG39" s="90" t="b">
        <f t="shared" si="94"/>
        <v>0</v>
      </c>
      <c r="BH39" s="48"/>
    </row>
    <row r="40" spans="1:60" ht="26.25" x14ac:dyDescent="0.25">
      <c r="A40" s="56" cm="1">
        <f t="array" ref="A40">SUMPRODUCT(($AV$10:$AV$53&lt;&gt;"")*(ROW($AV$10:$AV$53)&lt;=ROW()))</f>
        <v>25</v>
      </c>
      <c r="B40" s="57"/>
      <c r="C40" s="58" t="s">
        <v>290</v>
      </c>
      <c r="D40" s="93" t="s">
        <v>107</v>
      </c>
      <c r="E40" s="16"/>
      <c r="F40" s="29">
        <f t="shared" si="65"/>
        <v>46166</v>
      </c>
      <c r="G40" s="42"/>
      <c r="H40" s="29">
        <f t="shared" si="66"/>
        <v>46173</v>
      </c>
      <c r="I40" s="42"/>
      <c r="J40" s="29">
        <f t="shared" si="67"/>
        <v>46179</v>
      </c>
      <c r="K40" s="42"/>
      <c r="L40" s="29">
        <f t="shared" si="68"/>
        <v>46182</v>
      </c>
      <c r="M40" s="42"/>
      <c r="N40" s="29">
        <f t="shared" si="69"/>
        <v>46212</v>
      </c>
      <c r="O40" s="42"/>
      <c r="P40" s="29">
        <f t="shared" si="70"/>
        <v>46222</v>
      </c>
      <c r="Q40" s="42"/>
      <c r="R40" s="29">
        <f t="shared" si="71"/>
        <v>46242</v>
      </c>
      <c r="S40" s="42"/>
      <c r="T40" s="29">
        <f t="shared" si="72"/>
        <v>46249</v>
      </c>
      <c r="U40" s="42"/>
      <c r="V40" s="29">
        <f t="shared" si="73"/>
        <v>46256</v>
      </c>
      <c r="W40" s="42"/>
      <c r="X40" s="29">
        <f t="shared" ref="X40:X41" si="96">AN40</f>
        <v>46261</v>
      </c>
      <c r="Y40" s="42"/>
      <c r="Z40" s="30">
        <f t="shared" si="75"/>
        <v>46271</v>
      </c>
      <c r="AA40" s="42"/>
      <c r="AB40" s="31">
        <f t="shared" si="76"/>
        <v>149</v>
      </c>
      <c r="AC40" s="16"/>
      <c r="AD40" s="131">
        <f t="shared" si="46"/>
        <v>95</v>
      </c>
      <c r="AE40" s="16"/>
      <c r="AF40" s="95"/>
      <c r="AG40" s="67"/>
      <c r="AH40" s="67" t="s">
        <v>134</v>
      </c>
      <c r="AI40" s="67"/>
      <c r="AJ40" s="68" t="str">
        <f t="shared" si="78"/>
        <v/>
      </c>
      <c r="AK40" s="102"/>
      <c r="AL40" s="48"/>
      <c r="AM40" s="105">
        <f t="shared" si="95"/>
        <v>150</v>
      </c>
      <c r="AN40" s="69">
        <f t="shared" si="79"/>
        <v>46261</v>
      </c>
      <c r="AO40" s="107">
        <f t="shared" si="80"/>
        <v>54</v>
      </c>
      <c r="AP40" s="48"/>
      <c r="AQ40" s="111"/>
      <c r="AR40" s="70">
        <f t="shared" si="81"/>
        <v>46261</v>
      </c>
      <c r="AS40" s="107">
        <f t="shared" si="82"/>
        <v>54</v>
      </c>
      <c r="AT40" s="48"/>
      <c r="AU40" s="113">
        <f t="shared" ref="AU40:AU41" si="97">IF(Y40&gt;0,Y40,IFERROR(MAX(_xlfn.XLOOKUP($AV40,$H$8:$Z$8,$G40:$Y40),$C$6)+(AN40-_xlfn.XLOOKUP($AV40,$H$8:$Z$8,$F40:$X40))*AD40/SUM($H$7:$Y$7),$C$6+SUM(AD40)))</f>
        <v>46207</v>
      </c>
      <c r="AV40" s="119" t="str" cm="1">
        <f t="array" ref="AV40">IF(OR(G40&gt;$C$6,G40=""),$F$8,INDEX($E$8:$Z$8,MATCH(TRUE,(F40:AA40=""),0)))</f>
        <v>1. Tender Docs &amp; BOQ</v>
      </c>
      <c r="AW40" s="116" t="b">
        <f t="shared" si="84"/>
        <v>0</v>
      </c>
      <c r="AX40" s="71" t="b">
        <f t="shared" si="85"/>
        <v>0</v>
      </c>
      <c r="AY40" s="71" t="b">
        <f t="shared" si="86"/>
        <v>0</v>
      </c>
      <c r="AZ40" s="71" t="b">
        <f t="shared" si="87"/>
        <v>0</v>
      </c>
      <c r="BA40" s="71" t="b">
        <f t="shared" si="88"/>
        <v>0</v>
      </c>
      <c r="BB40" s="71" t="b">
        <f t="shared" si="89"/>
        <v>0</v>
      </c>
      <c r="BC40" s="71" t="b">
        <f t="shared" si="90"/>
        <v>0</v>
      </c>
      <c r="BD40" s="71" t="b">
        <f t="shared" si="91"/>
        <v>0</v>
      </c>
      <c r="BE40" s="71" t="b">
        <f t="shared" si="92"/>
        <v>0</v>
      </c>
      <c r="BF40" s="71" t="b">
        <f t="shared" si="93"/>
        <v>0</v>
      </c>
      <c r="BG40" s="89" t="b">
        <f t="shared" si="94"/>
        <v>0</v>
      </c>
      <c r="BH40" s="48"/>
    </row>
    <row r="41" spans="1:60" ht="26.25" x14ac:dyDescent="0.25">
      <c r="A41" s="56" cm="1">
        <f t="array" ref="A41">SUMPRODUCT(($AV$10:$AV$53&lt;&gt;"")*(ROW($AV$10:$AV$53)&lt;=ROW()))</f>
        <v>26</v>
      </c>
      <c r="B41" s="59"/>
      <c r="C41" s="60" t="s">
        <v>291</v>
      </c>
      <c r="D41" s="59" t="s">
        <v>13</v>
      </c>
      <c r="E41" s="43"/>
      <c r="F41" s="44">
        <f t="shared" si="65"/>
        <v>46166</v>
      </c>
      <c r="G41" s="45"/>
      <c r="H41" s="44">
        <f t="shared" si="66"/>
        <v>46173</v>
      </c>
      <c r="I41" s="45"/>
      <c r="J41" s="44">
        <f t="shared" si="67"/>
        <v>46179</v>
      </c>
      <c r="K41" s="45"/>
      <c r="L41" s="44">
        <f t="shared" si="68"/>
        <v>46182</v>
      </c>
      <c r="M41" s="45"/>
      <c r="N41" s="44">
        <f t="shared" si="69"/>
        <v>46212</v>
      </c>
      <c r="O41" s="45"/>
      <c r="P41" s="44">
        <f t="shared" si="70"/>
        <v>46222</v>
      </c>
      <c r="Q41" s="45"/>
      <c r="R41" s="44">
        <f t="shared" si="71"/>
        <v>46242</v>
      </c>
      <c r="S41" s="45"/>
      <c r="T41" s="44">
        <f t="shared" si="72"/>
        <v>46249</v>
      </c>
      <c r="U41" s="45"/>
      <c r="V41" s="44">
        <f t="shared" si="73"/>
        <v>46256</v>
      </c>
      <c r="W41" s="45"/>
      <c r="X41" s="44">
        <f t="shared" si="96"/>
        <v>46261</v>
      </c>
      <c r="Y41" s="45"/>
      <c r="Z41" s="46">
        <f t="shared" si="75"/>
        <v>46271</v>
      </c>
      <c r="AA41" s="45"/>
      <c r="AB41" s="32">
        <f t="shared" si="76"/>
        <v>149</v>
      </c>
      <c r="AC41" s="16"/>
      <c r="AD41" s="131">
        <f t="shared" si="46"/>
        <v>95</v>
      </c>
      <c r="AE41" s="16"/>
      <c r="AF41" s="96"/>
      <c r="AG41" s="72"/>
      <c r="AH41" s="72" t="s">
        <v>134</v>
      </c>
      <c r="AI41" s="72"/>
      <c r="AJ41" s="73" t="str">
        <f t="shared" si="78"/>
        <v/>
      </c>
      <c r="AK41" s="101"/>
      <c r="AL41" s="48"/>
      <c r="AM41" s="104">
        <f t="shared" si="95"/>
        <v>150</v>
      </c>
      <c r="AN41" s="74">
        <f t="shared" si="79"/>
        <v>46261</v>
      </c>
      <c r="AO41" s="108">
        <f t="shared" si="80"/>
        <v>54</v>
      </c>
      <c r="AP41" s="48"/>
      <c r="AQ41" s="110"/>
      <c r="AR41" s="75">
        <f t="shared" si="81"/>
        <v>46261</v>
      </c>
      <c r="AS41" s="108">
        <f t="shared" si="82"/>
        <v>54</v>
      </c>
      <c r="AT41" s="48"/>
      <c r="AU41" s="114">
        <f t="shared" si="97"/>
        <v>46207</v>
      </c>
      <c r="AV41" s="120" t="str" cm="1">
        <f t="array" ref="AV41">IF(OR(G41&gt;$C$6,G41=""),$F$8,INDEX($E$8:$Z$8,MATCH(TRUE,(F41:AA41=""),0)))</f>
        <v>1. Tender Docs &amp; BOQ</v>
      </c>
      <c r="AW41" s="117" t="b">
        <f t="shared" si="84"/>
        <v>0</v>
      </c>
      <c r="AX41" s="76" t="b">
        <f t="shared" si="85"/>
        <v>0</v>
      </c>
      <c r="AY41" s="76" t="b">
        <f t="shared" si="86"/>
        <v>0</v>
      </c>
      <c r="AZ41" s="76" t="b">
        <f t="shared" si="87"/>
        <v>0</v>
      </c>
      <c r="BA41" s="76" t="b">
        <f t="shared" si="88"/>
        <v>0</v>
      </c>
      <c r="BB41" s="76" t="b">
        <f t="shared" si="89"/>
        <v>0</v>
      </c>
      <c r="BC41" s="76" t="b">
        <f t="shared" si="90"/>
        <v>0</v>
      </c>
      <c r="BD41" s="76" t="b">
        <f t="shared" si="91"/>
        <v>0</v>
      </c>
      <c r="BE41" s="76" t="b">
        <f t="shared" si="92"/>
        <v>0</v>
      </c>
      <c r="BF41" s="76" t="b">
        <f t="shared" si="93"/>
        <v>0</v>
      </c>
      <c r="BG41" s="90" t="b">
        <f t="shared" si="94"/>
        <v>0</v>
      </c>
      <c r="BH41" s="48"/>
    </row>
    <row r="42" spans="1:60" ht="26.25" x14ac:dyDescent="0.25">
      <c r="A42" s="56" cm="1">
        <f t="array" ref="A42">SUMPRODUCT(($AV$10:$AV$53&lt;&gt;"")*(ROW($AV$10:$AV$53)&lt;=ROW()))</f>
        <v>27</v>
      </c>
      <c r="B42" s="57"/>
      <c r="C42" s="58" t="s">
        <v>292</v>
      </c>
      <c r="D42" s="93" t="s">
        <v>13</v>
      </c>
      <c r="E42" s="16"/>
      <c r="F42" s="29">
        <f t="shared" si="65"/>
        <v>46166</v>
      </c>
      <c r="G42" s="42"/>
      <c r="H42" s="29">
        <f t="shared" si="66"/>
        <v>46173</v>
      </c>
      <c r="I42" s="42"/>
      <c r="J42" s="29">
        <f t="shared" si="67"/>
        <v>46179</v>
      </c>
      <c r="K42" s="42"/>
      <c r="L42" s="29">
        <f t="shared" si="68"/>
        <v>46182</v>
      </c>
      <c r="M42" s="42"/>
      <c r="N42" s="29">
        <f t="shared" si="69"/>
        <v>46212</v>
      </c>
      <c r="O42" s="42"/>
      <c r="P42" s="29">
        <f t="shared" si="70"/>
        <v>46222</v>
      </c>
      <c r="Q42" s="42"/>
      <c r="R42" s="29">
        <f t="shared" si="71"/>
        <v>46242</v>
      </c>
      <c r="S42" s="42"/>
      <c r="T42" s="29">
        <f t="shared" si="72"/>
        <v>46249</v>
      </c>
      <c r="U42" s="42"/>
      <c r="V42" s="29">
        <f t="shared" si="73"/>
        <v>46256</v>
      </c>
      <c r="W42" s="42"/>
      <c r="X42" s="29">
        <f>AN42</f>
        <v>46261</v>
      </c>
      <c r="Y42" s="42"/>
      <c r="Z42" s="30">
        <f t="shared" si="75"/>
        <v>46271</v>
      </c>
      <c r="AA42" s="42"/>
      <c r="AB42" s="31">
        <f t="shared" si="76"/>
        <v>149</v>
      </c>
      <c r="AC42" s="16"/>
      <c r="AD42" s="131">
        <f t="shared" si="46"/>
        <v>95</v>
      </c>
      <c r="AE42" s="16"/>
      <c r="AF42" s="95"/>
      <c r="AG42" s="67"/>
      <c r="AH42" s="67" t="s">
        <v>134</v>
      </c>
      <c r="AI42" s="67"/>
      <c r="AJ42" s="68" t="str">
        <f t="shared" si="78"/>
        <v/>
      </c>
      <c r="AK42" s="102"/>
      <c r="AL42" s="48"/>
      <c r="AM42" s="105">
        <f t="shared" si="95"/>
        <v>150</v>
      </c>
      <c r="AN42" s="69">
        <f t="shared" si="79"/>
        <v>46261</v>
      </c>
      <c r="AO42" s="107">
        <f t="shared" si="80"/>
        <v>54</v>
      </c>
      <c r="AP42" s="48"/>
      <c r="AQ42" s="111"/>
      <c r="AR42" s="70">
        <f t="shared" si="81"/>
        <v>46261</v>
      </c>
      <c r="AS42" s="107">
        <f t="shared" si="82"/>
        <v>54</v>
      </c>
      <c r="AT42" s="48"/>
      <c r="AU42" s="113">
        <f>IF(Y42&gt;0,Y42,IFERROR(MAX(_xlfn.XLOOKUP($AV42,$H$8:$Z$8,$G42:$Y42),$C$6)+(AN42-_xlfn.XLOOKUP($AV42,$H$8:$Z$8,$F42:$X42))*AD42/SUM($H$7:$Y$7),$C$6+SUM(AD42)))</f>
        <v>46207</v>
      </c>
      <c r="AV42" s="119" t="str" cm="1">
        <f t="array" ref="AV42">IF(OR(G42&gt;$C$6,G42=""),$F$8,INDEX($E$8:$Z$8,MATCH(TRUE,(F42:AA42=""),0)))</f>
        <v>1. Tender Docs &amp; BOQ</v>
      </c>
      <c r="AW42" s="116" t="b">
        <f t="shared" si="84"/>
        <v>0</v>
      </c>
      <c r="AX42" s="71" t="b">
        <f t="shared" si="85"/>
        <v>0</v>
      </c>
      <c r="AY42" s="71" t="b">
        <f t="shared" si="86"/>
        <v>0</v>
      </c>
      <c r="AZ42" s="71" t="b">
        <f t="shared" si="87"/>
        <v>0</v>
      </c>
      <c r="BA42" s="71" t="b">
        <f t="shared" si="88"/>
        <v>0</v>
      </c>
      <c r="BB42" s="71" t="b">
        <f t="shared" si="89"/>
        <v>0</v>
      </c>
      <c r="BC42" s="71" t="b">
        <f t="shared" si="90"/>
        <v>0</v>
      </c>
      <c r="BD42" s="71" t="b">
        <f t="shared" si="91"/>
        <v>0</v>
      </c>
      <c r="BE42" s="71" t="b">
        <f t="shared" si="92"/>
        <v>0</v>
      </c>
      <c r="BF42" s="71" t="b">
        <f t="shared" si="93"/>
        <v>0</v>
      </c>
      <c r="BG42" s="89" t="b">
        <f t="shared" si="94"/>
        <v>0</v>
      </c>
      <c r="BH42" s="48"/>
    </row>
    <row r="43" spans="1:60" ht="26.25" x14ac:dyDescent="0.25">
      <c r="A43" s="56" cm="1">
        <f t="array" ref="A43">SUMPRODUCT(($AV$10:$AV$53&lt;&gt;"")*(ROW($AV$10:$AV$53)&lt;=ROW()))</f>
        <v>28</v>
      </c>
      <c r="B43" s="59"/>
      <c r="C43" s="60" t="s">
        <v>106</v>
      </c>
      <c r="D43" s="59" t="s">
        <v>107</v>
      </c>
      <c r="E43" s="43"/>
      <c r="F43" s="44">
        <f t="shared" si="65"/>
        <v>46166</v>
      </c>
      <c r="G43" s="45"/>
      <c r="H43" s="44">
        <f t="shared" si="66"/>
        <v>46173</v>
      </c>
      <c r="I43" s="45"/>
      <c r="J43" s="44">
        <f t="shared" si="67"/>
        <v>46179</v>
      </c>
      <c r="K43" s="45"/>
      <c r="L43" s="44">
        <f t="shared" si="68"/>
        <v>46182</v>
      </c>
      <c r="M43" s="45"/>
      <c r="N43" s="44">
        <f t="shared" si="69"/>
        <v>46212</v>
      </c>
      <c r="O43" s="45"/>
      <c r="P43" s="44">
        <f t="shared" si="70"/>
        <v>46222</v>
      </c>
      <c r="Q43" s="45"/>
      <c r="R43" s="44">
        <f t="shared" si="71"/>
        <v>46242</v>
      </c>
      <c r="S43" s="45"/>
      <c r="T43" s="44">
        <f t="shared" si="72"/>
        <v>46249</v>
      </c>
      <c r="U43" s="45"/>
      <c r="V43" s="44">
        <f t="shared" si="73"/>
        <v>46256</v>
      </c>
      <c r="W43" s="45"/>
      <c r="X43" s="44">
        <f>AN43</f>
        <v>46261</v>
      </c>
      <c r="Y43" s="45"/>
      <c r="Z43" s="46">
        <f t="shared" si="75"/>
        <v>46271</v>
      </c>
      <c r="AA43" s="45"/>
      <c r="AB43" s="32">
        <f t="shared" si="76"/>
        <v>149</v>
      </c>
      <c r="AC43" s="16"/>
      <c r="AD43" s="131">
        <f t="shared" si="46"/>
        <v>95</v>
      </c>
      <c r="AE43" s="16"/>
      <c r="AF43" s="96"/>
      <c r="AG43" s="72"/>
      <c r="AH43" s="72" t="s">
        <v>134</v>
      </c>
      <c r="AI43" s="72"/>
      <c r="AJ43" s="73" t="str">
        <f t="shared" si="78"/>
        <v/>
      </c>
      <c r="AK43" s="101"/>
      <c r="AL43" s="48"/>
      <c r="AM43" s="104">
        <f t="shared" si="95"/>
        <v>150</v>
      </c>
      <c r="AN43" s="74">
        <f t="shared" si="79"/>
        <v>46261</v>
      </c>
      <c r="AO43" s="108">
        <f t="shared" si="80"/>
        <v>54</v>
      </c>
      <c r="AP43" s="48"/>
      <c r="AQ43" s="110"/>
      <c r="AR43" s="75">
        <f t="shared" si="81"/>
        <v>46261</v>
      </c>
      <c r="AS43" s="108">
        <f t="shared" si="82"/>
        <v>54</v>
      </c>
      <c r="AT43" s="48"/>
      <c r="AU43" s="114">
        <f>IF(Y43&gt;0,Y43,IFERROR(MAX(_xlfn.XLOOKUP($AV43,$H$8:$Z$8,$G43:$Y43),$C$6)+(AN43-_xlfn.XLOOKUP($AV43,$H$8:$Z$8,$F43:$X43))*AD43/SUM($H$7:$Y$7),$C$6+SUM(AD43)))</f>
        <v>46207</v>
      </c>
      <c r="AV43" s="120" t="str" cm="1">
        <f t="array" ref="AV43">IF(OR(G43&gt;$C$6,G43=""),$F$8,INDEX($E$8:$Z$8,MATCH(TRUE,(F43:AA43=""),0)))</f>
        <v>1. Tender Docs &amp; BOQ</v>
      </c>
      <c r="AW43" s="117" t="b">
        <f t="shared" si="84"/>
        <v>0</v>
      </c>
      <c r="AX43" s="76" t="b">
        <f t="shared" si="85"/>
        <v>0</v>
      </c>
      <c r="AY43" s="76" t="b">
        <f t="shared" si="86"/>
        <v>0</v>
      </c>
      <c r="AZ43" s="76" t="b">
        <f t="shared" si="87"/>
        <v>0</v>
      </c>
      <c r="BA43" s="76" t="b">
        <f t="shared" si="88"/>
        <v>0</v>
      </c>
      <c r="BB43" s="76" t="b">
        <f t="shared" si="89"/>
        <v>0</v>
      </c>
      <c r="BC43" s="76" t="b">
        <f t="shared" si="90"/>
        <v>0</v>
      </c>
      <c r="BD43" s="76" t="b">
        <f t="shared" si="91"/>
        <v>0</v>
      </c>
      <c r="BE43" s="76" t="b">
        <f t="shared" si="92"/>
        <v>0</v>
      </c>
      <c r="BF43" s="76" t="b">
        <f t="shared" si="93"/>
        <v>0</v>
      </c>
      <c r="BG43" s="90" t="b">
        <f t="shared" si="94"/>
        <v>0</v>
      </c>
      <c r="BH43" s="48"/>
    </row>
    <row r="44" spans="1:60" ht="26.25" x14ac:dyDescent="0.25">
      <c r="A44" s="56" cm="1">
        <f t="array" ref="A44">SUMPRODUCT(($AV$10:$AV$53&lt;&gt;"")*(ROW($AV$10:$AV$53)&lt;=ROW()))</f>
        <v>29</v>
      </c>
      <c r="B44" s="57"/>
      <c r="C44" s="58" t="s">
        <v>293</v>
      </c>
      <c r="D44" s="93" t="s">
        <v>107</v>
      </c>
      <c r="E44" s="16"/>
      <c r="F44" s="29">
        <f t="shared" si="65"/>
        <v>46166</v>
      </c>
      <c r="G44" s="42"/>
      <c r="H44" s="29">
        <f t="shared" si="66"/>
        <v>46173</v>
      </c>
      <c r="I44" s="42"/>
      <c r="J44" s="29">
        <f t="shared" si="67"/>
        <v>46179</v>
      </c>
      <c r="K44" s="42"/>
      <c r="L44" s="29">
        <f t="shared" si="68"/>
        <v>46182</v>
      </c>
      <c r="M44" s="42"/>
      <c r="N44" s="29">
        <f t="shared" si="69"/>
        <v>46212</v>
      </c>
      <c r="O44" s="42"/>
      <c r="P44" s="29">
        <f t="shared" si="70"/>
        <v>46222</v>
      </c>
      <c r="Q44" s="42"/>
      <c r="R44" s="29">
        <f t="shared" si="71"/>
        <v>46242</v>
      </c>
      <c r="S44" s="42"/>
      <c r="T44" s="29">
        <f t="shared" si="72"/>
        <v>46249</v>
      </c>
      <c r="U44" s="42"/>
      <c r="V44" s="29">
        <f t="shared" si="73"/>
        <v>46256</v>
      </c>
      <c r="W44" s="42"/>
      <c r="X44" s="29">
        <f>AN44</f>
        <v>46261</v>
      </c>
      <c r="Y44" s="42"/>
      <c r="Z44" s="30">
        <f t="shared" si="75"/>
        <v>46271</v>
      </c>
      <c r="AA44" s="42"/>
      <c r="AB44" s="31">
        <f t="shared" si="76"/>
        <v>149</v>
      </c>
      <c r="AC44" s="16"/>
      <c r="AD44" s="131">
        <f t="shared" si="46"/>
        <v>95</v>
      </c>
      <c r="AE44" s="16"/>
      <c r="AF44" s="95"/>
      <c r="AG44" s="67"/>
      <c r="AH44" s="67" t="s">
        <v>134</v>
      </c>
      <c r="AI44" s="67"/>
      <c r="AJ44" s="68" t="str">
        <f t="shared" si="78"/>
        <v/>
      </c>
      <c r="AK44" s="102"/>
      <c r="AL44" s="48"/>
      <c r="AM44" s="105">
        <f t="shared" si="95"/>
        <v>150</v>
      </c>
      <c r="AN44" s="69">
        <f t="shared" si="79"/>
        <v>46261</v>
      </c>
      <c r="AO44" s="107">
        <f t="shared" si="80"/>
        <v>54</v>
      </c>
      <c r="AP44" s="48"/>
      <c r="AQ44" s="111"/>
      <c r="AR44" s="70">
        <f t="shared" si="81"/>
        <v>46261</v>
      </c>
      <c r="AS44" s="107">
        <f t="shared" si="82"/>
        <v>54</v>
      </c>
      <c r="AT44" s="48"/>
      <c r="AU44" s="113">
        <f>IF(Y44&gt;0,Y44,IFERROR(MAX(_xlfn.XLOOKUP($AV44,$H$8:$Z$8,$G44:$Y44),$C$6)+(AN44-_xlfn.XLOOKUP($AV44,$H$8:$Z$8,$F44:$X44))*AD44/SUM($H$7:$Y$7),$C$6+SUM(AD44)))</f>
        <v>46207</v>
      </c>
      <c r="AV44" s="119" t="str" cm="1">
        <f t="array" ref="AV44">IF(OR(G44&gt;$C$6,G44=""),$F$8,INDEX($E$8:$Z$8,MATCH(TRUE,(F44:AA44=""),0)))</f>
        <v>1. Tender Docs &amp; BOQ</v>
      </c>
      <c r="AW44" s="116" t="b">
        <f t="shared" si="84"/>
        <v>0</v>
      </c>
      <c r="AX44" s="71" t="b">
        <f t="shared" si="85"/>
        <v>0</v>
      </c>
      <c r="AY44" s="71" t="b">
        <f t="shared" si="86"/>
        <v>0</v>
      </c>
      <c r="AZ44" s="71" t="b">
        <f t="shared" si="87"/>
        <v>0</v>
      </c>
      <c r="BA44" s="71" t="b">
        <f t="shared" si="88"/>
        <v>0</v>
      </c>
      <c r="BB44" s="71" t="b">
        <f t="shared" si="89"/>
        <v>0</v>
      </c>
      <c r="BC44" s="71" t="b">
        <f t="shared" si="90"/>
        <v>0</v>
      </c>
      <c r="BD44" s="71" t="b">
        <f t="shared" si="91"/>
        <v>0</v>
      </c>
      <c r="BE44" s="71" t="b">
        <f t="shared" si="92"/>
        <v>0</v>
      </c>
      <c r="BF44" s="71" t="b">
        <f t="shared" si="93"/>
        <v>0</v>
      </c>
      <c r="BG44" s="89" t="b">
        <f t="shared" si="94"/>
        <v>0</v>
      </c>
      <c r="BH44" s="48"/>
    </row>
    <row r="45" spans="1:60" ht="26.25" x14ac:dyDescent="0.25">
      <c r="A45" s="54"/>
      <c r="B45" s="49"/>
      <c r="C45" s="50" t="s">
        <v>163</v>
      </c>
      <c r="D45" s="51"/>
      <c r="E45" s="51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1"/>
      <c r="AC45" s="51"/>
      <c r="AD45" s="132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51"/>
      <c r="AQ45" s="51"/>
      <c r="AR45" s="51"/>
      <c r="AS45" s="51"/>
      <c r="AT45" s="51"/>
      <c r="AU45" s="51"/>
      <c r="AV45" s="51"/>
      <c r="AW45" s="51"/>
      <c r="AX45" s="51"/>
      <c r="AY45" s="51"/>
      <c r="AZ45" s="51"/>
      <c r="BA45" s="51"/>
      <c r="BB45" s="51"/>
      <c r="BC45" s="51"/>
      <c r="BD45" s="51"/>
      <c r="BE45" s="51"/>
      <c r="BF45" s="51"/>
      <c r="BG45" s="88"/>
      <c r="BH45" s="48"/>
    </row>
    <row r="46" spans="1:60" ht="26.25" x14ac:dyDescent="0.25">
      <c r="A46" s="56" cm="1">
        <f t="array" ref="A46">SUMPRODUCT(($AV$10:$AV$53&lt;&gt;"")*(ROW($AV$10:$AV$53)&lt;=ROW()))</f>
        <v>30</v>
      </c>
      <c r="B46" s="59"/>
      <c r="C46" s="60" t="s">
        <v>298</v>
      </c>
      <c r="D46" s="59" t="s">
        <v>107</v>
      </c>
      <c r="E46" s="43"/>
      <c r="F46" s="44">
        <f>H46-$H$7</f>
        <v>46031</v>
      </c>
      <c r="G46" s="45"/>
      <c r="H46" s="44">
        <f>J46-$J$7</f>
        <v>46038</v>
      </c>
      <c r="I46" s="45"/>
      <c r="J46" s="44">
        <f>L46-$L$7</f>
        <v>46044</v>
      </c>
      <c r="K46" s="45"/>
      <c r="L46" s="44">
        <f>N46-$N$7</f>
        <v>46047</v>
      </c>
      <c r="M46" s="45"/>
      <c r="N46" s="44">
        <f>P46-$P$7</f>
        <v>46077</v>
      </c>
      <c r="O46" s="45"/>
      <c r="P46" s="44">
        <f>R46-$R$7</f>
        <v>46087</v>
      </c>
      <c r="Q46" s="45"/>
      <c r="R46" s="44">
        <f>T46-$T$7</f>
        <v>46107</v>
      </c>
      <c r="S46" s="45"/>
      <c r="T46" s="44">
        <f>V46-$V$7</f>
        <v>46114</v>
      </c>
      <c r="U46" s="45"/>
      <c r="V46" s="44">
        <f>X46-$X$7</f>
        <v>46121</v>
      </c>
      <c r="W46" s="45"/>
      <c r="X46" s="44">
        <f>AN46</f>
        <v>46126</v>
      </c>
      <c r="Y46" s="45"/>
      <c r="Z46" s="46">
        <f>X46+$Z$7</f>
        <v>46136</v>
      </c>
      <c r="AA46" s="45"/>
      <c r="AB46" s="32">
        <f>IF(AV46="10. Issued to Contractor","-",IF(AV46="11. Subcontract Agreement signed","-",MAX(AN46,AR46)-$C$6))</f>
        <v>14</v>
      </c>
      <c r="AC46" s="16"/>
      <c r="AD46" s="131">
        <f t="shared" ref="AD46:AD53" si="98">SUM($H$7:$Y$7)</f>
        <v>95</v>
      </c>
      <c r="AE46" s="16"/>
      <c r="AF46" s="96"/>
      <c r="AG46" s="72"/>
      <c r="AH46" s="72">
        <v>800000</v>
      </c>
      <c r="AI46" s="72"/>
      <c r="AJ46" s="73" t="str">
        <f t="shared" ref="AJ46:AJ53" si="99">IF(AI46&gt;0,SUM(AH46)-SUM(AI46),"")</f>
        <v/>
      </c>
      <c r="AK46" s="101"/>
      <c r="AL46" s="48"/>
      <c r="AM46" s="104">
        <v>15</v>
      </c>
      <c r="AN46" s="74">
        <f>$M$3+AM46-1</f>
        <v>46126</v>
      </c>
      <c r="AO46" s="108">
        <f>AN46-AU46</f>
        <v>-81</v>
      </c>
      <c r="AP46" s="48"/>
      <c r="AQ46" s="110"/>
      <c r="AR46" s="75">
        <f>IFERROR(WORKDAY.INTL(AN46,AQ46,11),"")</f>
        <v>46126</v>
      </c>
      <c r="AS46" s="108">
        <f>AR46-AU46</f>
        <v>-81</v>
      </c>
      <c r="AT46" s="48"/>
      <c r="AU46" s="114">
        <f>IF(Y46&gt;0,Y46,IFERROR(MAX(_xlfn.XLOOKUP($AV46,$H$8:$Z$8,$G46:$Y46),$C$6)+(AN46-_xlfn.XLOOKUP($AV46,$H$8:$Z$8,$F46:$X46))*AD46/SUM($H$7:$Y$7),$C$6+SUM(AD46)))</f>
        <v>46207</v>
      </c>
      <c r="AV46" s="120" t="str" cm="1">
        <f t="array" ref="AV46">IF(OR(G46&gt;$C$6,G46=""),$F$8,INDEX($E$8:$Z$8,MATCH(TRUE,(F46:AA46=""),0)))</f>
        <v>1. Tender Docs &amp; BOQ</v>
      </c>
      <c r="AW46" s="117" t="b">
        <f>IF(AND(G46&gt;0,G46&lt;$C$6),TRUE,FALSE)</f>
        <v>0</v>
      </c>
      <c r="AX46" s="76" t="b">
        <f>IF(AND(I46&gt;0,I46&lt;$C$6),TRUE,FALSE)</f>
        <v>0</v>
      </c>
      <c r="AY46" s="76" t="b">
        <f>IF(AND(K46&gt;0,K46&lt;$C$6),TRUE,FALSE)</f>
        <v>0</v>
      </c>
      <c r="AZ46" s="76" t="b">
        <f>IF(AND(M46&gt;0,M46&lt;$C$6),TRUE,FALSE)</f>
        <v>0</v>
      </c>
      <c r="BA46" s="76" t="b">
        <f>IF(AND(O46&gt;0,O46&lt;$C$6),TRUE,FALSE)</f>
        <v>0</v>
      </c>
      <c r="BB46" s="76" t="b">
        <f>IF(AND(Q46&gt;0,Q46&lt;$C$6),TRUE,FALSE)</f>
        <v>0</v>
      </c>
      <c r="BC46" s="76" t="b">
        <f>IF(AND(S46&gt;0,S46&lt;$C$6),TRUE,FALSE)</f>
        <v>0</v>
      </c>
      <c r="BD46" s="76" t="b">
        <f>IF(AND(U46&gt;0,U46&lt;$C$6),TRUE,FALSE)</f>
        <v>0</v>
      </c>
      <c r="BE46" s="76" t="b">
        <f>IF(AND(W46&gt;0,W46&lt;$C$6),TRUE,FALSE)</f>
        <v>0</v>
      </c>
      <c r="BF46" s="76" t="b">
        <f>IF(AND(Y46&gt;0,Y46&lt;$C$6),TRUE,FALSE)</f>
        <v>0</v>
      </c>
      <c r="BG46" s="90" t="b">
        <f>IF(AND(AA46&gt;0,AA46&lt;$C$6),TRUE,FALSE)</f>
        <v>0</v>
      </c>
      <c r="BH46" s="48"/>
    </row>
    <row r="47" spans="1:60" ht="26.25" x14ac:dyDescent="0.25">
      <c r="A47" s="56" cm="1">
        <f t="array" ref="A47">SUMPRODUCT(($AV$10:$AV$53&lt;&gt;"")*(ROW($AV$10:$AV$53)&lt;=ROW()))</f>
        <v>31</v>
      </c>
      <c r="B47" s="57"/>
      <c r="C47" s="58" t="s">
        <v>299</v>
      </c>
      <c r="D47" s="93" t="s">
        <v>13</v>
      </c>
      <c r="E47" s="16"/>
      <c r="F47" s="29">
        <f>H47-$H$7</f>
        <v>46166</v>
      </c>
      <c r="G47" s="42"/>
      <c r="H47" s="29">
        <f>J47-$J$7</f>
        <v>46173</v>
      </c>
      <c r="I47" s="42"/>
      <c r="J47" s="29">
        <f>L47-$L$7</f>
        <v>46179</v>
      </c>
      <c r="K47" s="42"/>
      <c r="L47" s="29">
        <f>N47-$N$7</f>
        <v>46182</v>
      </c>
      <c r="M47" s="42"/>
      <c r="N47" s="29">
        <f>P47-$P$7</f>
        <v>46212</v>
      </c>
      <c r="O47" s="42"/>
      <c r="P47" s="29">
        <f>R47-$R$7</f>
        <v>46222</v>
      </c>
      <c r="Q47" s="42"/>
      <c r="R47" s="29">
        <f>T47-$T$7</f>
        <v>46242</v>
      </c>
      <c r="S47" s="42"/>
      <c r="T47" s="29">
        <f>V47-$V$7</f>
        <v>46249</v>
      </c>
      <c r="U47" s="42"/>
      <c r="V47" s="29">
        <f>X47-$X$7</f>
        <v>46256</v>
      </c>
      <c r="W47" s="42"/>
      <c r="X47" s="29">
        <f>AN47</f>
        <v>46261</v>
      </c>
      <c r="Y47" s="42"/>
      <c r="Z47" s="30">
        <f>X47+$Z$7</f>
        <v>46271</v>
      </c>
      <c r="AA47" s="42"/>
      <c r="AB47" s="31">
        <f>IF(AV47="10. Issued to Contractor","-",IF(AV47="11. Subcontract Agreement signed","-",MAX(AN47,AR47)-$C$6))</f>
        <v>149</v>
      </c>
      <c r="AC47" s="16"/>
      <c r="AD47" s="131">
        <f t="shared" si="98"/>
        <v>95</v>
      </c>
      <c r="AE47" s="16"/>
      <c r="AF47" s="95"/>
      <c r="AG47" s="67"/>
      <c r="AH47" s="67">
        <v>6500000</v>
      </c>
      <c r="AI47" s="67"/>
      <c r="AJ47" s="68" t="str">
        <f t="shared" si="99"/>
        <v/>
      </c>
      <c r="AK47" s="102"/>
      <c r="AL47" s="48"/>
      <c r="AM47" s="105">
        <v>150</v>
      </c>
      <c r="AN47" s="69">
        <f>$M$3+AM47-1</f>
        <v>46261</v>
      </c>
      <c r="AO47" s="107">
        <f>AN47-AU47</f>
        <v>54</v>
      </c>
      <c r="AP47" s="48"/>
      <c r="AQ47" s="111"/>
      <c r="AR47" s="70">
        <f>IFERROR(WORKDAY.INTL(AN47,AQ47,11),"")</f>
        <v>46261</v>
      </c>
      <c r="AS47" s="107">
        <f>AR47-AU47</f>
        <v>54</v>
      </c>
      <c r="AT47" s="48"/>
      <c r="AU47" s="113">
        <f>IF(Y47&gt;0,Y47,IFERROR(MAX(_xlfn.XLOOKUP($AV47,$H$8:$Z$8,$G47:$Y47),$C$6)+(AN47-_xlfn.XLOOKUP($AV47,$H$8:$Z$8,$F47:$X47))*AD47/SUM($H$7:$Y$7),$C$6+SUM(AD47)))</f>
        <v>46207</v>
      </c>
      <c r="AV47" s="119" t="str" cm="1">
        <f t="array" ref="AV47">IF(OR(G47&gt;$C$6,G47=""),$F$8,INDEX($E$8:$Z$8,MATCH(TRUE,(F47:AA47=""),0)))</f>
        <v>1. Tender Docs &amp; BOQ</v>
      </c>
      <c r="AW47" s="116" t="b">
        <f>IF(AND(G47&gt;0,G47&lt;$C$6),TRUE,FALSE)</f>
        <v>0</v>
      </c>
      <c r="AX47" s="71" t="b">
        <f>IF(AND(I47&gt;0,I47&lt;$C$6),TRUE,FALSE)</f>
        <v>0</v>
      </c>
      <c r="AY47" s="71" t="b">
        <f>IF(AND(K47&gt;0,K47&lt;$C$6),TRUE,FALSE)</f>
        <v>0</v>
      </c>
      <c r="AZ47" s="71" t="b">
        <f>IF(AND(M47&gt;0,M47&lt;$C$6),TRUE,FALSE)</f>
        <v>0</v>
      </c>
      <c r="BA47" s="71" t="b">
        <f>IF(AND(O47&gt;0,O47&lt;$C$6),TRUE,FALSE)</f>
        <v>0</v>
      </c>
      <c r="BB47" s="71" t="b">
        <f>IF(AND(Q47&gt;0,Q47&lt;$C$6),TRUE,FALSE)</f>
        <v>0</v>
      </c>
      <c r="BC47" s="71" t="b">
        <f>IF(AND(S47&gt;0,S47&lt;$C$6),TRUE,FALSE)</f>
        <v>0</v>
      </c>
      <c r="BD47" s="71" t="b">
        <f>IF(AND(U47&gt;0,U47&lt;$C$6),TRUE,FALSE)</f>
        <v>0</v>
      </c>
      <c r="BE47" s="71" t="b">
        <f>IF(AND(W47&gt;0,W47&lt;$C$6),TRUE,FALSE)</f>
        <v>0</v>
      </c>
      <c r="BF47" s="71" t="b">
        <f>IF(AND(Y47&gt;0,Y47&lt;$C$6),TRUE,FALSE)</f>
        <v>0</v>
      </c>
      <c r="BG47" s="89" t="b">
        <f>IF(AND(AA47&gt;0,AA47&lt;$C$6),TRUE,FALSE)</f>
        <v>0</v>
      </c>
      <c r="BH47" s="48"/>
    </row>
    <row r="48" spans="1:60" ht="26.25" x14ac:dyDescent="0.25">
      <c r="A48" s="56" cm="1">
        <f t="array" ref="A48">SUMPRODUCT(($AV$10:$AV$53&lt;&gt;"")*(ROW($AV$10:$AV$53)&lt;=ROW()))</f>
        <v>32</v>
      </c>
      <c r="B48" s="59"/>
      <c r="C48" s="60" t="s">
        <v>294</v>
      </c>
      <c r="D48" s="59" t="s">
        <v>13</v>
      </c>
      <c r="E48" s="43"/>
      <c r="F48" s="44">
        <f t="shared" ref="F48:F53" si="100">H48-$H$7</f>
        <v>46196</v>
      </c>
      <c r="G48" s="45"/>
      <c r="H48" s="44">
        <f t="shared" ref="H48:H53" si="101">J48-$J$7</f>
        <v>46203</v>
      </c>
      <c r="I48" s="45"/>
      <c r="J48" s="44">
        <f t="shared" ref="J48:J53" si="102">L48-$L$7</f>
        <v>46209</v>
      </c>
      <c r="K48" s="45"/>
      <c r="L48" s="44">
        <f t="shared" ref="L48:L53" si="103">N48-$N$7</f>
        <v>46212</v>
      </c>
      <c r="M48" s="45"/>
      <c r="N48" s="44">
        <f t="shared" ref="N48:N53" si="104">P48-$P$7</f>
        <v>46242</v>
      </c>
      <c r="O48" s="45"/>
      <c r="P48" s="44">
        <f t="shared" ref="P48:P53" si="105">R48-$R$7</f>
        <v>46252</v>
      </c>
      <c r="Q48" s="45"/>
      <c r="R48" s="44">
        <f t="shared" ref="R48:R53" si="106">T48-$T$7</f>
        <v>46272</v>
      </c>
      <c r="S48" s="45"/>
      <c r="T48" s="44">
        <f t="shared" ref="T48:T53" si="107">V48-$V$7</f>
        <v>46279</v>
      </c>
      <c r="U48" s="45"/>
      <c r="V48" s="44">
        <f t="shared" ref="V48:V53" si="108">X48-$X$7</f>
        <v>46286</v>
      </c>
      <c r="W48" s="45"/>
      <c r="X48" s="44">
        <f t="shared" ref="X48:X53" si="109">AN48</f>
        <v>46291</v>
      </c>
      <c r="Y48" s="45"/>
      <c r="Z48" s="46">
        <f t="shared" ref="Z48:Z53" si="110">X48+$Z$7</f>
        <v>46301</v>
      </c>
      <c r="AA48" s="45"/>
      <c r="AB48" s="32">
        <f t="shared" ref="AB48:AB53" si="111">IF(AV48="10. Issued to Contractor","-",IF(AV48="11. Subcontract Agreement signed","-",MAX(AN48,AR48)-$C$6))</f>
        <v>179</v>
      </c>
      <c r="AC48" s="16"/>
      <c r="AD48" s="131">
        <f t="shared" si="98"/>
        <v>95</v>
      </c>
      <c r="AE48" s="16"/>
      <c r="AF48" s="96"/>
      <c r="AG48" s="72"/>
      <c r="AH48" s="72">
        <v>170000</v>
      </c>
      <c r="AI48" s="72"/>
      <c r="AJ48" s="73" t="str">
        <f t="shared" si="99"/>
        <v/>
      </c>
      <c r="AK48" s="101"/>
      <c r="AL48" s="48"/>
      <c r="AM48" s="104">
        <v>180</v>
      </c>
      <c r="AN48" s="74">
        <f t="shared" ref="AN48:AN53" si="112">$M$3+AM48-1</f>
        <v>46291</v>
      </c>
      <c r="AO48" s="108">
        <f t="shared" ref="AO48:AO50" si="113">AN48-AU48</f>
        <v>84</v>
      </c>
      <c r="AP48" s="48"/>
      <c r="AQ48" s="110"/>
      <c r="AR48" s="75">
        <f t="shared" ref="AR48:AR50" si="114">IFERROR(WORKDAY.INTL(AN48,AQ48,11),"")</f>
        <v>46291</v>
      </c>
      <c r="AS48" s="108">
        <f t="shared" ref="AS48:AS50" si="115">AR48-AU48</f>
        <v>84</v>
      </c>
      <c r="AT48" s="48"/>
      <c r="AU48" s="114">
        <f t="shared" ref="AU48:AU53" si="116">IF(Y48&gt;0,Y48,IFERROR(MAX(_xlfn.XLOOKUP($AV48,$H$8:$Z$8,$G48:$Y48),$C$6)+(AN48-_xlfn.XLOOKUP($AV48,$H$8:$Z$8,$F48:$X48))*AD48/SUM($H$7:$Y$7),$C$6+SUM(AD48)))</f>
        <v>46207</v>
      </c>
      <c r="AV48" s="120" t="str" cm="1">
        <f t="array" ref="AV48">IF(OR(G48&gt;$C$6,G48=""),$F$8,INDEX($E$8:$Z$8,MATCH(TRUE,(F48:AA48=""),0)))</f>
        <v>1. Tender Docs &amp; BOQ</v>
      </c>
      <c r="AW48" s="117" t="b">
        <f t="shared" ref="AW48:AW53" si="117">IF(AND(G48&gt;0,G48&lt;$C$6),TRUE,FALSE)</f>
        <v>0</v>
      </c>
      <c r="AX48" s="76" t="b">
        <f t="shared" ref="AX48:AX53" si="118">IF(AND(I48&gt;0,I48&lt;$C$6),TRUE,FALSE)</f>
        <v>0</v>
      </c>
      <c r="AY48" s="76" t="b">
        <f t="shared" ref="AY48:AY53" si="119">IF(AND(K48&gt;0,K48&lt;$C$6),TRUE,FALSE)</f>
        <v>0</v>
      </c>
      <c r="AZ48" s="76" t="b">
        <f t="shared" ref="AZ48:AZ53" si="120">IF(AND(M48&gt;0,M48&lt;$C$6),TRUE,FALSE)</f>
        <v>0</v>
      </c>
      <c r="BA48" s="76" t="b">
        <f t="shared" ref="BA48:BA53" si="121">IF(AND(O48&gt;0,O48&lt;$C$6),TRUE,FALSE)</f>
        <v>0</v>
      </c>
      <c r="BB48" s="76" t="b">
        <f t="shared" ref="BB48:BB53" si="122">IF(AND(Q48&gt;0,Q48&lt;$C$6),TRUE,FALSE)</f>
        <v>0</v>
      </c>
      <c r="BC48" s="76" t="b">
        <f t="shared" ref="BC48:BC53" si="123">IF(AND(S48&gt;0,S48&lt;$C$6),TRUE,FALSE)</f>
        <v>0</v>
      </c>
      <c r="BD48" s="76" t="b">
        <f t="shared" ref="BD48:BD53" si="124">IF(AND(U48&gt;0,U48&lt;$C$6),TRUE,FALSE)</f>
        <v>0</v>
      </c>
      <c r="BE48" s="76" t="b">
        <f t="shared" ref="BE48:BE53" si="125">IF(AND(W48&gt;0,W48&lt;$C$6),TRUE,FALSE)</f>
        <v>0</v>
      </c>
      <c r="BF48" s="76" t="b">
        <f t="shared" ref="BF48:BF53" si="126">IF(AND(Y48&gt;0,Y48&lt;$C$6),TRUE,FALSE)</f>
        <v>0</v>
      </c>
      <c r="BG48" s="90" t="b">
        <f t="shared" ref="BG48:BG53" si="127">IF(AND(AA48&gt;0,AA48&lt;$C$6),TRUE,FALSE)</f>
        <v>0</v>
      </c>
      <c r="BH48" s="48"/>
    </row>
    <row r="49" spans="1:60" ht="26.25" x14ac:dyDescent="0.25">
      <c r="A49" s="56" cm="1">
        <f t="array" ref="A49">SUMPRODUCT(($AV$10:$AV$53&lt;&gt;"")*(ROW($AV$10:$AV$53)&lt;=ROW()))</f>
        <v>33</v>
      </c>
      <c r="B49" s="57"/>
      <c r="C49" s="58" t="s">
        <v>295</v>
      </c>
      <c r="D49" s="93" t="s">
        <v>13</v>
      </c>
      <c r="E49" s="16"/>
      <c r="F49" s="29">
        <f t="shared" si="100"/>
        <v>46196</v>
      </c>
      <c r="G49" s="42"/>
      <c r="H49" s="29">
        <f t="shared" si="101"/>
        <v>46203</v>
      </c>
      <c r="I49" s="42"/>
      <c r="J49" s="29">
        <f t="shared" si="102"/>
        <v>46209</v>
      </c>
      <c r="K49" s="42"/>
      <c r="L49" s="29">
        <f t="shared" si="103"/>
        <v>46212</v>
      </c>
      <c r="M49" s="42"/>
      <c r="N49" s="29">
        <f t="shared" si="104"/>
        <v>46242</v>
      </c>
      <c r="O49" s="42"/>
      <c r="P49" s="29">
        <f t="shared" si="105"/>
        <v>46252</v>
      </c>
      <c r="Q49" s="42"/>
      <c r="R49" s="29">
        <f t="shared" si="106"/>
        <v>46272</v>
      </c>
      <c r="S49" s="42"/>
      <c r="T49" s="29">
        <f t="shared" si="107"/>
        <v>46279</v>
      </c>
      <c r="U49" s="42"/>
      <c r="V49" s="29">
        <f t="shared" si="108"/>
        <v>46286</v>
      </c>
      <c r="W49" s="42"/>
      <c r="X49" s="29">
        <f t="shared" si="109"/>
        <v>46291</v>
      </c>
      <c r="Y49" s="42"/>
      <c r="Z49" s="30">
        <f t="shared" si="110"/>
        <v>46301</v>
      </c>
      <c r="AA49" s="42"/>
      <c r="AB49" s="31">
        <f t="shared" si="111"/>
        <v>179</v>
      </c>
      <c r="AC49" s="16"/>
      <c r="AD49" s="131">
        <f t="shared" si="98"/>
        <v>95</v>
      </c>
      <c r="AE49" s="16"/>
      <c r="AF49" s="95"/>
      <c r="AG49" s="67"/>
      <c r="AH49" s="67">
        <v>177000</v>
      </c>
      <c r="AI49" s="67"/>
      <c r="AJ49" s="68" t="str">
        <f t="shared" si="99"/>
        <v/>
      </c>
      <c r="AK49" s="102"/>
      <c r="AL49" s="48"/>
      <c r="AM49" s="105">
        <v>180</v>
      </c>
      <c r="AN49" s="69">
        <f t="shared" si="112"/>
        <v>46291</v>
      </c>
      <c r="AO49" s="107">
        <f t="shared" si="113"/>
        <v>84</v>
      </c>
      <c r="AP49" s="48"/>
      <c r="AQ49" s="111"/>
      <c r="AR49" s="70">
        <f t="shared" si="114"/>
        <v>46291</v>
      </c>
      <c r="AS49" s="107">
        <f t="shared" si="115"/>
        <v>84</v>
      </c>
      <c r="AT49" s="48"/>
      <c r="AU49" s="113">
        <f t="shared" si="116"/>
        <v>46207</v>
      </c>
      <c r="AV49" s="119" t="str" cm="1">
        <f t="array" ref="AV49">IF(OR(G49&gt;$C$6,G49=""),$F$8,INDEX($E$8:$Z$8,MATCH(TRUE,(F49:AA49=""),0)))</f>
        <v>1. Tender Docs &amp; BOQ</v>
      </c>
      <c r="AW49" s="116" t="b">
        <f t="shared" si="117"/>
        <v>0</v>
      </c>
      <c r="AX49" s="71" t="b">
        <f t="shared" si="118"/>
        <v>0</v>
      </c>
      <c r="AY49" s="71" t="b">
        <f t="shared" si="119"/>
        <v>0</v>
      </c>
      <c r="AZ49" s="71" t="b">
        <f t="shared" si="120"/>
        <v>0</v>
      </c>
      <c r="BA49" s="71" t="b">
        <f t="shared" si="121"/>
        <v>0</v>
      </c>
      <c r="BB49" s="71" t="b">
        <f t="shared" si="122"/>
        <v>0</v>
      </c>
      <c r="BC49" s="71" t="b">
        <f t="shared" si="123"/>
        <v>0</v>
      </c>
      <c r="BD49" s="71" t="b">
        <f t="shared" si="124"/>
        <v>0</v>
      </c>
      <c r="BE49" s="71" t="b">
        <f t="shared" si="125"/>
        <v>0</v>
      </c>
      <c r="BF49" s="71" t="b">
        <f t="shared" si="126"/>
        <v>0</v>
      </c>
      <c r="BG49" s="89" t="b">
        <f t="shared" si="127"/>
        <v>0</v>
      </c>
      <c r="BH49" s="48"/>
    </row>
    <row r="50" spans="1:60" ht="30" x14ac:dyDescent="0.25">
      <c r="A50" s="56" cm="1">
        <f t="array" ref="A50">SUMPRODUCT(($AV$10:$AV$53&lt;&gt;"")*(ROW($AV$10:$AV$53)&lt;=ROW()))</f>
        <v>34</v>
      </c>
      <c r="B50" s="59"/>
      <c r="C50" s="60" t="s">
        <v>296</v>
      </c>
      <c r="D50" s="59" t="s">
        <v>13</v>
      </c>
      <c r="E50" s="43"/>
      <c r="F50" s="44">
        <f t="shared" si="100"/>
        <v>46196</v>
      </c>
      <c r="G50" s="45"/>
      <c r="H50" s="44">
        <f t="shared" si="101"/>
        <v>46203</v>
      </c>
      <c r="I50" s="45"/>
      <c r="J50" s="44">
        <f t="shared" si="102"/>
        <v>46209</v>
      </c>
      <c r="K50" s="45"/>
      <c r="L50" s="44">
        <f t="shared" si="103"/>
        <v>46212</v>
      </c>
      <c r="M50" s="45"/>
      <c r="N50" s="44">
        <f t="shared" si="104"/>
        <v>46242</v>
      </c>
      <c r="O50" s="45"/>
      <c r="P50" s="44">
        <f t="shared" si="105"/>
        <v>46252</v>
      </c>
      <c r="Q50" s="45"/>
      <c r="R50" s="44">
        <f t="shared" si="106"/>
        <v>46272</v>
      </c>
      <c r="S50" s="45"/>
      <c r="T50" s="44">
        <f t="shared" si="107"/>
        <v>46279</v>
      </c>
      <c r="U50" s="45"/>
      <c r="V50" s="44">
        <f t="shared" si="108"/>
        <v>46286</v>
      </c>
      <c r="W50" s="45"/>
      <c r="X50" s="44">
        <f t="shared" si="109"/>
        <v>46291</v>
      </c>
      <c r="Y50" s="45"/>
      <c r="Z50" s="46">
        <f t="shared" si="110"/>
        <v>46301</v>
      </c>
      <c r="AA50" s="45"/>
      <c r="AB50" s="32">
        <f t="shared" si="111"/>
        <v>179</v>
      </c>
      <c r="AC50" s="16"/>
      <c r="AD50" s="131">
        <f t="shared" si="98"/>
        <v>95</v>
      </c>
      <c r="AE50" s="16"/>
      <c r="AF50" s="96"/>
      <c r="AG50" s="72"/>
      <c r="AH50" s="72">
        <v>91000</v>
      </c>
      <c r="AI50" s="72"/>
      <c r="AJ50" s="73" t="str">
        <f t="shared" si="99"/>
        <v/>
      </c>
      <c r="AK50" s="101"/>
      <c r="AL50" s="48"/>
      <c r="AM50" s="104">
        <v>180</v>
      </c>
      <c r="AN50" s="74">
        <f t="shared" si="112"/>
        <v>46291</v>
      </c>
      <c r="AO50" s="108">
        <f t="shared" si="113"/>
        <v>84</v>
      </c>
      <c r="AP50" s="48"/>
      <c r="AQ50" s="110"/>
      <c r="AR50" s="75">
        <f t="shared" si="114"/>
        <v>46291</v>
      </c>
      <c r="AS50" s="108">
        <f t="shared" si="115"/>
        <v>84</v>
      </c>
      <c r="AT50" s="48"/>
      <c r="AU50" s="114">
        <f t="shared" si="116"/>
        <v>46207</v>
      </c>
      <c r="AV50" s="120" t="str" cm="1">
        <f t="array" ref="AV50">IF(OR(G50&gt;$C$6,G50=""),$F$8,INDEX($E$8:$Z$8,MATCH(TRUE,(F50:AA50=""),0)))</f>
        <v>1. Tender Docs &amp; BOQ</v>
      </c>
      <c r="AW50" s="117" t="b">
        <f t="shared" si="117"/>
        <v>0</v>
      </c>
      <c r="AX50" s="76" t="b">
        <f t="shared" si="118"/>
        <v>0</v>
      </c>
      <c r="AY50" s="76" t="b">
        <f t="shared" si="119"/>
        <v>0</v>
      </c>
      <c r="AZ50" s="76" t="b">
        <f t="shared" si="120"/>
        <v>0</v>
      </c>
      <c r="BA50" s="76" t="b">
        <f t="shared" si="121"/>
        <v>0</v>
      </c>
      <c r="BB50" s="76" t="b">
        <f t="shared" si="122"/>
        <v>0</v>
      </c>
      <c r="BC50" s="76" t="b">
        <f t="shared" si="123"/>
        <v>0</v>
      </c>
      <c r="BD50" s="76" t="b">
        <f t="shared" si="124"/>
        <v>0</v>
      </c>
      <c r="BE50" s="76" t="b">
        <f t="shared" si="125"/>
        <v>0</v>
      </c>
      <c r="BF50" s="76" t="b">
        <f t="shared" si="126"/>
        <v>0</v>
      </c>
      <c r="BG50" s="90" t="b">
        <f t="shared" si="127"/>
        <v>0</v>
      </c>
      <c r="BH50" s="48"/>
    </row>
    <row r="51" spans="1:60" ht="30" x14ac:dyDescent="0.25">
      <c r="A51" s="56" cm="1">
        <f t="array" ref="A51">SUMPRODUCT(($AV$10:$AV$53&lt;&gt;"")*(ROW($AV$10:$AV$53)&lt;=ROW()))</f>
        <v>35</v>
      </c>
      <c r="B51" s="57"/>
      <c r="C51" s="58" t="s">
        <v>297</v>
      </c>
      <c r="D51" s="93" t="s">
        <v>13</v>
      </c>
      <c r="E51" s="16"/>
      <c r="F51" s="29">
        <f t="shared" si="100"/>
        <v>46196</v>
      </c>
      <c r="G51" s="42"/>
      <c r="H51" s="29">
        <f t="shared" si="101"/>
        <v>46203</v>
      </c>
      <c r="I51" s="42"/>
      <c r="J51" s="29">
        <f t="shared" si="102"/>
        <v>46209</v>
      </c>
      <c r="K51" s="42"/>
      <c r="L51" s="29">
        <f t="shared" si="103"/>
        <v>46212</v>
      </c>
      <c r="M51" s="42"/>
      <c r="N51" s="29">
        <f t="shared" si="104"/>
        <v>46242</v>
      </c>
      <c r="O51" s="42"/>
      <c r="P51" s="29">
        <f t="shared" si="105"/>
        <v>46252</v>
      </c>
      <c r="Q51" s="42"/>
      <c r="R51" s="29">
        <f t="shared" si="106"/>
        <v>46272</v>
      </c>
      <c r="S51" s="42"/>
      <c r="T51" s="29">
        <f t="shared" si="107"/>
        <v>46279</v>
      </c>
      <c r="U51" s="42"/>
      <c r="V51" s="29">
        <f t="shared" si="108"/>
        <v>46286</v>
      </c>
      <c r="W51" s="42"/>
      <c r="X51" s="29">
        <f t="shared" si="109"/>
        <v>46291</v>
      </c>
      <c r="Y51" s="42"/>
      <c r="Z51" s="30">
        <f t="shared" si="110"/>
        <v>46301</v>
      </c>
      <c r="AA51" s="42"/>
      <c r="AB51" s="31">
        <f t="shared" si="111"/>
        <v>179</v>
      </c>
      <c r="AC51" s="16"/>
      <c r="AD51" s="131">
        <f t="shared" si="98"/>
        <v>95</v>
      </c>
      <c r="AE51" s="16"/>
      <c r="AF51" s="95"/>
      <c r="AG51" s="67"/>
      <c r="AH51" s="67">
        <v>142000</v>
      </c>
      <c r="AI51" s="67"/>
      <c r="AJ51" s="68" t="str">
        <f t="shared" si="99"/>
        <v/>
      </c>
      <c r="AK51" s="102"/>
      <c r="AL51" s="48"/>
      <c r="AM51" s="105">
        <v>180</v>
      </c>
      <c r="AN51" s="69">
        <f t="shared" si="112"/>
        <v>46291</v>
      </c>
      <c r="AO51" s="107">
        <f>AN51-AU51</f>
        <v>84</v>
      </c>
      <c r="AP51" s="48"/>
      <c r="AQ51" s="111"/>
      <c r="AR51" s="70">
        <f>IFERROR(WORKDAY.INTL(AN51,AQ51,11),"")</f>
        <v>46291</v>
      </c>
      <c r="AS51" s="107">
        <f>AR51-AU51</f>
        <v>84</v>
      </c>
      <c r="AT51" s="48"/>
      <c r="AU51" s="113">
        <f t="shared" si="116"/>
        <v>46207</v>
      </c>
      <c r="AV51" s="119" t="str" cm="1">
        <f t="array" ref="AV51">IF(OR(G51&gt;$C$6,G51=""),$F$8,INDEX($E$8:$Z$8,MATCH(TRUE,(F51:AA51=""),0)))</f>
        <v>1. Tender Docs &amp; BOQ</v>
      </c>
      <c r="AW51" s="116" t="b">
        <f t="shared" si="117"/>
        <v>0</v>
      </c>
      <c r="AX51" s="71" t="b">
        <f t="shared" si="118"/>
        <v>0</v>
      </c>
      <c r="AY51" s="71" t="b">
        <f t="shared" si="119"/>
        <v>0</v>
      </c>
      <c r="AZ51" s="71" t="b">
        <f t="shared" si="120"/>
        <v>0</v>
      </c>
      <c r="BA51" s="71" t="b">
        <f t="shared" si="121"/>
        <v>0</v>
      </c>
      <c r="BB51" s="71" t="b">
        <f t="shared" si="122"/>
        <v>0</v>
      </c>
      <c r="BC51" s="71" t="b">
        <f t="shared" si="123"/>
        <v>0</v>
      </c>
      <c r="BD51" s="71" t="b">
        <f t="shared" si="124"/>
        <v>0</v>
      </c>
      <c r="BE51" s="71" t="b">
        <f t="shared" si="125"/>
        <v>0</v>
      </c>
      <c r="BF51" s="71" t="b">
        <f t="shared" si="126"/>
        <v>0</v>
      </c>
      <c r="BG51" s="89" t="b">
        <f t="shared" si="127"/>
        <v>0</v>
      </c>
      <c r="BH51" s="48"/>
    </row>
    <row r="52" spans="1:60" ht="26.25" x14ac:dyDescent="0.25">
      <c r="A52" s="56" cm="1">
        <f t="array" ref="A52">SUMPRODUCT(($AV$10:$AV$53&lt;&gt;"")*(ROW($AV$10:$AV$53)&lt;=ROW()))</f>
        <v>36</v>
      </c>
      <c r="B52" s="59"/>
      <c r="C52" s="60" t="s">
        <v>300</v>
      </c>
      <c r="D52" s="59" t="s">
        <v>7</v>
      </c>
      <c r="E52" s="43"/>
      <c r="F52" s="44">
        <f t="shared" si="100"/>
        <v>46316</v>
      </c>
      <c r="G52" s="45"/>
      <c r="H52" s="44">
        <f t="shared" si="101"/>
        <v>46323</v>
      </c>
      <c r="I52" s="45"/>
      <c r="J52" s="44">
        <f t="shared" si="102"/>
        <v>46329</v>
      </c>
      <c r="K52" s="45"/>
      <c r="L52" s="44">
        <f t="shared" si="103"/>
        <v>46332</v>
      </c>
      <c r="M52" s="45"/>
      <c r="N52" s="44">
        <f t="shared" si="104"/>
        <v>46362</v>
      </c>
      <c r="O52" s="45"/>
      <c r="P52" s="44">
        <f t="shared" si="105"/>
        <v>46372</v>
      </c>
      <c r="Q52" s="45"/>
      <c r="R52" s="44">
        <f t="shared" si="106"/>
        <v>46392</v>
      </c>
      <c r="S52" s="45"/>
      <c r="T52" s="44">
        <f t="shared" si="107"/>
        <v>46399</v>
      </c>
      <c r="U52" s="45"/>
      <c r="V52" s="44">
        <f t="shared" si="108"/>
        <v>46406</v>
      </c>
      <c r="W52" s="45"/>
      <c r="X52" s="44">
        <f t="shared" si="109"/>
        <v>46411</v>
      </c>
      <c r="Y52" s="45"/>
      <c r="Z52" s="46">
        <f t="shared" si="110"/>
        <v>46421</v>
      </c>
      <c r="AA52" s="45"/>
      <c r="AB52" s="32">
        <f t="shared" si="111"/>
        <v>299</v>
      </c>
      <c r="AC52" s="16"/>
      <c r="AD52" s="131">
        <f t="shared" si="98"/>
        <v>95</v>
      </c>
      <c r="AE52" s="16"/>
      <c r="AF52" s="96"/>
      <c r="AG52" s="72"/>
      <c r="AH52" s="72">
        <v>800000</v>
      </c>
      <c r="AI52" s="72"/>
      <c r="AJ52" s="73" t="str">
        <f t="shared" si="99"/>
        <v/>
      </c>
      <c r="AK52" s="101"/>
      <c r="AL52" s="48"/>
      <c r="AM52" s="104">
        <v>300</v>
      </c>
      <c r="AN52" s="74">
        <f t="shared" si="112"/>
        <v>46411</v>
      </c>
      <c r="AO52" s="108">
        <f t="shared" ref="AO52:AO53" si="128">AN52-AU52</f>
        <v>204</v>
      </c>
      <c r="AP52" s="48"/>
      <c r="AQ52" s="110"/>
      <c r="AR52" s="75">
        <f t="shared" ref="AR52:AR53" si="129">IFERROR(WORKDAY.INTL(AN52,AQ52,11),"")</f>
        <v>46411</v>
      </c>
      <c r="AS52" s="108">
        <f t="shared" ref="AS52:AS53" si="130">AR52-AU52</f>
        <v>204</v>
      </c>
      <c r="AT52" s="48"/>
      <c r="AU52" s="114">
        <f t="shared" si="116"/>
        <v>46207</v>
      </c>
      <c r="AV52" s="120" t="str" cm="1">
        <f t="array" ref="AV52">IF(OR(G52&gt;$C$6,G52=""),$F$8,INDEX($E$8:$Z$8,MATCH(TRUE,(F52:AA52=""),0)))</f>
        <v>1. Tender Docs &amp; BOQ</v>
      </c>
      <c r="AW52" s="117" t="b">
        <f t="shared" si="117"/>
        <v>0</v>
      </c>
      <c r="AX52" s="76" t="b">
        <f t="shared" si="118"/>
        <v>0</v>
      </c>
      <c r="AY52" s="76" t="b">
        <f t="shared" si="119"/>
        <v>0</v>
      </c>
      <c r="AZ52" s="76" t="b">
        <f t="shared" si="120"/>
        <v>0</v>
      </c>
      <c r="BA52" s="76" t="b">
        <f t="shared" si="121"/>
        <v>0</v>
      </c>
      <c r="BB52" s="76" t="b">
        <f t="shared" si="122"/>
        <v>0</v>
      </c>
      <c r="BC52" s="76" t="b">
        <f t="shared" si="123"/>
        <v>0</v>
      </c>
      <c r="BD52" s="76" t="b">
        <f t="shared" si="124"/>
        <v>0</v>
      </c>
      <c r="BE52" s="76" t="b">
        <f t="shared" si="125"/>
        <v>0</v>
      </c>
      <c r="BF52" s="76" t="b">
        <f t="shared" si="126"/>
        <v>0</v>
      </c>
      <c r="BG52" s="90" t="b">
        <f t="shared" si="127"/>
        <v>0</v>
      </c>
      <c r="BH52" s="48"/>
    </row>
    <row r="53" spans="1:60" ht="30" x14ac:dyDescent="0.25">
      <c r="A53" s="56" cm="1">
        <f t="array" ref="A53">SUMPRODUCT(($AV$10:$AV$53&lt;&gt;"")*(ROW($AV$10:$AV$53)&lt;=ROW()))</f>
        <v>37</v>
      </c>
      <c r="B53" s="57"/>
      <c r="C53" s="58" t="s">
        <v>301</v>
      </c>
      <c r="D53" s="93" t="s">
        <v>107</v>
      </c>
      <c r="E53" s="16"/>
      <c r="F53" s="29">
        <f t="shared" si="100"/>
        <v>46316</v>
      </c>
      <c r="G53" s="42"/>
      <c r="H53" s="29">
        <f t="shared" si="101"/>
        <v>46323</v>
      </c>
      <c r="I53" s="42"/>
      <c r="J53" s="29">
        <f t="shared" si="102"/>
        <v>46329</v>
      </c>
      <c r="K53" s="42"/>
      <c r="L53" s="29">
        <f t="shared" si="103"/>
        <v>46332</v>
      </c>
      <c r="M53" s="42"/>
      <c r="N53" s="29">
        <f t="shared" si="104"/>
        <v>46362</v>
      </c>
      <c r="O53" s="42"/>
      <c r="P53" s="29">
        <f t="shared" si="105"/>
        <v>46372</v>
      </c>
      <c r="Q53" s="42"/>
      <c r="R53" s="29">
        <f t="shared" si="106"/>
        <v>46392</v>
      </c>
      <c r="S53" s="42"/>
      <c r="T53" s="29">
        <f t="shared" si="107"/>
        <v>46399</v>
      </c>
      <c r="U53" s="42"/>
      <c r="V53" s="29">
        <f t="shared" si="108"/>
        <v>46406</v>
      </c>
      <c r="W53" s="42"/>
      <c r="X53" s="29">
        <f t="shared" si="109"/>
        <v>46411</v>
      </c>
      <c r="Y53" s="42"/>
      <c r="Z53" s="30">
        <f t="shared" si="110"/>
        <v>46421</v>
      </c>
      <c r="AA53" s="42"/>
      <c r="AB53" s="31">
        <f t="shared" si="111"/>
        <v>299</v>
      </c>
      <c r="AC53" s="16"/>
      <c r="AD53" s="131">
        <f t="shared" si="98"/>
        <v>95</v>
      </c>
      <c r="AE53" s="16"/>
      <c r="AF53" s="97"/>
      <c r="AG53" s="67"/>
      <c r="AH53" s="67">
        <v>728000</v>
      </c>
      <c r="AI53" s="67"/>
      <c r="AJ53" s="68" t="str">
        <f t="shared" si="99"/>
        <v/>
      </c>
      <c r="AK53" s="102"/>
      <c r="AL53" s="48"/>
      <c r="AM53" s="105">
        <f>AM52</f>
        <v>300</v>
      </c>
      <c r="AN53" s="69">
        <f t="shared" si="112"/>
        <v>46411</v>
      </c>
      <c r="AO53" s="107">
        <f t="shared" si="128"/>
        <v>204</v>
      </c>
      <c r="AP53" s="48"/>
      <c r="AQ53" s="111"/>
      <c r="AR53" s="70">
        <f t="shared" si="129"/>
        <v>46411</v>
      </c>
      <c r="AS53" s="107">
        <f t="shared" si="130"/>
        <v>204</v>
      </c>
      <c r="AT53" s="48"/>
      <c r="AU53" s="113">
        <f t="shared" si="116"/>
        <v>46207</v>
      </c>
      <c r="AV53" s="119" t="str" cm="1">
        <f t="array" ref="AV53">IF(OR(G53&gt;$C$6,G53=""),$F$8,INDEX($E$8:$Z$8,MATCH(TRUE,(F53:AA53=""),0)))</f>
        <v>1. Tender Docs &amp; BOQ</v>
      </c>
      <c r="AW53" s="116" t="b">
        <f t="shared" si="117"/>
        <v>0</v>
      </c>
      <c r="AX53" s="71" t="b">
        <f t="shared" si="118"/>
        <v>0</v>
      </c>
      <c r="AY53" s="71" t="b">
        <f t="shared" si="119"/>
        <v>0</v>
      </c>
      <c r="AZ53" s="71" t="b">
        <f t="shared" si="120"/>
        <v>0</v>
      </c>
      <c r="BA53" s="71" t="b">
        <f t="shared" si="121"/>
        <v>0</v>
      </c>
      <c r="BB53" s="71" t="b">
        <f t="shared" si="122"/>
        <v>0</v>
      </c>
      <c r="BC53" s="71" t="b">
        <f t="shared" si="123"/>
        <v>0</v>
      </c>
      <c r="BD53" s="71" t="b">
        <f t="shared" si="124"/>
        <v>0</v>
      </c>
      <c r="BE53" s="71" t="b">
        <f t="shared" si="125"/>
        <v>0</v>
      </c>
      <c r="BF53" s="71" t="b">
        <f t="shared" si="126"/>
        <v>0</v>
      </c>
      <c r="BG53" s="89" t="b">
        <f t="shared" si="127"/>
        <v>0</v>
      </c>
      <c r="BH53" s="48"/>
    </row>
    <row r="54" spans="1:60" ht="26.25" x14ac:dyDescent="0.25">
      <c r="A54" s="8"/>
      <c r="B54" s="8"/>
      <c r="C54" s="34" t="s">
        <v>189</v>
      </c>
      <c r="D54" s="100"/>
      <c r="E54" s="16"/>
      <c r="F54" s="123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124"/>
      <c r="AC54" s="16"/>
      <c r="AD54" s="130"/>
      <c r="AE54" s="16"/>
      <c r="AF54" s="99">
        <f>SUM(AF10:AF53)</f>
        <v>0</v>
      </c>
      <c r="AG54" s="10">
        <f>SUM(AG10:AG53)</f>
        <v>0</v>
      </c>
      <c r="AH54" s="10">
        <f>SUM(AH10:AH53)</f>
        <v>98594000</v>
      </c>
      <c r="AI54" s="10">
        <f>SUM(AI10:AI53)</f>
        <v>0</v>
      </c>
      <c r="AJ54" s="10">
        <f>SUM(AJ10:AJ53)</f>
        <v>0</v>
      </c>
      <c r="AK54" s="9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92"/>
      <c r="BH54" s="48"/>
    </row>
    <row r="55" spans="1:60" x14ac:dyDescent="0.25">
      <c r="C55" s="174" t="s">
        <v>474</v>
      </c>
    </row>
    <row r="56" spans="1:60" x14ac:dyDescent="0.25">
      <c r="C56" s="191">
        <v>46126</v>
      </c>
    </row>
    <row r="58" spans="1:60" x14ac:dyDescent="0.25">
      <c r="B58" s="189">
        <v>1</v>
      </c>
      <c r="C58" s="174" t="s">
        <v>476</v>
      </c>
      <c r="AF58" s="3" t="s">
        <v>479</v>
      </c>
    </row>
    <row r="59" spans="1:60" x14ac:dyDescent="0.25">
      <c r="B59" s="189">
        <v>2</v>
      </c>
      <c r="C59" s="174"/>
    </row>
    <row r="60" spans="1:60" x14ac:dyDescent="0.25">
      <c r="B60" s="189">
        <v>3</v>
      </c>
      <c r="C60" s="174"/>
    </row>
    <row r="61" spans="1:60" x14ac:dyDescent="0.25">
      <c r="B61" s="189">
        <v>4</v>
      </c>
      <c r="C61" s="174"/>
    </row>
    <row r="62" spans="1:60" x14ac:dyDescent="0.25">
      <c r="B62" s="189">
        <v>5</v>
      </c>
      <c r="C62" s="174"/>
    </row>
    <row r="63" spans="1:60" x14ac:dyDescent="0.25">
      <c r="B63" s="189">
        <v>6</v>
      </c>
      <c r="C63" s="174"/>
    </row>
    <row r="64" spans="1:60" x14ac:dyDescent="0.25">
      <c r="B64" s="189">
        <v>7</v>
      </c>
      <c r="C64" s="174"/>
    </row>
    <row r="65" spans="2:3" x14ac:dyDescent="0.25">
      <c r="B65" s="189">
        <v>8</v>
      </c>
      <c r="C65" s="174"/>
    </row>
    <row r="66" spans="2:3" x14ac:dyDescent="0.25">
      <c r="B66" s="189">
        <v>9</v>
      </c>
      <c r="C66" s="174"/>
    </row>
  </sheetData>
  <sheetProtection formatColumns="0" formatRows="0" autoFilter="0"/>
  <mergeCells count="75">
    <mergeCell ref="AU7:AU9"/>
    <mergeCell ref="AG7:AG9"/>
    <mergeCell ref="AH7:AH9"/>
    <mergeCell ref="AI7:AI9"/>
    <mergeCell ref="AJ7:AJ9"/>
    <mergeCell ref="AK7:AK9"/>
    <mergeCell ref="AN7:AN9"/>
    <mergeCell ref="AO7:AO9"/>
    <mergeCell ref="AQ7:AQ9"/>
    <mergeCell ref="AR7:AR9"/>
    <mergeCell ref="AS7:AS9"/>
    <mergeCell ref="AM7:AM9"/>
    <mergeCell ref="BF7:BF9"/>
    <mergeCell ref="BG7:BG9"/>
    <mergeCell ref="AV7:AV9"/>
    <mergeCell ref="AW7:AW9"/>
    <mergeCell ref="AX7:AX9"/>
    <mergeCell ref="AY7:AY9"/>
    <mergeCell ref="AZ7:AZ9"/>
    <mergeCell ref="BA7:BA9"/>
    <mergeCell ref="BB7:BB9"/>
    <mergeCell ref="BC7:BC9"/>
    <mergeCell ref="BD7:BD9"/>
    <mergeCell ref="BE7:BE9"/>
    <mergeCell ref="AF7:AF9"/>
    <mergeCell ref="V8:W8"/>
    <mergeCell ref="X8:Y8"/>
    <mergeCell ref="Z8:AA8"/>
    <mergeCell ref="T7:U7"/>
    <mergeCell ref="V7:W7"/>
    <mergeCell ref="X7:Y7"/>
    <mergeCell ref="Z7:AA7"/>
    <mergeCell ref="AB7:AB9"/>
    <mergeCell ref="AD7:AD9"/>
    <mergeCell ref="A7:A9"/>
    <mergeCell ref="B7:B9"/>
    <mergeCell ref="C7:C9"/>
    <mergeCell ref="D7:D9"/>
    <mergeCell ref="F7:G7"/>
    <mergeCell ref="H7:I7"/>
    <mergeCell ref="F8:G8"/>
    <mergeCell ref="H8:I8"/>
    <mergeCell ref="J7:K7"/>
    <mergeCell ref="L7:M7"/>
    <mergeCell ref="L8:M8"/>
    <mergeCell ref="N7:O7"/>
    <mergeCell ref="P7:Q7"/>
    <mergeCell ref="R7:S7"/>
    <mergeCell ref="T8:U8"/>
    <mergeCell ref="J8:K8"/>
    <mergeCell ref="N8:O8"/>
    <mergeCell ref="P8:Q8"/>
    <mergeCell ref="R8:S8"/>
    <mergeCell ref="H3:H4"/>
    <mergeCell ref="I3:I4"/>
    <mergeCell ref="J3:J4"/>
    <mergeCell ref="K3:K4"/>
    <mergeCell ref="L3:L4"/>
    <mergeCell ref="M3:N4"/>
    <mergeCell ref="I1:I2"/>
    <mergeCell ref="J1:J2"/>
    <mergeCell ref="K1:K2"/>
    <mergeCell ref="L1:L2"/>
    <mergeCell ref="M1:N2"/>
    <mergeCell ref="A3:B4"/>
    <mergeCell ref="C3:C4"/>
    <mergeCell ref="D3:D4"/>
    <mergeCell ref="F3:F4"/>
    <mergeCell ref="G3:G4"/>
    <mergeCell ref="H1:H2"/>
    <mergeCell ref="A1:B2"/>
    <mergeCell ref="C1:C2"/>
    <mergeCell ref="D1:D2"/>
    <mergeCell ref="F1:F2"/>
    <mergeCell ref="G1:G2"/>
  </mergeCells>
  <conditionalFormatting sqref="G11:G12 I11:I12 K11:K12 M11:M12 O11:O12 Q11:Q12 S11:S12 U11:U12 W11:W12 Y11:Y12 AA11:AA12 G14 I14 K14 M14 O14 Q14 S14 U14 W14 Y14 AA14 G16:G19 I16:I19 K16:K19 M16:M19 O16:O19 Q16:Q19 S16:S19 U16:U19 W16:W19 Y16:Y19 AA16:AA19 G21:G23 I21:I23 K21:K23 M21:M23 O21:O23 Q21:Q23 S21:S23 U21:U23 W21:W23 Y21:Y23 AA21:AA23 G25:G33 I25:I33 K25:K33 M25:M33 O25:O33 Q25:Q33 S25:S33 U25:U33 W25:W33 Y25:Y33 AA25:AA33 G35:G44 I35:I44 K35:K44 M35:M44 O35:O44 Q35:Q44 S35:S44 U35:U44 W35:W44 Y35:Y44 AA35:AA44 G46:G53 I46:I53 K46:K53 M46:M53 O46:O53 Q46:Q53 S46:S53 U46:U53 W46:W53 Y46:Y53 AA46:AA53">
    <cfRule type="cellIs" dxfId="129" priority="6" operator="between">
      <formula>1</formula>
      <formula>$C$6</formula>
    </cfRule>
  </conditionalFormatting>
  <conditionalFormatting sqref="AB10:AB54 AO11:AO12 AS11:AS12 AO14 AS14 AO16:AO19 AS16:AS19 AO21:AO23 AS21:AS23 AO25:AO33 AS25:AS33 AO35:AO44 AS35:AS44 AO46:AO53 AS46:AS53">
    <cfRule type="cellIs" dxfId="128" priority="10" operator="lessThan">
      <formula>0</formula>
    </cfRule>
  </conditionalFormatting>
  <conditionalFormatting sqref="AW11:BG12 BB13:BG15 AW14:BG14 AW16:BG19 BB20:BG24 AW21:BG23 AW25:BG33 BB34:BG34 AW35:BG44 BB45:BG47 AW46:BG53 AL54:BG54">
    <cfRule type="cellIs" dxfId="121" priority="7" operator="equal">
      <formula>TRUE</formula>
    </cfRule>
  </conditionalFormatting>
  <conditionalFormatting sqref="BB10:BG10">
    <cfRule type="cellIs" dxfId="120" priority="5" operator="equal">
      <formula>TRUE</formula>
    </cfRule>
  </conditionalFormatting>
  <pageMargins left="3.937007874015748E-2" right="3.937007874015748E-2" top="0.74803149606299213" bottom="0.74803149606299213" header="0.31496062992125984" footer="0.31496062992125984"/>
  <pageSetup paperSize="8" scale="71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3E5CA5EC-FFFE-4E28-B828-0D092CAB0AE7}">
            <xm:f>AV11=Data!$B$12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8" stopIfTrue="1" id="{9FFCC1DB-815D-4951-A928-C404C764E8F0}">
            <xm:f>AV11=Data!$B$11</xm:f>
            <x14:dxf>
              <fill>
                <patternFill>
                  <bgColor theme="9" tint="0.79998168889431442"/>
                </patternFill>
              </fill>
            </x14:dxf>
          </x14:cfRule>
          <x14:cfRule type="expression" priority="9" id="{AE050438-87CD-4CAA-AD26-F93706EB2435}">
            <xm:f>AV11=Data!$B$2</xm:f>
            <x14:dxf>
              <fill>
                <patternFill>
                  <bgColor rgb="FFFFE5E5"/>
                </patternFill>
              </fill>
            </x14:dxf>
          </x14:cfRule>
          <xm:sqref>AU11:AU55</xm:sqref>
        </x14:conditionalFormatting>
        <x14:conditionalFormatting xmlns:xm="http://schemas.microsoft.com/office/excel/2006/main">
          <x14:cfRule type="cellIs" priority="1" operator="equal" id="{F24BBAF9-E6B2-47CC-A2BB-EAC03224AC38}">
            <xm:f>Data!$B$12</xm:f>
            <x14:dxf>
              <fill>
                <patternFill>
                  <bgColor theme="9" tint="0.59996337778862885"/>
                </patternFill>
              </fill>
            </x14:dxf>
          </x14:cfRule>
          <x14:cfRule type="cellIs" priority="2" stopIfTrue="1" operator="equal" id="{05E3FE4E-369D-4112-9A31-8AB9B5C99180}">
            <xm:f>Data!$B$11</xm:f>
            <x14:dxf>
              <fill>
                <patternFill>
                  <bgColor theme="9" tint="0.79998168889431442"/>
                </patternFill>
              </fill>
            </x14:dxf>
          </x14:cfRule>
          <x14:cfRule type="cellIs" priority="3" operator="equal" id="{B86ACF3A-A290-44DD-9B85-E01A1D6EA374}">
            <xm:f>Data!$B$2</xm:f>
            <x14:dxf>
              <fill>
                <patternFill>
                  <bgColor rgb="FFFFE5E5"/>
                </patternFill>
              </fill>
            </x14:dxf>
          </x14:cfRule>
          <xm:sqref>AV11:AV12 AV14 AV16:AV19 AV21:AV23 AV25:AV33 AV35:AV44 AV46:AV53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B95D36D-3FFF-4FB5-8DA9-497C884B0BB5}">
          <x14:formula1>
            <xm:f>Data!$B$2:$B$13</xm:f>
          </x14:formula1>
          <xm:sqref>AV11:AV12 AV14 AV25:AV33 AV35:AV44 AV21:AV23 AV16:AV19 AV46:AV53</xm:sqref>
        </x14:dataValidation>
        <x14:dataValidation type="list" allowBlank="1" showInputMessage="1" showErrorMessage="1" xr:uid="{00228A9A-DA6A-4542-AA33-74AC08EAEB74}">
          <x14:formula1>
            <xm:f>Data!$C$2:$C$12</xm:f>
          </x14:formula1>
          <xm:sqref>D11:D12 D14 D25:D33 D35:D44 D21:D23 D16:D19 D46:D53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E1239-B59B-4137-ADFE-7AF3598DFAF4}">
  <sheetPr codeName="Sheet7">
    <tabColor theme="9" tint="0.59999389629810485"/>
    <pageSetUpPr fitToPage="1"/>
  </sheetPr>
  <dimension ref="A1:BH40"/>
  <sheetViews>
    <sheetView showGridLines="0" zoomScale="70" zoomScaleNormal="70" zoomScalePageLayoutView="55" workbookViewId="0">
      <pane xSplit="3" ySplit="9" topLeftCell="D10" activePane="bottomRight" state="frozen"/>
      <selection pane="topRight" activeCell="AI6" sqref="AI6:AI8"/>
      <selection pane="bottomLeft" activeCell="AI6" sqref="AI6:AI8"/>
      <selection pane="bottomRight" activeCell="K3" sqref="K3:K4"/>
    </sheetView>
  </sheetViews>
  <sheetFormatPr defaultColWidth="9.140625" defaultRowHeight="12.75" outlineLevelRow="1" outlineLevelCol="1" x14ac:dyDescent="0.25"/>
  <cols>
    <col min="1" max="2" width="7.42578125" style="3" customWidth="1"/>
    <col min="3" max="3" width="39.140625" style="7" customWidth="1"/>
    <col min="4" max="4" width="14.5703125" style="5" hidden="1" customWidth="1" outlineLevel="1"/>
    <col min="5" max="5" width="1.140625" style="3" hidden="1" customWidth="1" outlineLevel="1"/>
    <col min="6" max="27" width="11.85546875" style="4" hidden="1" customWidth="1" outlineLevel="1"/>
    <col min="28" max="28" width="11.85546875" style="5" hidden="1" customWidth="1" outlineLevel="1"/>
    <col min="29" max="29" width="1" style="3" hidden="1" customWidth="1" outlineLevel="1"/>
    <col min="30" max="30" width="14.42578125" style="5" hidden="1" customWidth="1" outlineLevel="1"/>
    <col min="31" max="31" width="1.140625" style="3" hidden="1" customWidth="1" outlineLevel="1"/>
    <col min="32" max="32" width="14.85546875" style="3" customWidth="1" collapsed="1"/>
    <col min="33" max="35" width="14.85546875" style="3" customWidth="1"/>
    <col min="36" max="36" width="15.5703125" style="3" customWidth="1" outlineLevel="1"/>
    <col min="37" max="37" width="23.5703125" style="3" customWidth="1"/>
    <col min="38" max="38" width="0.85546875" style="3" customWidth="1"/>
    <col min="39" max="39" width="7.42578125" style="3" customWidth="1"/>
    <col min="40" max="40" width="13.5703125" style="3" customWidth="1"/>
    <col min="41" max="41" width="7.140625" style="5" customWidth="1"/>
    <col min="42" max="42" width="0.85546875" style="3" customWidth="1"/>
    <col min="43" max="43" width="10.5703125" style="5" customWidth="1"/>
    <col min="44" max="44" width="16.85546875" style="3" customWidth="1"/>
    <col min="45" max="45" width="7.140625" style="5" customWidth="1"/>
    <col min="46" max="46" width="0.85546875" style="3" customWidth="1"/>
    <col min="47" max="47" width="12" style="3" customWidth="1"/>
    <col min="48" max="48" width="35" style="3" bestFit="1" customWidth="1"/>
    <col min="49" max="59" width="4.140625" style="6" customWidth="1"/>
    <col min="60" max="60" width="21.140625" style="3" customWidth="1"/>
    <col min="61" max="16384" width="9.140625" style="3"/>
  </cols>
  <sheetData>
    <row r="1" spans="1:60" s="11" customFormat="1" ht="15" customHeight="1" outlineLevel="1" x14ac:dyDescent="0.25">
      <c r="A1" s="208" t="s">
        <v>57</v>
      </c>
      <c r="B1" s="209"/>
      <c r="C1" s="206" t="s">
        <v>58</v>
      </c>
      <c r="D1" s="211" t="s">
        <v>59</v>
      </c>
      <c r="F1" s="206" t="s">
        <v>60</v>
      </c>
      <c r="G1" s="206" t="s">
        <v>61</v>
      </c>
      <c r="H1" s="206" t="s">
        <v>62</v>
      </c>
      <c r="I1" s="206" t="s">
        <v>63</v>
      </c>
      <c r="J1" s="206" t="s">
        <v>64</v>
      </c>
      <c r="K1" s="206" t="s">
        <v>19</v>
      </c>
      <c r="L1" s="206" t="s">
        <v>65</v>
      </c>
      <c r="M1" s="211" t="s">
        <v>66</v>
      </c>
      <c r="N1" s="224"/>
      <c r="P1" s="27" t="s">
        <v>67</v>
      </c>
      <c r="Q1" s="26"/>
      <c r="R1" s="26"/>
      <c r="S1" s="26"/>
      <c r="U1" s="26" t="s">
        <v>20</v>
      </c>
      <c r="V1" s="26"/>
      <c r="W1" s="26"/>
      <c r="X1" s="26"/>
      <c r="Y1" s="26"/>
      <c r="AA1" s="27" t="s">
        <v>68</v>
      </c>
      <c r="AB1" s="26"/>
      <c r="AC1" s="26"/>
      <c r="AD1" s="28"/>
      <c r="AF1" s="27" t="s">
        <v>33</v>
      </c>
      <c r="AG1" s="26"/>
      <c r="AH1" s="39" t="s">
        <v>34</v>
      </c>
      <c r="AI1" s="40" t="s">
        <v>35</v>
      </c>
      <c r="AY1" s="33"/>
      <c r="AZ1" s="33"/>
      <c r="BA1" s="33"/>
      <c r="BB1" s="33"/>
      <c r="BC1" s="33"/>
      <c r="BD1" s="33"/>
      <c r="BE1" s="33"/>
      <c r="BF1" s="33"/>
      <c r="BG1" s="33"/>
    </row>
    <row r="2" spans="1:60" s="11" customFormat="1" ht="15" outlineLevel="1" x14ac:dyDescent="0.25">
      <c r="A2" s="208"/>
      <c r="B2" s="209"/>
      <c r="C2" s="210"/>
      <c r="D2" s="208"/>
      <c r="E2" s="15"/>
      <c r="F2" s="207"/>
      <c r="G2" s="207"/>
      <c r="H2" s="207"/>
      <c r="I2" s="207"/>
      <c r="J2" s="207"/>
      <c r="K2" s="207"/>
      <c r="L2" s="207"/>
      <c r="M2" s="225"/>
      <c r="N2" s="226"/>
      <c r="P2" s="22" t="s">
        <v>69</v>
      </c>
      <c r="Q2" s="23"/>
      <c r="R2" s="23"/>
      <c r="S2" s="147"/>
      <c r="U2" s="22" t="s">
        <v>25</v>
      </c>
      <c r="V2" s="23"/>
      <c r="W2" s="23"/>
      <c r="X2" s="35">
        <f>AI37</f>
        <v>0</v>
      </c>
      <c r="Y2" s="37">
        <f>X2/(SUM(AH10:$AH$36)+SUM(AI10:$AI$36)-SUMIFS(AH10:$AH$36,$AI$10:$AI$36,"&lt;&gt;"))</f>
        <v>0</v>
      </c>
      <c r="AA2" s="24" t="s">
        <v>70</v>
      </c>
      <c r="AB2" s="25"/>
      <c r="AC2" s="25"/>
      <c r="AD2" s="12" cm="1">
        <f t="array" ref="AD2">SUM(ISNUMBER($AO$10:AO36)*1)</f>
        <v>20</v>
      </c>
      <c r="AF2" s="22" t="s">
        <v>444</v>
      </c>
      <c r="AG2" s="23"/>
      <c r="AH2" s="13">
        <f>COUNTIFS($AB$10:AB36,"&lt;0")</f>
        <v>0</v>
      </c>
      <c r="AI2" s="13">
        <f>MIN(AB10:AB36)</f>
        <v>45</v>
      </c>
    </row>
    <row r="3" spans="1:60" s="11" customFormat="1" ht="15" customHeight="1" outlineLevel="1" x14ac:dyDescent="0.25">
      <c r="A3" s="212" t="s">
        <v>302</v>
      </c>
      <c r="B3" s="213"/>
      <c r="C3" s="271" t="s">
        <v>303</v>
      </c>
      <c r="D3" s="218" t="s">
        <v>304</v>
      </c>
      <c r="E3" s="122"/>
      <c r="F3" s="218" t="s">
        <v>305</v>
      </c>
      <c r="G3" s="218" t="s">
        <v>75</v>
      </c>
      <c r="H3" s="218" t="s">
        <v>305</v>
      </c>
      <c r="I3" s="218" t="s">
        <v>306</v>
      </c>
      <c r="J3" s="227">
        <v>49972</v>
      </c>
      <c r="K3" s="227">
        <v>42400</v>
      </c>
      <c r="L3" s="218">
        <v>46082</v>
      </c>
      <c r="M3" s="220">
        <v>46128</v>
      </c>
      <c r="N3" s="221"/>
      <c r="P3" s="22" t="s">
        <v>77</v>
      </c>
      <c r="Q3" s="23"/>
      <c r="R3" s="23"/>
      <c r="S3" s="148">
        <f>AF37</f>
        <v>0</v>
      </c>
      <c r="U3" s="22" t="s">
        <v>78</v>
      </c>
      <c r="V3" s="23"/>
      <c r="W3" s="23"/>
      <c r="X3" s="36">
        <f>S4-SUMIFS(AH10:$AH$36,$AI$10:$AI$36,"&lt;&gt;")</f>
        <v>380310593.30000001</v>
      </c>
      <c r="Y3" s="153">
        <f>X3/(X2+X3)</f>
        <v>1</v>
      </c>
      <c r="AA3" s="22" t="s">
        <v>79</v>
      </c>
      <c r="AB3" s="23"/>
      <c r="AC3" s="23"/>
      <c r="AD3" s="13">
        <f>COUNTIFS($AV$10:AV36,Z8)</f>
        <v>0</v>
      </c>
      <c r="AF3" s="22" t="s">
        <v>447</v>
      </c>
      <c r="AG3" s="23"/>
      <c r="AH3" s="13">
        <f>COUNTIFS($AO$10:AO36,"&lt;0")</f>
        <v>3</v>
      </c>
      <c r="AI3" s="14">
        <f>MIN(AO10:AO36)</f>
        <v>-50</v>
      </c>
    </row>
    <row r="4" spans="1:60" s="11" customFormat="1" ht="15" outlineLevel="1" x14ac:dyDescent="0.25">
      <c r="A4" s="214"/>
      <c r="B4" s="215"/>
      <c r="C4" s="217"/>
      <c r="D4" s="219"/>
      <c r="E4" s="122"/>
      <c r="F4" s="219"/>
      <c r="G4" s="219"/>
      <c r="H4" s="219"/>
      <c r="I4" s="219"/>
      <c r="J4" s="228"/>
      <c r="K4" s="228"/>
      <c r="L4" s="219"/>
      <c r="M4" s="222"/>
      <c r="N4" s="223"/>
      <c r="P4" s="22" t="s">
        <v>23</v>
      </c>
      <c r="Q4" s="23"/>
      <c r="R4" s="23"/>
      <c r="S4" s="148">
        <f>AH37</f>
        <v>380310593.30000001</v>
      </c>
      <c r="U4" s="22" t="s">
        <v>80</v>
      </c>
      <c r="V4" s="23"/>
      <c r="W4" s="23"/>
      <c r="X4" s="36">
        <f>SUMIFS(AF10:$AF$36,$AI$10:$AI$36,"&lt;&gt;")-X2</f>
        <v>0</v>
      </c>
      <c r="Y4" s="38" t="e">
        <f>X4/$S$2</f>
        <v>#DIV/0!</v>
      </c>
      <c r="AA4" s="22" t="s">
        <v>81</v>
      </c>
      <c r="AB4" s="23"/>
      <c r="AC4" s="23"/>
      <c r="AD4" s="13">
        <f>C6-L3</f>
        <v>30</v>
      </c>
      <c r="AF4" s="22" t="s">
        <v>448</v>
      </c>
      <c r="AG4" s="23"/>
      <c r="AH4" s="13">
        <f>COUNTIFS($AS$10:AS36,"&lt;0")</f>
        <v>3</v>
      </c>
      <c r="AI4" s="14">
        <f>MIN(AS10:AS36)</f>
        <v>-50</v>
      </c>
    </row>
    <row r="5" spans="1:60" s="11" customFormat="1" ht="15" outlineLevel="1" x14ac:dyDescent="0.25">
      <c r="U5" s="22" t="s">
        <v>82</v>
      </c>
      <c r="V5" s="23"/>
      <c r="W5" s="23"/>
      <c r="X5" s="36">
        <f>SUMIFS(AH10:$AH$36,$AI$10:$AI$36,"&lt;&gt;")-X2</f>
        <v>0</v>
      </c>
      <c r="Y5" s="38" t="e">
        <f>X5/$S$2</f>
        <v>#DIV/0!</v>
      </c>
      <c r="Z5" s="160"/>
      <c r="AA5" s="160"/>
      <c r="AB5" s="160"/>
      <c r="AC5" s="160"/>
      <c r="AD5" s="160"/>
      <c r="AE5" s="160"/>
      <c r="AF5" s="160"/>
      <c r="AG5" s="160"/>
      <c r="AH5" s="160"/>
      <c r="AI5" s="160"/>
    </row>
    <row r="6" spans="1:60" ht="23.25" outlineLevel="1" x14ac:dyDescent="0.25">
      <c r="A6" s="127" t="s">
        <v>83</v>
      </c>
      <c r="B6" s="128"/>
      <c r="C6" s="129">
        <v>46112</v>
      </c>
      <c r="D6" s="19"/>
      <c r="E6" s="16"/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5"/>
      <c r="AB6" s="126"/>
      <c r="AC6" s="19"/>
      <c r="AD6" s="19"/>
      <c r="AE6" s="19"/>
      <c r="AF6" s="19"/>
      <c r="AG6" s="19"/>
      <c r="AH6" s="19"/>
      <c r="AI6" s="19"/>
      <c r="AJ6" s="19"/>
      <c r="AK6" s="19"/>
      <c r="AL6" s="16"/>
      <c r="AM6" s="168" t="s">
        <v>446</v>
      </c>
      <c r="AN6" s="16"/>
      <c r="AO6" s="16"/>
      <c r="AP6" s="16"/>
      <c r="AQ6" s="16"/>
      <c r="AR6" s="16"/>
      <c r="AS6" s="16"/>
      <c r="AT6" s="16"/>
      <c r="AU6" s="16"/>
      <c r="AV6" s="16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6"/>
    </row>
    <row r="7" spans="1:60" ht="18.75" customHeight="1" x14ac:dyDescent="0.25">
      <c r="A7" s="233" t="s">
        <v>84</v>
      </c>
      <c r="B7" s="236" t="s">
        <v>85</v>
      </c>
      <c r="C7" s="236" t="s">
        <v>86</v>
      </c>
      <c r="D7" s="238" t="s">
        <v>1</v>
      </c>
      <c r="F7" s="229">
        <v>15</v>
      </c>
      <c r="G7" s="230"/>
      <c r="H7" s="229">
        <v>7</v>
      </c>
      <c r="I7" s="230"/>
      <c r="J7" s="229">
        <v>6</v>
      </c>
      <c r="K7" s="230"/>
      <c r="L7" s="229">
        <v>3</v>
      </c>
      <c r="M7" s="230"/>
      <c r="N7" s="229">
        <v>30</v>
      </c>
      <c r="O7" s="230"/>
      <c r="P7" s="229">
        <v>10</v>
      </c>
      <c r="Q7" s="230"/>
      <c r="R7" s="229">
        <v>20</v>
      </c>
      <c r="S7" s="230"/>
      <c r="T7" s="229">
        <v>7</v>
      </c>
      <c r="U7" s="230"/>
      <c r="V7" s="229">
        <v>7</v>
      </c>
      <c r="W7" s="230"/>
      <c r="X7" s="229">
        <v>5</v>
      </c>
      <c r="Y7" s="230"/>
      <c r="Z7" s="229">
        <v>10</v>
      </c>
      <c r="AA7" s="230"/>
      <c r="AB7" s="243" t="s">
        <v>87</v>
      </c>
      <c r="AC7" s="16"/>
      <c r="AD7" s="244" t="s">
        <v>88</v>
      </c>
      <c r="AE7" s="16"/>
      <c r="AF7" s="241" t="s">
        <v>77</v>
      </c>
      <c r="AG7" s="257" t="s">
        <v>89</v>
      </c>
      <c r="AH7" s="257" t="s">
        <v>23</v>
      </c>
      <c r="AI7" s="257" t="s">
        <v>90</v>
      </c>
      <c r="AJ7" s="257" t="s">
        <v>91</v>
      </c>
      <c r="AK7" s="258" t="s">
        <v>92</v>
      </c>
      <c r="AL7" s="86"/>
      <c r="AM7" s="255" t="s">
        <v>93</v>
      </c>
      <c r="AN7" s="257" t="s">
        <v>94</v>
      </c>
      <c r="AO7" s="259" t="s">
        <v>95</v>
      </c>
      <c r="AP7" s="86"/>
      <c r="AQ7" s="261" t="s">
        <v>96</v>
      </c>
      <c r="AR7" s="252" t="s">
        <v>97</v>
      </c>
      <c r="AS7" s="259" t="s">
        <v>95</v>
      </c>
      <c r="AT7" s="86"/>
      <c r="AU7" s="255" t="s">
        <v>98</v>
      </c>
      <c r="AV7" s="252" t="s">
        <v>99</v>
      </c>
      <c r="AW7" s="246" t="s">
        <v>2</v>
      </c>
      <c r="AX7" s="246" t="s">
        <v>4</v>
      </c>
      <c r="AY7" s="246" t="s">
        <v>6</v>
      </c>
      <c r="AZ7" s="246" t="s">
        <v>100</v>
      </c>
      <c r="BA7" s="246" t="s">
        <v>10</v>
      </c>
      <c r="BB7" s="246" t="s">
        <v>12</v>
      </c>
      <c r="BC7" s="246" t="s">
        <v>14</v>
      </c>
      <c r="BD7" s="246" t="s">
        <v>15</v>
      </c>
      <c r="BE7" s="246" t="s">
        <v>16</v>
      </c>
      <c r="BF7" s="246" t="s">
        <v>17</v>
      </c>
      <c r="BG7" s="249" t="s">
        <v>101</v>
      </c>
      <c r="BH7" s="86"/>
    </row>
    <row r="8" spans="1:60" ht="26.25" x14ac:dyDescent="0.25">
      <c r="A8" s="234"/>
      <c r="B8" s="237"/>
      <c r="C8" s="237"/>
      <c r="D8" s="239"/>
      <c r="E8" s="16"/>
      <c r="F8" s="231" t="s">
        <v>2</v>
      </c>
      <c r="G8" s="232"/>
      <c r="H8" s="231" t="s">
        <v>4</v>
      </c>
      <c r="I8" s="232"/>
      <c r="J8" s="231" t="s">
        <v>6</v>
      </c>
      <c r="K8" s="232"/>
      <c r="L8" s="231" t="s">
        <v>8</v>
      </c>
      <c r="M8" s="232"/>
      <c r="N8" s="231" t="s">
        <v>10</v>
      </c>
      <c r="O8" s="232"/>
      <c r="P8" s="231" t="s">
        <v>12</v>
      </c>
      <c r="Q8" s="232"/>
      <c r="R8" s="231" t="s">
        <v>14</v>
      </c>
      <c r="S8" s="232"/>
      <c r="T8" s="231" t="s">
        <v>15</v>
      </c>
      <c r="U8" s="232"/>
      <c r="V8" s="231" t="s">
        <v>16</v>
      </c>
      <c r="W8" s="232"/>
      <c r="X8" s="231" t="s">
        <v>17</v>
      </c>
      <c r="Y8" s="232"/>
      <c r="Z8" s="231" t="s">
        <v>18</v>
      </c>
      <c r="AA8" s="232"/>
      <c r="AB8" s="243"/>
      <c r="AC8" s="16"/>
      <c r="AD8" s="245"/>
      <c r="AE8" s="16"/>
      <c r="AF8" s="242"/>
      <c r="AG8" s="237"/>
      <c r="AH8" s="237"/>
      <c r="AI8" s="237"/>
      <c r="AJ8" s="237"/>
      <c r="AK8" s="239"/>
      <c r="AL8" s="48"/>
      <c r="AM8" s="234"/>
      <c r="AN8" s="237"/>
      <c r="AO8" s="260"/>
      <c r="AP8" s="48"/>
      <c r="AQ8" s="262"/>
      <c r="AR8" s="253"/>
      <c r="AS8" s="260"/>
      <c r="AT8" s="48"/>
      <c r="AU8" s="234"/>
      <c r="AV8" s="253"/>
      <c r="AW8" s="247"/>
      <c r="AX8" s="247"/>
      <c r="AY8" s="247"/>
      <c r="AZ8" s="247"/>
      <c r="BA8" s="247"/>
      <c r="BB8" s="247"/>
      <c r="BC8" s="247"/>
      <c r="BD8" s="247"/>
      <c r="BE8" s="247"/>
      <c r="BF8" s="247"/>
      <c r="BG8" s="250"/>
      <c r="BH8" s="146"/>
    </row>
    <row r="9" spans="1:60" s="7" customFormat="1" ht="22.5" x14ac:dyDescent="0.25">
      <c r="A9" s="235"/>
      <c r="B9" s="237"/>
      <c r="C9" s="237"/>
      <c r="D9" s="240"/>
      <c r="E9" s="20"/>
      <c r="F9" s="65" t="s">
        <v>102</v>
      </c>
      <c r="G9" s="66" t="s">
        <v>103</v>
      </c>
      <c r="H9" s="65" t="s">
        <v>102</v>
      </c>
      <c r="I9" s="66" t="s">
        <v>103</v>
      </c>
      <c r="J9" s="65" t="s">
        <v>102</v>
      </c>
      <c r="K9" s="66" t="s">
        <v>103</v>
      </c>
      <c r="L9" s="65" t="s">
        <v>102</v>
      </c>
      <c r="M9" s="66" t="s">
        <v>103</v>
      </c>
      <c r="N9" s="65" t="s">
        <v>102</v>
      </c>
      <c r="O9" s="66" t="s">
        <v>103</v>
      </c>
      <c r="P9" s="65" t="s">
        <v>102</v>
      </c>
      <c r="Q9" s="66" t="s">
        <v>103</v>
      </c>
      <c r="R9" s="65" t="s">
        <v>102</v>
      </c>
      <c r="S9" s="66" t="s">
        <v>103</v>
      </c>
      <c r="T9" s="65" t="s">
        <v>102</v>
      </c>
      <c r="U9" s="66" t="s">
        <v>103</v>
      </c>
      <c r="V9" s="65" t="s">
        <v>102</v>
      </c>
      <c r="W9" s="66" t="s">
        <v>103</v>
      </c>
      <c r="X9" s="65" t="s">
        <v>102</v>
      </c>
      <c r="Y9" s="66" t="s">
        <v>103</v>
      </c>
      <c r="Z9" s="65" t="s">
        <v>102</v>
      </c>
      <c r="AA9" s="66" t="s">
        <v>103</v>
      </c>
      <c r="AB9" s="243"/>
      <c r="AC9" s="20"/>
      <c r="AD9" s="245"/>
      <c r="AE9" s="20"/>
      <c r="AF9" s="242"/>
      <c r="AG9" s="237"/>
      <c r="AH9" s="237"/>
      <c r="AI9" s="237"/>
      <c r="AJ9" s="237"/>
      <c r="AK9" s="239"/>
      <c r="AL9" s="87"/>
      <c r="AM9" s="234"/>
      <c r="AN9" s="237"/>
      <c r="AO9" s="260"/>
      <c r="AP9" s="87"/>
      <c r="AQ9" s="263"/>
      <c r="AR9" s="254"/>
      <c r="AS9" s="264"/>
      <c r="AT9" s="87"/>
      <c r="AU9" s="256"/>
      <c r="AV9" s="254"/>
      <c r="AW9" s="248"/>
      <c r="AX9" s="248"/>
      <c r="AY9" s="248"/>
      <c r="AZ9" s="248"/>
      <c r="BA9" s="248"/>
      <c r="BB9" s="248"/>
      <c r="BC9" s="248"/>
      <c r="BD9" s="248"/>
      <c r="BE9" s="248"/>
      <c r="BF9" s="248"/>
      <c r="BG9" s="251"/>
      <c r="BH9" s="87"/>
    </row>
    <row r="10" spans="1:60" ht="23.25" x14ac:dyDescent="0.25">
      <c r="A10" s="53"/>
      <c r="B10" s="49"/>
      <c r="C10" s="50" t="s">
        <v>307</v>
      </c>
      <c r="D10" s="61"/>
      <c r="E10" s="51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1"/>
      <c r="BF10" s="51"/>
      <c r="BG10" s="88"/>
      <c r="BH10" s="146"/>
    </row>
    <row r="11" spans="1:60" ht="26.25" x14ac:dyDescent="0.25">
      <c r="A11" s="56" cm="1">
        <f t="array" ref="A11">SUMPRODUCT(($AV$10:$AV$36&lt;&gt;"")*(ROW($AV$10:$AV$36)&lt;=ROW()))</f>
        <v>1</v>
      </c>
      <c r="B11" s="59"/>
      <c r="C11" s="60" t="s">
        <v>308</v>
      </c>
      <c r="D11" s="59"/>
      <c r="E11" s="43"/>
      <c r="F11" s="44">
        <f t="shared" ref="F11:F16" si="0">H11-$H$7</f>
        <v>46092</v>
      </c>
      <c r="G11" s="45"/>
      <c r="H11" s="44">
        <f t="shared" ref="H11:H16" si="1">J11-$J$7</f>
        <v>46099</v>
      </c>
      <c r="I11" s="45"/>
      <c r="J11" s="44">
        <f t="shared" ref="J11:J16" si="2">L11-$L$7</f>
        <v>46105</v>
      </c>
      <c r="K11" s="45"/>
      <c r="L11" s="44">
        <f t="shared" ref="L11:L16" si="3">N11-$N$7</f>
        <v>46108</v>
      </c>
      <c r="M11" s="45"/>
      <c r="N11" s="44">
        <f t="shared" ref="N11:N16" si="4">P11-$P$7</f>
        <v>46138</v>
      </c>
      <c r="O11" s="45"/>
      <c r="P11" s="44">
        <f t="shared" ref="P11:P16" si="5">R11-$R$7</f>
        <v>46148</v>
      </c>
      <c r="Q11" s="45"/>
      <c r="R11" s="44">
        <f t="shared" ref="R11:R16" si="6">T11-$T$7</f>
        <v>46168</v>
      </c>
      <c r="S11" s="45"/>
      <c r="T11" s="44">
        <f t="shared" ref="T11:T16" si="7">V11-$V$7</f>
        <v>46175</v>
      </c>
      <c r="U11" s="45"/>
      <c r="V11" s="44">
        <f t="shared" ref="V11:V16" si="8">X11-$X$7</f>
        <v>46182</v>
      </c>
      <c r="W11" s="45"/>
      <c r="X11" s="44">
        <f t="shared" ref="X11:X16" si="9">AN11</f>
        <v>46187</v>
      </c>
      <c r="Y11" s="45"/>
      <c r="Z11" s="46">
        <f t="shared" ref="Z11:Z16" si="10">X11+$Z$7</f>
        <v>46197</v>
      </c>
      <c r="AA11" s="45"/>
      <c r="AB11" s="32">
        <f t="shared" ref="AB11:AB16" si="11">IF(AV11="10. Issued to Contractor","-",IF(AV11="11. Subcontract Agreement signed","-",MAX(AN11,AR11)-$C$6))</f>
        <v>75</v>
      </c>
      <c r="AC11" s="16"/>
      <c r="AD11" s="131">
        <f t="shared" ref="AD11:AD36" si="12">SUM($H$7:$Y$7)</f>
        <v>95</v>
      </c>
      <c r="AE11" s="16"/>
      <c r="AF11" s="96"/>
      <c r="AG11" s="72"/>
      <c r="AH11" s="142">
        <v>26400000.000000004</v>
      </c>
      <c r="AI11" s="72"/>
      <c r="AJ11" s="73" t="str">
        <f t="shared" ref="AJ11:AJ16" si="13">IF(AI11&gt;0,SUM(AH11)-SUM(AI11),"")</f>
        <v/>
      </c>
      <c r="AK11" s="101"/>
      <c r="AL11" s="48"/>
      <c r="AM11" s="104">
        <v>60</v>
      </c>
      <c r="AN11" s="74">
        <f t="shared" ref="AN11:AN16" si="14">$M$3+AM11-1</f>
        <v>46187</v>
      </c>
      <c r="AO11" s="108">
        <f t="shared" ref="AO11:AO16" si="15">AN11-AU11</f>
        <v>-20</v>
      </c>
      <c r="AP11" s="48"/>
      <c r="AQ11" s="110"/>
      <c r="AR11" s="75">
        <f t="shared" ref="AR11:AR16" si="16">IFERROR(WORKDAY.INTL(AN11,AQ11,11),"")</f>
        <v>46187</v>
      </c>
      <c r="AS11" s="108">
        <f t="shared" ref="AS11:AS16" si="17">AR11-AU11</f>
        <v>-20</v>
      </c>
      <c r="AT11" s="48"/>
      <c r="AU11" s="114">
        <f t="shared" ref="AU11:AU16" si="18">IF(Y11&gt;0,Y11,IFERROR(MAX(_xlfn.XLOOKUP($AV11,$H$8:$Z$8,$G11:$Y11),$C$6)+(AN11-_xlfn.XLOOKUP($AV11,$H$8:$Z$8,$F11:$X11))*AD11/SUM($H$7:$Y$7),$C$6+SUM(AD11)))</f>
        <v>46207</v>
      </c>
      <c r="AV11" s="120" t="str" cm="1">
        <f t="array" ref="AV11">IF(OR(G11&gt;$C$6,G11=""),$F$8,INDEX($E$8:$Z$8,MATCH(TRUE,(F11:AA11=""),0)))</f>
        <v>1. Tender Docs &amp; BOQ</v>
      </c>
      <c r="AW11" s="117" t="b">
        <f t="shared" ref="AW11:AW16" si="19">IF(AND(G11&gt;0,G11&lt;$C$6),TRUE,FALSE)</f>
        <v>0</v>
      </c>
      <c r="AX11" s="76" t="b">
        <f t="shared" ref="AX11:AX16" si="20">IF(AND(I11&gt;0,I11&lt;$C$6),TRUE,FALSE)</f>
        <v>0</v>
      </c>
      <c r="AY11" s="76" t="b">
        <f t="shared" ref="AY11:AY16" si="21">IF(AND(K11&gt;0,K11&lt;$C$6),TRUE,FALSE)</f>
        <v>0</v>
      </c>
      <c r="AZ11" s="76" t="b">
        <f t="shared" ref="AZ11:AZ16" si="22">IF(AND(M11&gt;0,M11&lt;$C$6),TRUE,FALSE)</f>
        <v>0</v>
      </c>
      <c r="BA11" s="76" t="b">
        <f t="shared" ref="BA11:BA16" si="23">IF(AND(O11&gt;0,O11&lt;$C$6),TRUE,FALSE)</f>
        <v>0</v>
      </c>
      <c r="BB11" s="76" t="b">
        <f t="shared" ref="BB11:BB16" si="24">IF(AND(Q11&gt;0,Q11&lt;$C$6),TRUE,FALSE)</f>
        <v>0</v>
      </c>
      <c r="BC11" s="76" t="b">
        <f t="shared" ref="BC11:BC16" si="25">IF(AND(S11&gt;0,S11&lt;$C$6),TRUE,FALSE)</f>
        <v>0</v>
      </c>
      <c r="BD11" s="76" t="b">
        <f t="shared" ref="BD11:BD16" si="26">IF(AND(U11&gt;0,U11&lt;$C$6),TRUE,FALSE)</f>
        <v>0</v>
      </c>
      <c r="BE11" s="76" t="b">
        <f t="shared" ref="BE11:BE16" si="27">IF(AND(W11&gt;0,W11&lt;$C$6),TRUE,FALSE)</f>
        <v>0</v>
      </c>
      <c r="BF11" s="76" t="b">
        <f t="shared" ref="BF11:BF16" si="28">IF(AND(Y11&gt;0,Y11&lt;$C$6),TRUE,FALSE)</f>
        <v>0</v>
      </c>
      <c r="BG11" s="90" t="b">
        <f t="shared" ref="BG11:BG16" si="29">IF(AND(AA11&gt;0,AA11&lt;$C$6),TRUE,FALSE)</f>
        <v>0</v>
      </c>
      <c r="BH11" s="146"/>
    </row>
    <row r="12" spans="1:60" ht="26.25" x14ac:dyDescent="0.25">
      <c r="A12" s="56" cm="1">
        <f t="array" ref="A12">SUMPRODUCT(($AV$10:$AV$36&lt;&gt;"")*(ROW($AV$10:$AV$36)&lt;=ROW()))</f>
        <v>2</v>
      </c>
      <c r="B12" s="57"/>
      <c r="C12" s="58" t="s">
        <v>309</v>
      </c>
      <c r="D12" s="93"/>
      <c r="E12" s="16"/>
      <c r="F12" s="29">
        <f t="shared" si="0"/>
        <v>46092</v>
      </c>
      <c r="G12" s="42"/>
      <c r="H12" s="29">
        <f t="shared" si="1"/>
        <v>46099</v>
      </c>
      <c r="I12" s="42"/>
      <c r="J12" s="29">
        <f t="shared" si="2"/>
        <v>46105</v>
      </c>
      <c r="K12" s="42"/>
      <c r="L12" s="29">
        <f t="shared" si="3"/>
        <v>46108</v>
      </c>
      <c r="M12" s="42"/>
      <c r="N12" s="29">
        <f t="shared" si="4"/>
        <v>46138</v>
      </c>
      <c r="O12" s="42"/>
      <c r="P12" s="29">
        <f t="shared" si="5"/>
        <v>46148</v>
      </c>
      <c r="Q12" s="42"/>
      <c r="R12" s="29">
        <f t="shared" si="6"/>
        <v>46168</v>
      </c>
      <c r="S12" s="42"/>
      <c r="T12" s="29">
        <f t="shared" si="7"/>
        <v>46175</v>
      </c>
      <c r="U12" s="42"/>
      <c r="V12" s="29">
        <f t="shared" si="8"/>
        <v>46182</v>
      </c>
      <c r="W12" s="42"/>
      <c r="X12" s="29">
        <f t="shared" si="9"/>
        <v>46187</v>
      </c>
      <c r="Y12" s="42"/>
      <c r="Z12" s="30">
        <f t="shared" si="10"/>
        <v>46197</v>
      </c>
      <c r="AA12" s="42"/>
      <c r="AB12" s="31">
        <f t="shared" si="11"/>
        <v>75</v>
      </c>
      <c r="AC12" s="16"/>
      <c r="AD12" s="131">
        <f t="shared" si="12"/>
        <v>95</v>
      </c>
      <c r="AE12" s="16"/>
      <c r="AF12" s="97"/>
      <c r="AG12" s="67"/>
      <c r="AH12" s="143" t="s">
        <v>310</v>
      </c>
      <c r="AI12" s="67"/>
      <c r="AJ12" s="68" t="str">
        <f t="shared" si="13"/>
        <v/>
      </c>
      <c r="AK12" s="102"/>
      <c r="AL12" s="48"/>
      <c r="AM12" s="105">
        <v>60</v>
      </c>
      <c r="AN12" s="69">
        <f t="shared" si="14"/>
        <v>46187</v>
      </c>
      <c r="AO12" s="107">
        <f t="shared" si="15"/>
        <v>-20</v>
      </c>
      <c r="AP12" s="48"/>
      <c r="AQ12" s="111"/>
      <c r="AR12" s="70">
        <f t="shared" si="16"/>
        <v>46187</v>
      </c>
      <c r="AS12" s="107">
        <f t="shared" si="17"/>
        <v>-20</v>
      </c>
      <c r="AT12" s="48"/>
      <c r="AU12" s="113">
        <f t="shared" si="18"/>
        <v>46207</v>
      </c>
      <c r="AV12" s="119" t="str" cm="1">
        <f t="array" ref="AV12">IF(OR(G12&gt;$C$6,G12=""),$F$8,INDEX($E$8:$Z$8,MATCH(TRUE,(F12:AA12=""),0)))</f>
        <v>1. Tender Docs &amp; BOQ</v>
      </c>
      <c r="AW12" s="116" t="b">
        <f t="shared" si="19"/>
        <v>0</v>
      </c>
      <c r="AX12" s="71" t="b">
        <f t="shared" si="20"/>
        <v>0</v>
      </c>
      <c r="AY12" s="71" t="b">
        <f t="shared" si="21"/>
        <v>0</v>
      </c>
      <c r="AZ12" s="71" t="b">
        <f t="shared" si="22"/>
        <v>0</v>
      </c>
      <c r="BA12" s="71" t="b">
        <f t="shared" si="23"/>
        <v>0</v>
      </c>
      <c r="BB12" s="71" t="b">
        <f t="shared" si="24"/>
        <v>0</v>
      </c>
      <c r="BC12" s="71" t="b">
        <f t="shared" si="25"/>
        <v>0</v>
      </c>
      <c r="BD12" s="71" t="b">
        <f t="shared" si="26"/>
        <v>0</v>
      </c>
      <c r="BE12" s="71" t="b">
        <f t="shared" si="27"/>
        <v>0</v>
      </c>
      <c r="BF12" s="71" t="b">
        <f t="shared" si="28"/>
        <v>0</v>
      </c>
      <c r="BG12" s="89" t="b">
        <f t="shared" si="29"/>
        <v>0</v>
      </c>
      <c r="BH12" s="146"/>
    </row>
    <row r="13" spans="1:60" ht="26.25" x14ac:dyDescent="0.25">
      <c r="A13" s="56" cm="1">
        <f t="array" ref="A13">SUMPRODUCT(($AV$10:$AV$36&lt;&gt;"")*(ROW($AV$10:$AV$36)&lt;=ROW()))</f>
        <v>3</v>
      </c>
      <c r="B13" s="59"/>
      <c r="C13" s="60" t="s">
        <v>311</v>
      </c>
      <c r="D13" s="59"/>
      <c r="E13" s="43"/>
      <c r="F13" s="44">
        <f t="shared" si="0"/>
        <v>46122</v>
      </c>
      <c r="G13" s="45"/>
      <c r="H13" s="44">
        <f t="shared" si="1"/>
        <v>46129</v>
      </c>
      <c r="I13" s="45"/>
      <c r="J13" s="44">
        <f t="shared" si="2"/>
        <v>46135</v>
      </c>
      <c r="K13" s="45"/>
      <c r="L13" s="44">
        <f t="shared" si="3"/>
        <v>46138</v>
      </c>
      <c r="M13" s="45"/>
      <c r="N13" s="44">
        <f t="shared" si="4"/>
        <v>46168</v>
      </c>
      <c r="O13" s="45"/>
      <c r="P13" s="44">
        <f t="shared" si="5"/>
        <v>46178</v>
      </c>
      <c r="Q13" s="45"/>
      <c r="R13" s="44">
        <f t="shared" si="6"/>
        <v>46198</v>
      </c>
      <c r="S13" s="45"/>
      <c r="T13" s="44">
        <f t="shared" si="7"/>
        <v>46205</v>
      </c>
      <c r="U13" s="45"/>
      <c r="V13" s="44">
        <f t="shared" si="8"/>
        <v>46212</v>
      </c>
      <c r="W13" s="45"/>
      <c r="X13" s="44">
        <f t="shared" si="9"/>
        <v>46217</v>
      </c>
      <c r="Y13" s="45"/>
      <c r="Z13" s="46">
        <f t="shared" si="10"/>
        <v>46227</v>
      </c>
      <c r="AA13" s="45"/>
      <c r="AB13" s="32">
        <f t="shared" si="11"/>
        <v>105</v>
      </c>
      <c r="AC13" s="16"/>
      <c r="AD13" s="131">
        <f t="shared" si="12"/>
        <v>95</v>
      </c>
      <c r="AE13" s="16"/>
      <c r="AF13" s="96"/>
      <c r="AG13" s="72"/>
      <c r="AH13" s="142">
        <v>22000000</v>
      </c>
      <c r="AI13" s="72"/>
      <c r="AJ13" s="73" t="str">
        <f t="shared" si="13"/>
        <v/>
      </c>
      <c r="AK13" s="101"/>
      <c r="AL13" s="48"/>
      <c r="AM13" s="104">
        <v>90</v>
      </c>
      <c r="AN13" s="74">
        <f t="shared" si="14"/>
        <v>46217</v>
      </c>
      <c r="AO13" s="108">
        <f t="shared" si="15"/>
        <v>10</v>
      </c>
      <c r="AP13" s="48"/>
      <c r="AQ13" s="110"/>
      <c r="AR13" s="75">
        <f t="shared" si="16"/>
        <v>46217</v>
      </c>
      <c r="AS13" s="108">
        <f t="shared" si="17"/>
        <v>10</v>
      </c>
      <c r="AT13" s="48"/>
      <c r="AU13" s="114">
        <f t="shared" si="18"/>
        <v>46207</v>
      </c>
      <c r="AV13" s="120" t="str" cm="1">
        <f t="array" ref="AV13">IF(OR(G13&gt;$C$6,G13=""),$F$8,INDEX($E$8:$Z$8,MATCH(TRUE,(F13:AA13=""),0)))</f>
        <v>1. Tender Docs &amp; BOQ</v>
      </c>
      <c r="AW13" s="117" t="b">
        <f t="shared" si="19"/>
        <v>0</v>
      </c>
      <c r="AX13" s="76" t="b">
        <f t="shared" si="20"/>
        <v>0</v>
      </c>
      <c r="AY13" s="76" t="b">
        <f t="shared" si="21"/>
        <v>0</v>
      </c>
      <c r="AZ13" s="76" t="b">
        <f t="shared" si="22"/>
        <v>0</v>
      </c>
      <c r="BA13" s="76" t="b">
        <f t="shared" si="23"/>
        <v>0</v>
      </c>
      <c r="BB13" s="76" t="b">
        <f t="shared" si="24"/>
        <v>0</v>
      </c>
      <c r="BC13" s="76" t="b">
        <f t="shared" si="25"/>
        <v>0</v>
      </c>
      <c r="BD13" s="76" t="b">
        <f t="shared" si="26"/>
        <v>0</v>
      </c>
      <c r="BE13" s="76" t="b">
        <f t="shared" si="27"/>
        <v>0</v>
      </c>
      <c r="BF13" s="76" t="b">
        <f t="shared" si="28"/>
        <v>0</v>
      </c>
      <c r="BG13" s="90" t="b">
        <f t="shared" si="29"/>
        <v>0</v>
      </c>
      <c r="BH13" s="146"/>
    </row>
    <row r="14" spans="1:60" ht="30" x14ac:dyDescent="0.25">
      <c r="A14" s="56" cm="1">
        <f t="array" ref="A14">SUMPRODUCT(($AV$10:$AV$36&lt;&gt;"")*(ROW($AV$10:$AV$36)&lt;=ROW()))</f>
        <v>4</v>
      </c>
      <c r="B14" s="57"/>
      <c r="C14" s="58" t="s">
        <v>312</v>
      </c>
      <c r="D14" s="93"/>
      <c r="E14" s="16"/>
      <c r="F14" s="29">
        <f t="shared" si="0"/>
        <v>46122</v>
      </c>
      <c r="G14" s="42"/>
      <c r="H14" s="29">
        <f t="shared" si="1"/>
        <v>46129</v>
      </c>
      <c r="I14" s="42"/>
      <c r="J14" s="29">
        <f t="shared" si="2"/>
        <v>46135</v>
      </c>
      <c r="K14" s="42"/>
      <c r="L14" s="29">
        <f t="shared" si="3"/>
        <v>46138</v>
      </c>
      <c r="M14" s="42"/>
      <c r="N14" s="29">
        <f t="shared" si="4"/>
        <v>46168</v>
      </c>
      <c r="O14" s="42"/>
      <c r="P14" s="29">
        <f t="shared" si="5"/>
        <v>46178</v>
      </c>
      <c r="Q14" s="42"/>
      <c r="R14" s="29">
        <f t="shared" si="6"/>
        <v>46198</v>
      </c>
      <c r="S14" s="42"/>
      <c r="T14" s="29">
        <f t="shared" si="7"/>
        <v>46205</v>
      </c>
      <c r="U14" s="42"/>
      <c r="V14" s="29">
        <f t="shared" si="8"/>
        <v>46212</v>
      </c>
      <c r="W14" s="42"/>
      <c r="X14" s="29">
        <f t="shared" si="9"/>
        <v>46217</v>
      </c>
      <c r="Y14" s="42"/>
      <c r="Z14" s="30">
        <f t="shared" si="10"/>
        <v>46227</v>
      </c>
      <c r="AA14" s="42"/>
      <c r="AB14" s="31">
        <f t="shared" si="11"/>
        <v>105</v>
      </c>
      <c r="AC14" s="16"/>
      <c r="AD14" s="131">
        <f t="shared" si="12"/>
        <v>95</v>
      </c>
      <c r="AE14" s="16"/>
      <c r="AF14" s="95"/>
      <c r="AG14" s="67"/>
      <c r="AH14" s="143" t="s">
        <v>313</v>
      </c>
      <c r="AI14" s="67"/>
      <c r="AJ14" s="68" t="str">
        <f t="shared" si="13"/>
        <v/>
      </c>
      <c r="AK14" s="102"/>
      <c r="AL14" s="48"/>
      <c r="AM14" s="105">
        <v>90</v>
      </c>
      <c r="AN14" s="69">
        <f t="shared" si="14"/>
        <v>46217</v>
      </c>
      <c r="AO14" s="107">
        <f t="shared" si="15"/>
        <v>10</v>
      </c>
      <c r="AP14" s="48"/>
      <c r="AQ14" s="111"/>
      <c r="AR14" s="70">
        <f t="shared" si="16"/>
        <v>46217</v>
      </c>
      <c r="AS14" s="107">
        <f t="shared" si="17"/>
        <v>10</v>
      </c>
      <c r="AT14" s="48"/>
      <c r="AU14" s="113">
        <f t="shared" si="18"/>
        <v>46207</v>
      </c>
      <c r="AV14" s="119" t="str" cm="1">
        <f t="array" ref="AV14">IF(OR(G14&gt;$C$6,G14=""),$F$8,INDEX($E$8:$Z$8,MATCH(TRUE,(F14:AA14=""),0)))</f>
        <v>1. Tender Docs &amp; BOQ</v>
      </c>
      <c r="AW14" s="116" t="b">
        <f t="shared" si="19"/>
        <v>0</v>
      </c>
      <c r="AX14" s="71" t="b">
        <f t="shared" si="20"/>
        <v>0</v>
      </c>
      <c r="AY14" s="71" t="b">
        <f t="shared" si="21"/>
        <v>0</v>
      </c>
      <c r="AZ14" s="71" t="b">
        <f t="shared" si="22"/>
        <v>0</v>
      </c>
      <c r="BA14" s="71" t="b">
        <f t="shared" si="23"/>
        <v>0</v>
      </c>
      <c r="BB14" s="71" t="b">
        <f t="shared" si="24"/>
        <v>0</v>
      </c>
      <c r="BC14" s="71" t="b">
        <f t="shared" si="25"/>
        <v>0</v>
      </c>
      <c r="BD14" s="71" t="b">
        <f t="shared" si="26"/>
        <v>0</v>
      </c>
      <c r="BE14" s="71" t="b">
        <f t="shared" si="27"/>
        <v>0</v>
      </c>
      <c r="BF14" s="71" t="b">
        <f t="shared" si="28"/>
        <v>0</v>
      </c>
      <c r="BG14" s="89" t="b">
        <f t="shared" si="29"/>
        <v>0</v>
      </c>
      <c r="BH14" s="146"/>
    </row>
    <row r="15" spans="1:60" ht="26.25" x14ac:dyDescent="0.25">
      <c r="A15" s="56" cm="1">
        <f t="array" ref="A15">SUMPRODUCT(($AV$10:$AV$36&lt;&gt;"")*(ROW($AV$10:$AV$36)&lt;=ROW()))</f>
        <v>5</v>
      </c>
      <c r="B15" s="59"/>
      <c r="C15" s="60" t="s">
        <v>314</v>
      </c>
      <c r="D15" s="59"/>
      <c r="E15" s="43"/>
      <c r="F15" s="44">
        <f t="shared" si="0"/>
        <v>46122</v>
      </c>
      <c r="G15" s="45"/>
      <c r="H15" s="44">
        <f t="shared" si="1"/>
        <v>46129</v>
      </c>
      <c r="I15" s="45"/>
      <c r="J15" s="44">
        <f t="shared" si="2"/>
        <v>46135</v>
      </c>
      <c r="K15" s="45"/>
      <c r="L15" s="44">
        <f t="shared" si="3"/>
        <v>46138</v>
      </c>
      <c r="M15" s="45"/>
      <c r="N15" s="44">
        <f t="shared" si="4"/>
        <v>46168</v>
      </c>
      <c r="O15" s="45"/>
      <c r="P15" s="44">
        <f t="shared" si="5"/>
        <v>46178</v>
      </c>
      <c r="Q15" s="45"/>
      <c r="R15" s="44">
        <f t="shared" si="6"/>
        <v>46198</v>
      </c>
      <c r="S15" s="45"/>
      <c r="T15" s="44">
        <f t="shared" si="7"/>
        <v>46205</v>
      </c>
      <c r="U15" s="45"/>
      <c r="V15" s="44">
        <f t="shared" si="8"/>
        <v>46212</v>
      </c>
      <c r="W15" s="45"/>
      <c r="X15" s="44">
        <f t="shared" si="9"/>
        <v>46217</v>
      </c>
      <c r="Y15" s="45"/>
      <c r="Z15" s="46">
        <f t="shared" si="10"/>
        <v>46227</v>
      </c>
      <c r="AA15" s="45"/>
      <c r="AB15" s="32">
        <f t="shared" si="11"/>
        <v>105</v>
      </c>
      <c r="AC15" s="16"/>
      <c r="AD15" s="131">
        <f t="shared" si="12"/>
        <v>95</v>
      </c>
      <c r="AE15" s="16"/>
      <c r="AF15" s="96"/>
      <c r="AG15" s="72"/>
      <c r="AH15" s="142" t="s">
        <v>313</v>
      </c>
      <c r="AI15" s="72"/>
      <c r="AJ15" s="73" t="str">
        <f t="shared" si="13"/>
        <v/>
      </c>
      <c r="AK15" s="101"/>
      <c r="AL15" s="48"/>
      <c r="AM15" s="104">
        <v>90</v>
      </c>
      <c r="AN15" s="74">
        <f t="shared" si="14"/>
        <v>46217</v>
      </c>
      <c r="AO15" s="108">
        <f t="shared" si="15"/>
        <v>10</v>
      </c>
      <c r="AP15" s="48"/>
      <c r="AQ15" s="110"/>
      <c r="AR15" s="75">
        <f t="shared" si="16"/>
        <v>46217</v>
      </c>
      <c r="AS15" s="108">
        <f t="shared" si="17"/>
        <v>10</v>
      </c>
      <c r="AT15" s="48"/>
      <c r="AU15" s="114">
        <f t="shared" si="18"/>
        <v>46207</v>
      </c>
      <c r="AV15" s="120" t="str" cm="1">
        <f t="array" ref="AV15">IF(OR(G15&gt;$C$6,G15=""),$F$8,INDEX($E$8:$Z$8,MATCH(TRUE,(F15:AA15=""),0)))</f>
        <v>1. Tender Docs &amp; BOQ</v>
      </c>
      <c r="AW15" s="117" t="b">
        <f t="shared" si="19"/>
        <v>0</v>
      </c>
      <c r="AX15" s="76" t="b">
        <f t="shared" si="20"/>
        <v>0</v>
      </c>
      <c r="AY15" s="76" t="b">
        <f t="shared" si="21"/>
        <v>0</v>
      </c>
      <c r="AZ15" s="76" t="b">
        <f t="shared" si="22"/>
        <v>0</v>
      </c>
      <c r="BA15" s="76" t="b">
        <f t="shared" si="23"/>
        <v>0</v>
      </c>
      <c r="BB15" s="76" t="b">
        <f t="shared" si="24"/>
        <v>0</v>
      </c>
      <c r="BC15" s="76" t="b">
        <f t="shared" si="25"/>
        <v>0</v>
      </c>
      <c r="BD15" s="76" t="b">
        <f t="shared" si="26"/>
        <v>0</v>
      </c>
      <c r="BE15" s="76" t="b">
        <f t="shared" si="27"/>
        <v>0</v>
      </c>
      <c r="BF15" s="76" t="b">
        <f t="shared" si="28"/>
        <v>0</v>
      </c>
      <c r="BG15" s="90" t="b">
        <f t="shared" si="29"/>
        <v>0</v>
      </c>
      <c r="BH15" s="146"/>
    </row>
    <row r="16" spans="1:60" ht="26.25" x14ac:dyDescent="0.25">
      <c r="A16" s="56" cm="1">
        <f t="array" ref="A16">SUMPRODUCT(($AV$10:$AV$36&lt;&gt;"")*(ROW($AV$10:$AV$36)&lt;=ROW()))</f>
        <v>6</v>
      </c>
      <c r="B16" s="57"/>
      <c r="C16" s="58" t="s">
        <v>315</v>
      </c>
      <c r="D16" s="93" t="s">
        <v>13</v>
      </c>
      <c r="E16" s="16"/>
      <c r="F16" s="29">
        <f t="shared" si="0"/>
        <v>46122</v>
      </c>
      <c r="G16" s="42"/>
      <c r="H16" s="29">
        <f t="shared" si="1"/>
        <v>46129</v>
      </c>
      <c r="I16" s="42"/>
      <c r="J16" s="29">
        <f t="shared" si="2"/>
        <v>46135</v>
      </c>
      <c r="K16" s="42"/>
      <c r="L16" s="29">
        <f t="shared" si="3"/>
        <v>46138</v>
      </c>
      <c r="M16" s="42"/>
      <c r="N16" s="29">
        <f t="shared" si="4"/>
        <v>46168</v>
      </c>
      <c r="O16" s="42"/>
      <c r="P16" s="29">
        <f t="shared" si="5"/>
        <v>46178</v>
      </c>
      <c r="Q16" s="42"/>
      <c r="R16" s="29">
        <f t="shared" si="6"/>
        <v>46198</v>
      </c>
      <c r="S16" s="42"/>
      <c r="T16" s="29">
        <f t="shared" si="7"/>
        <v>46205</v>
      </c>
      <c r="U16" s="42"/>
      <c r="V16" s="29">
        <f t="shared" si="8"/>
        <v>46212</v>
      </c>
      <c r="W16" s="42"/>
      <c r="X16" s="29">
        <f t="shared" si="9"/>
        <v>46217</v>
      </c>
      <c r="Y16" s="42"/>
      <c r="Z16" s="30">
        <f t="shared" si="10"/>
        <v>46227</v>
      </c>
      <c r="AA16" s="42"/>
      <c r="AB16" s="31">
        <f t="shared" si="11"/>
        <v>105</v>
      </c>
      <c r="AC16" s="16"/>
      <c r="AD16" s="131">
        <f t="shared" si="12"/>
        <v>95</v>
      </c>
      <c r="AE16" s="16"/>
      <c r="AF16" s="95"/>
      <c r="AG16" s="67"/>
      <c r="AH16" s="143">
        <v>2750000</v>
      </c>
      <c r="AI16" s="67"/>
      <c r="AJ16" s="68" t="str">
        <f t="shared" si="13"/>
        <v/>
      </c>
      <c r="AK16" s="102"/>
      <c r="AL16" s="48"/>
      <c r="AM16" s="105">
        <v>90</v>
      </c>
      <c r="AN16" s="69">
        <f t="shared" si="14"/>
        <v>46217</v>
      </c>
      <c r="AO16" s="107">
        <f t="shared" si="15"/>
        <v>10</v>
      </c>
      <c r="AP16" s="48"/>
      <c r="AQ16" s="111"/>
      <c r="AR16" s="70">
        <f t="shared" si="16"/>
        <v>46217</v>
      </c>
      <c r="AS16" s="107">
        <f t="shared" si="17"/>
        <v>10</v>
      </c>
      <c r="AT16" s="48"/>
      <c r="AU16" s="113">
        <f t="shared" si="18"/>
        <v>46207</v>
      </c>
      <c r="AV16" s="119" t="str" cm="1">
        <f t="array" ref="AV16">IF(OR(G16&gt;$C$6,G16=""),$F$8,INDEX($E$8:$Z$8,MATCH(TRUE,(F16:AA16=""),0)))</f>
        <v>1. Tender Docs &amp; BOQ</v>
      </c>
      <c r="AW16" s="116" t="b">
        <f t="shared" si="19"/>
        <v>0</v>
      </c>
      <c r="AX16" s="71" t="b">
        <f t="shared" si="20"/>
        <v>0</v>
      </c>
      <c r="AY16" s="71" t="b">
        <f t="shared" si="21"/>
        <v>0</v>
      </c>
      <c r="AZ16" s="71" t="b">
        <f t="shared" si="22"/>
        <v>0</v>
      </c>
      <c r="BA16" s="71" t="b">
        <f t="shared" si="23"/>
        <v>0</v>
      </c>
      <c r="BB16" s="71" t="b">
        <f t="shared" si="24"/>
        <v>0</v>
      </c>
      <c r="BC16" s="71" t="b">
        <f t="shared" si="25"/>
        <v>0</v>
      </c>
      <c r="BD16" s="71" t="b">
        <f t="shared" si="26"/>
        <v>0</v>
      </c>
      <c r="BE16" s="71" t="b">
        <f t="shared" si="27"/>
        <v>0</v>
      </c>
      <c r="BF16" s="71" t="b">
        <f t="shared" si="28"/>
        <v>0</v>
      </c>
      <c r="BG16" s="89" t="b">
        <f t="shared" si="29"/>
        <v>0</v>
      </c>
      <c r="BH16" s="146"/>
    </row>
    <row r="17" spans="1:60" ht="23.25" x14ac:dyDescent="0.25">
      <c r="A17" s="54"/>
      <c r="B17" s="49"/>
      <c r="C17" s="50" t="s">
        <v>104</v>
      </c>
      <c r="D17" s="51"/>
      <c r="E17" s="51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1"/>
      <c r="AC17" s="51"/>
      <c r="AD17" s="132"/>
      <c r="AE17" s="51"/>
      <c r="AF17" s="51"/>
      <c r="AG17" s="51"/>
      <c r="AH17" s="144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88"/>
      <c r="BH17" s="146"/>
    </row>
    <row r="18" spans="1:60" ht="26.25" x14ac:dyDescent="0.25">
      <c r="A18" s="56" cm="1">
        <f t="array" ref="A18">SUMPRODUCT(($AV$10:$AV$36&lt;&gt;"")*(ROW($AV$10:$AV$36)&lt;=ROW()))</f>
        <v>7</v>
      </c>
      <c r="B18" s="57"/>
      <c r="C18" s="58" t="s">
        <v>274</v>
      </c>
      <c r="D18" s="93" t="s">
        <v>107</v>
      </c>
      <c r="E18" s="16"/>
      <c r="F18" s="29">
        <f>H18-$H$7</f>
        <v>46152</v>
      </c>
      <c r="G18" s="42"/>
      <c r="H18" s="29">
        <f>J18-$J$7</f>
        <v>46159</v>
      </c>
      <c r="I18" s="42"/>
      <c r="J18" s="29">
        <f>L18-$L$7</f>
        <v>46165</v>
      </c>
      <c r="K18" s="42"/>
      <c r="L18" s="29">
        <f>N18-$N$7</f>
        <v>46168</v>
      </c>
      <c r="M18" s="42"/>
      <c r="N18" s="29">
        <f>P18-$P$7</f>
        <v>46198</v>
      </c>
      <c r="O18" s="42"/>
      <c r="P18" s="29">
        <f>R18-$R$7</f>
        <v>46208</v>
      </c>
      <c r="Q18" s="42"/>
      <c r="R18" s="29">
        <f>T18-$T$7</f>
        <v>46228</v>
      </c>
      <c r="S18" s="42"/>
      <c r="T18" s="29">
        <f>V18-$V$7</f>
        <v>46235</v>
      </c>
      <c r="U18" s="42"/>
      <c r="V18" s="29">
        <f>X18-$X$7</f>
        <v>46242</v>
      </c>
      <c r="W18" s="42"/>
      <c r="X18" s="29">
        <f>AN18</f>
        <v>46247</v>
      </c>
      <c r="Y18" s="42"/>
      <c r="Z18" s="30">
        <f>X18+$Z$7</f>
        <v>46257</v>
      </c>
      <c r="AA18" s="42"/>
      <c r="AB18" s="31">
        <f>IF(AV18="10. Issued to Contractor","-",IF(AV18="11. Subcontract Agreement signed","-",MAX(AN18,AR18)-$C$6))</f>
        <v>135</v>
      </c>
      <c r="AC18" s="16"/>
      <c r="AD18" s="131">
        <f>SUM($H$7:$Y$7)</f>
        <v>95</v>
      </c>
      <c r="AE18" s="16"/>
      <c r="AF18" s="95"/>
      <c r="AG18" s="67"/>
      <c r="AH18" s="143">
        <v>19800000</v>
      </c>
      <c r="AI18" s="67"/>
      <c r="AJ18" s="68" t="str">
        <f>IF(AI18&gt;0,SUM(AH18)-SUM(AI18),"")</f>
        <v/>
      </c>
      <c r="AK18" s="102"/>
      <c r="AL18" s="48"/>
      <c r="AM18" s="105">
        <v>120</v>
      </c>
      <c r="AN18" s="69">
        <f>$M$3+AM18-1</f>
        <v>46247</v>
      </c>
      <c r="AO18" s="107">
        <f>AN18-AU18</f>
        <v>40</v>
      </c>
      <c r="AP18" s="48"/>
      <c r="AQ18" s="111"/>
      <c r="AR18" s="70">
        <f>IFERROR(WORKDAY.INTL(AN18,AQ18,11),"")</f>
        <v>46247</v>
      </c>
      <c r="AS18" s="107">
        <f>AR18-AU18</f>
        <v>40</v>
      </c>
      <c r="AT18" s="48"/>
      <c r="AU18" s="113">
        <f>IF(Y18&gt;0,Y18,IFERROR(MAX(_xlfn.XLOOKUP($AV18,$H$8:$Z$8,$G18:$Y18),$C$6)+(AN18-_xlfn.XLOOKUP($AV18,$H$8:$Z$8,$F18:$X18))*AD18/SUM($H$7:$Y$7),$C$6+SUM(AD18)))</f>
        <v>46207</v>
      </c>
      <c r="AV18" s="119" t="str" cm="1">
        <f t="array" ref="AV18">IF(OR(G18&gt;$C$6,G18=""),$F$8,INDEX($E$8:$Z$8,MATCH(TRUE,(F18:AA18=""),0)))</f>
        <v>1. Tender Docs &amp; BOQ</v>
      </c>
      <c r="AW18" s="116" t="b">
        <f>IF(AND(G18&gt;0,G18&lt;$C$6),TRUE,FALSE)</f>
        <v>0</v>
      </c>
      <c r="AX18" s="71" t="b">
        <f>IF(AND(I18&gt;0,I18&lt;$C$6),TRUE,FALSE)</f>
        <v>0</v>
      </c>
      <c r="AY18" s="71" t="b">
        <f>IF(AND(K18&gt;0,K18&lt;$C$6),TRUE,FALSE)</f>
        <v>0</v>
      </c>
      <c r="AZ18" s="71" t="b">
        <f>IF(AND(M18&gt;0,M18&lt;$C$6),TRUE,FALSE)</f>
        <v>0</v>
      </c>
      <c r="BA18" s="71" t="b">
        <f>IF(AND(O18&gt;0,O18&lt;$C$6),TRUE,FALSE)</f>
        <v>0</v>
      </c>
      <c r="BB18" s="71" t="b">
        <f>IF(AND(Q18&gt;0,Q18&lt;$C$6),TRUE,FALSE)</f>
        <v>0</v>
      </c>
      <c r="BC18" s="71" t="b">
        <f>IF(AND(S18&gt;0,S18&lt;$C$6),TRUE,FALSE)</f>
        <v>0</v>
      </c>
      <c r="BD18" s="71" t="b">
        <f>IF(AND(U18&gt;0,U18&lt;$C$6),TRUE,FALSE)</f>
        <v>0</v>
      </c>
      <c r="BE18" s="71" t="b">
        <f>IF(AND(W18&gt;0,W18&lt;$C$6),TRUE,FALSE)</f>
        <v>0</v>
      </c>
      <c r="BF18" s="71" t="b">
        <f>IF(AND(Y18&gt;0,Y18&lt;$C$6),TRUE,FALSE)</f>
        <v>0</v>
      </c>
      <c r="BG18" s="89" t="b">
        <f>IF(AND(AA18&gt;0,AA18&lt;$C$6),TRUE,FALSE)</f>
        <v>0</v>
      </c>
      <c r="BH18" s="146"/>
    </row>
    <row r="19" spans="1:60" ht="26.25" x14ac:dyDescent="0.25">
      <c r="A19" s="56" cm="1">
        <f t="array" ref="A19">SUMPRODUCT(($AV$10:$AV$36&lt;&gt;"")*(ROW($AV$10:$AV$36)&lt;=ROW()))</f>
        <v>8</v>
      </c>
      <c r="B19" s="59"/>
      <c r="C19" s="60" t="s">
        <v>275</v>
      </c>
      <c r="D19" s="59" t="s">
        <v>107</v>
      </c>
      <c r="E19" s="43"/>
      <c r="F19" s="44">
        <f>H19-$H$7</f>
        <v>46152</v>
      </c>
      <c r="G19" s="45"/>
      <c r="H19" s="44">
        <f>J19-$J$7</f>
        <v>46159</v>
      </c>
      <c r="I19" s="45"/>
      <c r="J19" s="44">
        <f>L19-$L$7</f>
        <v>46165</v>
      </c>
      <c r="K19" s="45"/>
      <c r="L19" s="44">
        <f>N19-$N$7</f>
        <v>46168</v>
      </c>
      <c r="M19" s="45"/>
      <c r="N19" s="44">
        <f>P19-$P$7</f>
        <v>46198</v>
      </c>
      <c r="O19" s="45"/>
      <c r="P19" s="44">
        <f>R19-$R$7</f>
        <v>46208</v>
      </c>
      <c r="Q19" s="45"/>
      <c r="R19" s="44">
        <f>T19-$T$7</f>
        <v>46228</v>
      </c>
      <c r="S19" s="45"/>
      <c r="T19" s="44">
        <f>V19-$V$7</f>
        <v>46235</v>
      </c>
      <c r="U19" s="45"/>
      <c r="V19" s="44">
        <f>X19-$X$7</f>
        <v>46242</v>
      </c>
      <c r="W19" s="45"/>
      <c r="X19" s="44">
        <f t="shared" ref="X19" si="30">AN19</f>
        <v>46247</v>
      </c>
      <c r="Y19" s="45"/>
      <c r="Z19" s="46">
        <f>X19+$Z$7</f>
        <v>46257</v>
      </c>
      <c r="AA19" s="45"/>
      <c r="AB19" s="47">
        <f>IF(AV19="10. Issued to Contractor","-",IF(AV19="11. Subcontract Agreement signed","-",MAX(AN19,AR19)-$C$6))</f>
        <v>135</v>
      </c>
      <c r="AC19" s="16"/>
      <c r="AD19" s="131">
        <f t="shared" ref="AD19" si="31">SUM($H$7:$Y$7)</f>
        <v>95</v>
      </c>
      <c r="AE19" s="16"/>
      <c r="AF19" s="96"/>
      <c r="AG19" s="72"/>
      <c r="AH19" s="142" t="s">
        <v>134</v>
      </c>
      <c r="AI19" s="72"/>
      <c r="AJ19" s="73" t="str">
        <f>IF(AI19&gt;0,SUM(AH19)-SUM(AI19),"")</f>
        <v/>
      </c>
      <c r="AK19" s="101"/>
      <c r="AL19" s="48"/>
      <c r="AM19" s="104">
        <v>120</v>
      </c>
      <c r="AN19" s="74">
        <f>$M$3+AM19-1</f>
        <v>46247</v>
      </c>
      <c r="AO19" s="108">
        <f>AN19-AU19</f>
        <v>40</v>
      </c>
      <c r="AP19" s="48"/>
      <c r="AQ19" s="110"/>
      <c r="AR19" s="75">
        <f>IFERROR(WORKDAY.INTL(AN19,AQ19,11),"")</f>
        <v>46247</v>
      </c>
      <c r="AS19" s="108">
        <f>AR19-AU19</f>
        <v>40</v>
      </c>
      <c r="AT19" s="48"/>
      <c r="AU19" s="114">
        <f t="shared" ref="AU19" si="32">IF(Y19&gt;0,Y19,IFERROR(MAX(_xlfn.XLOOKUP($AV19,$H$8:$Z$8,$G19:$Y19),$C$6)+(AN19-_xlfn.XLOOKUP($AV19,$H$8:$Z$8,$F19:$X19))*AD19/SUM($H$7:$Y$7),$C$6+SUM(AD19)))</f>
        <v>46207</v>
      </c>
      <c r="AV19" s="120" t="str" cm="1">
        <f t="array" ref="AV19">IF(OR(G19&gt;$C$6,G19=""),$F$8,INDEX($E$8:$Z$8,MATCH(TRUE,(F19:AA19=""),0)))</f>
        <v>1. Tender Docs &amp; BOQ</v>
      </c>
      <c r="AW19" s="117" t="b">
        <f>IF(AND(G19&gt;0,G19&lt;$C$6),TRUE,FALSE)</f>
        <v>0</v>
      </c>
      <c r="AX19" s="76" t="b">
        <f>IF(AND(I19&gt;0,I19&lt;$C$6),TRUE,FALSE)</f>
        <v>0</v>
      </c>
      <c r="AY19" s="76" t="b">
        <f>IF(AND(K19&gt;0,K19&lt;$C$6),TRUE,FALSE)</f>
        <v>0</v>
      </c>
      <c r="AZ19" s="76" t="b">
        <f>IF(AND(M19&gt;0,M19&lt;$C$6),TRUE,FALSE)</f>
        <v>0</v>
      </c>
      <c r="BA19" s="76" t="b">
        <f>IF(AND(O19&gt;0,O19&lt;$C$6),TRUE,FALSE)</f>
        <v>0</v>
      </c>
      <c r="BB19" s="76" t="b">
        <f>IF(AND(Q19&gt;0,Q19&lt;$C$6),TRUE,FALSE)</f>
        <v>0</v>
      </c>
      <c r="BC19" s="76" t="b">
        <f>IF(AND(S19&gt;0,S19&lt;$C$6),TRUE,FALSE)</f>
        <v>0</v>
      </c>
      <c r="BD19" s="76" t="b">
        <f>IF(AND(U19&gt;0,U19&lt;$C$6),TRUE,FALSE)</f>
        <v>0</v>
      </c>
      <c r="BE19" s="76" t="b">
        <f>IF(AND(W19&gt;0,W19&lt;$C$6),TRUE,FALSE)</f>
        <v>0</v>
      </c>
      <c r="BF19" s="76" t="b">
        <f>IF(AND(Y19&gt;0,Y19&lt;$C$6),TRUE,FALSE)</f>
        <v>0</v>
      </c>
      <c r="BG19" s="90" t="b">
        <f>IF(AND(AA19&gt;0,AA19&lt;$C$6),TRUE,FALSE)</f>
        <v>0</v>
      </c>
      <c r="BH19" s="146"/>
    </row>
    <row r="20" spans="1:60" ht="23.25" x14ac:dyDescent="0.25">
      <c r="A20" s="53"/>
      <c r="B20" s="49"/>
      <c r="C20" s="50" t="s">
        <v>445</v>
      </c>
      <c r="D20" s="51"/>
      <c r="E20" s="51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1"/>
      <c r="AC20" s="51"/>
      <c r="AD20" s="132"/>
      <c r="AE20" s="51"/>
      <c r="AF20" s="51"/>
      <c r="AG20" s="51"/>
      <c r="AH20" s="144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88"/>
      <c r="BH20" s="146"/>
    </row>
    <row r="21" spans="1:60" ht="26.25" x14ac:dyDescent="0.25">
      <c r="A21" s="56" cm="1">
        <f t="array" ref="A21">SUMPRODUCT(($AV$10:$AV$36&lt;&gt;"")*(ROW($AV$10:$AV$36)&lt;=ROW()))</f>
        <v>9</v>
      </c>
      <c r="B21" s="57"/>
      <c r="C21" s="58" t="s">
        <v>316</v>
      </c>
      <c r="D21" s="93" t="s">
        <v>7</v>
      </c>
      <c r="E21" s="16"/>
      <c r="F21" s="29">
        <f>H21-$H$7</f>
        <v>46122</v>
      </c>
      <c r="G21" s="42"/>
      <c r="H21" s="29">
        <f>J21-$J$7</f>
        <v>46129</v>
      </c>
      <c r="I21" s="42"/>
      <c r="J21" s="29">
        <f>L21-$L$7</f>
        <v>46135</v>
      </c>
      <c r="K21" s="42"/>
      <c r="L21" s="29">
        <f>N21-$N$7</f>
        <v>46138</v>
      </c>
      <c r="M21" s="42"/>
      <c r="N21" s="29">
        <f>P21-$P$7</f>
        <v>46168</v>
      </c>
      <c r="O21" s="42"/>
      <c r="P21" s="29">
        <f>R21-$R$7</f>
        <v>46178</v>
      </c>
      <c r="Q21" s="42"/>
      <c r="R21" s="29">
        <f>T21-$T$7</f>
        <v>46198</v>
      </c>
      <c r="S21" s="42"/>
      <c r="T21" s="29">
        <f>V21-$V$7</f>
        <v>46205</v>
      </c>
      <c r="U21" s="42"/>
      <c r="V21" s="29">
        <f>X21-$X$7</f>
        <v>46212</v>
      </c>
      <c r="W21" s="42"/>
      <c r="X21" s="29">
        <f t="shared" ref="X21:X23" si="33">AN21</f>
        <v>46217</v>
      </c>
      <c r="Y21" s="42"/>
      <c r="Z21" s="30">
        <f>X21+$Z$7</f>
        <v>46227</v>
      </c>
      <c r="AA21" s="42"/>
      <c r="AB21" s="31">
        <f>IF(AV21="10. Issued to Contractor","-",IF(AV21="11. Subcontract Agreement signed","-",MAX(AN21,AR21)-$C$6))</f>
        <v>105</v>
      </c>
      <c r="AC21" s="16"/>
      <c r="AD21" s="131">
        <f t="shared" ref="AD21:AD23" si="34">SUM($H$7:$Y$7)</f>
        <v>95</v>
      </c>
      <c r="AE21" s="16"/>
      <c r="AF21" s="95"/>
      <c r="AG21" s="67"/>
      <c r="AH21" s="143">
        <v>17600000</v>
      </c>
      <c r="AI21" s="67"/>
      <c r="AJ21" s="68" t="str">
        <f>IF(AI21&gt;0,SUM(AH21)-SUM(AI21),"")</f>
        <v/>
      </c>
      <c r="AK21" s="102"/>
      <c r="AL21" s="48"/>
      <c r="AM21" s="105">
        <v>90</v>
      </c>
      <c r="AN21" s="69">
        <f>$M$3+AM21-1</f>
        <v>46217</v>
      </c>
      <c r="AO21" s="107">
        <f>AN21-AU21</f>
        <v>10</v>
      </c>
      <c r="AP21" s="48"/>
      <c r="AQ21" s="111"/>
      <c r="AR21" s="70">
        <f>IFERROR(WORKDAY.INTL(AN21,AQ21,11),"")</f>
        <v>46217</v>
      </c>
      <c r="AS21" s="107">
        <f>AR21-AU21</f>
        <v>10</v>
      </c>
      <c r="AT21" s="48"/>
      <c r="AU21" s="113">
        <f t="shared" ref="AU21:AU23" si="35">IF(Y21&gt;0,Y21,IFERROR(MAX(_xlfn.XLOOKUP($AV21,$H$8:$Z$8,$G21:$Y21),$C$6)+(AN21-_xlfn.XLOOKUP($AV21,$H$8:$Z$8,$F21:$X21))*AD21/SUM($H$7:$Y$7),$C$6+SUM(AD21)))</f>
        <v>46207</v>
      </c>
      <c r="AV21" s="119" t="str" cm="1">
        <f t="array" ref="AV21">IF(OR(G21&gt;$C$6,G21=""),$F$8,INDEX($E$8:$Z$8,MATCH(TRUE,(F21:AA21=""),0)))</f>
        <v>1. Tender Docs &amp; BOQ</v>
      </c>
      <c r="AW21" s="116" t="b">
        <f>IF(AND(G21&gt;0,G21&lt;$C$6),TRUE,FALSE)</f>
        <v>0</v>
      </c>
      <c r="AX21" s="71" t="b">
        <f>IF(AND(I21&gt;0,I21&lt;$C$6),TRUE,FALSE)</f>
        <v>0</v>
      </c>
      <c r="AY21" s="71" t="b">
        <f>IF(AND(K21&gt;0,K21&lt;$C$6),TRUE,FALSE)</f>
        <v>0</v>
      </c>
      <c r="AZ21" s="71" t="b">
        <f>IF(AND(M21&gt;0,M21&lt;$C$6),TRUE,FALSE)</f>
        <v>0</v>
      </c>
      <c r="BA21" s="71" t="b">
        <f>IF(AND(O21&gt;0,O21&lt;$C$6),TRUE,FALSE)</f>
        <v>0</v>
      </c>
      <c r="BB21" s="71" t="b">
        <f>IF(AND(Q21&gt;0,Q21&lt;$C$6),TRUE,FALSE)</f>
        <v>0</v>
      </c>
      <c r="BC21" s="71" t="b">
        <f>IF(AND(S21&gt;0,S21&lt;$C$6),TRUE,FALSE)</f>
        <v>0</v>
      </c>
      <c r="BD21" s="71" t="b">
        <f>IF(AND(U21&gt;0,U21&lt;$C$6),TRUE,FALSE)</f>
        <v>0</v>
      </c>
      <c r="BE21" s="71" t="b">
        <f>IF(AND(W21&gt;0,W21&lt;$C$6),TRUE,FALSE)</f>
        <v>0</v>
      </c>
      <c r="BF21" s="71" t="b">
        <f>IF(AND(Y21&gt;0,Y21&lt;$C$6),TRUE,FALSE)</f>
        <v>0</v>
      </c>
      <c r="BG21" s="89" t="b">
        <f>IF(AND(AA21&gt;0,AA21&lt;$C$6),TRUE,FALSE)</f>
        <v>0</v>
      </c>
      <c r="BH21" s="146"/>
    </row>
    <row r="22" spans="1:60" ht="26.25" x14ac:dyDescent="0.25">
      <c r="A22" s="56" cm="1">
        <f t="array" ref="A22">SUMPRODUCT(($AV$10:$AV$36&lt;&gt;"")*(ROW($AV$10:$AV$36)&lt;=ROW()))</f>
        <v>10</v>
      </c>
      <c r="B22" s="59"/>
      <c r="C22" s="60" t="s">
        <v>317</v>
      </c>
      <c r="D22" s="59" t="s">
        <v>7</v>
      </c>
      <c r="E22" s="43"/>
      <c r="F22" s="44">
        <f>H22-$H$7</f>
        <v>46122</v>
      </c>
      <c r="G22" s="45"/>
      <c r="H22" s="44">
        <f>J22-$J$7</f>
        <v>46129</v>
      </c>
      <c r="I22" s="45"/>
      <c r="J22" s="44">
        <f>L22-$L$7</f>
        <v>46135</v>
      </c>
      <c r="K22" s="45"/>
      <c r="L22" s="44">
        <f>N22-$N$7</f>
        <v>46138</v>
      </c>
      <c r="M22" s="45"/>
      <c r="N22" s="44">
        <f>P22-$P$7</f>
        <v>46168</v>
      </c>
      <c r="O22" s="45"/>
      <c r="P22" s="44">
        <f>R22-$R$7</f>
        <v>46178</v>
      </c>
      <c r="Q22" s="45"/>
      <c r="R22" s="44">
        <f>T22-$T$7</f>
        <v>46198</v>
      </c>
      <c r="S22" s="45"/>
      <c r="T22" s="44">
        <f>V22-$V$7</f>
        <v>46205</v>
      </c>
      <c r="U22" s="45"/>
      <c r="V22" s="44">
        <f>X22-$X$7</f>
        <v>46212</v>
      </c>
      <c r="W22" s="45"/>
      <c r="X22" s="44">
        <f t="shared" si="33"/>
        <v>46217</v>
      </c>
      <c r="Y22" s="45"/>
      <c r="Z22" s="46">
        <f>X22+$Z$7</f>
        <v>46227</v>
      </c>
      <c r="AA22" s="45"/>
      <c r="AB22" s="32">
        <f>IF(AV22="10. Issued to Contractor","-",IF(AV22="11. Subcontract Agreement signed","-",MAX(AN22,AR22)-$C$6))</f>
        <v>105</v>
      </c>
      <c r="AC22" s="16"/>
      <c r="AD22" s="131">
        <f t="shared" si="34"/>
        <v>95</v>
      </c>
      <c r="AE22" s="16"/>
      <c r="AF22" s="96"/>
      <c r="AG22" s="72"/>
      <c r="AH22" s="142">
        <v>46200000.000000007</v>
      </c>
      <c r="AI22" s="72"/>
      <c r="AJ22" s="73" t="str">
        <f>IF(AI22&gt;0,SUM(AH22)-SUM(AI22),"")</f>
        <v/>
      </c>
      <c r="AK22" s="101"/>
      <c r="AL22" s="48"/>
      <c r="AM22" s="104">
        <f>AM21</f>
        <v>90</v>
      </c>
      <c r="AN22" s="74">
        <f>$M$3+AM22-1</f>
        <v>46217</v>
      </c>
      <c r="AO22" s="108">
        <f>AN22-AU22</f>
        <v>10</v>
      </c>
      <c r="AP22" s="48"/>
      <c r="AQ22" s="110"/>
      <c r="AR22" s="75">
        <f>IFERROR(WORKDAY.INTL(AN22,AQ22,11),"")</f>
        <v>46217</v>
      </c>
      <c r="AS22" s="108">
        <f>AR22-AU22</f>
        <v>10</v>
      </c>
      <c r="AT22" s="48"/>
      <c r="AU22" s="114">
        <f t="shared" si="35"/>
        <v>46207</v>
      </c>
      <c r="AV22" s="120" t="str" cm="1">
        <f t="array" ref="AV22">IF(OR(G22&gt;$C$6,G22=""),$F$8,INDEX($E$8:$Z$8,MATCH(TRUE,(F22:AA22=""),0)))</f>
        <v>1. Tender Docs &amp; BOQ</v>
      </c>
      <c r="AW22" s="117" t="b">
        <f>IF(AND(G22&gt;0,G22&lt;$C$6),TRUE,FALSE)</f>
        <v>0</v>
      </c>
      <c r="AX22" s="76" t="b">
        <f>IF(AND(I22&gt;0,I22&lt;$C$6),TRUE,FALSE)</f>
        <v>0</v>
      </c>
      <c r="AY22" s="76" t="b">
        <f>IF(AND(K22&gt;0,K22&lt;$C$6),TRUE,FALSE)</f>
        <v>0</v>
      </c>
      <c r="AZ22" s="76" t="b">
        <f>IF(AND(M22&gt;0,M22&lt;$C$6),TRUE,FALSE)</f>
        <v>0</v>
      </c>
      <c r="BA22" s="76" t="b">
        <f>IF(AND(O22&gt;0,O22&lt;$C$6),TRUE,FALSE)</f>
        <v>0</v>
      </c>
      <c r="BB22" s="76" t="b">
        <f>IF(AND(Q22&gt;0,Q22&lt;$C$6),TRUE,FALSE)</f>
        <v>0</v>
      </c>
      <c r="BC22" s="76" t="b">
        <f>IF(AND(S22&gt;0,S22&lt;$C$6),TRUE,FALSE)</f>
        <v>0</v>
      </c>
      <c r="BD22" s="76" t="b">
        <f>IF(AND(U22&gt;0,U22&lt;$C$6),TRUE,FALSE)</f>
        <v>0</v>
      </c>
      <c r="BE22" s="76" t="b">
        <f>IF(AND(W22&gt;0,W22&lt;$C$6),TRUE,FALSE)</f>
        <v>0</v>
      </c>
      <c r="BF22" s="76" t="b">
        <f>IF(AND(Y22&gt;0,Y22&lt;$C$6),TRUE,FALSE)</f>
        <v>0</v>
      </c>
      <c r="BG22" s="90" t="b">
        <f>IF(AND(AA22&gt;0,AA22&lt;$C$6),TRUE,FALSE)</f>
        <v>0</v>
      </c>
      <c r="BH22" s="146"/>
    </row>
    <row r="23" spans="1:60" ht="26.25" x14ac:dyDescent="0.25">
      <c r="A23" s="56" cm="1">
        <f t="array" ref="A23">SUMPRODUCT(($AV$10:$AV$36&lt;&gt;"")*(ROW($AV$10:$AV$36)&lt;=ROW()))</f>
        <v>11</v>
      </c>
      <c r="B23" s="57"/>
      <c r="C23" s="58" t="s">
        <v>318</v>
      </c>
      <c r="D23" s="93" t="s">
        <v>7</v>
      </c>
      <c r="E23" s="16"/>
      <c r="F23" s="29">
        <f>H23-$H$7</f>
        <v>46122</v>
      </c>
      <c r="G23" s="42"/>
      <c r="H23" s="29">
        <f>J23-$J$7</f>
        <v>46129</v>
      </c>
      <c r="I23" s="42"/>
      <c r="J23" s="29">
        <f>L23-$L$7</f>
        <v>46135</v>
      </c>
      <c r="K23" s="42"/>
      <c r="L23" s="29">
        <f>N23-$N$7</f>
        <v>46138</v>
      </c>
      <c r="M23" s="42"/>
      <c r="N23" s="29">
        <f>P23-$P$7</f>
        <v>46168</v>
      </c>
      <c r="O23" s="42"/>
      <c r="P23" s="29">
        <f>R23-$R$7</f>
        <v>46178</v>
      </c>
      <c r="Q23" s="42"/>
      <c r="R23" s="29">
        <f>T23-$T$7</f>
        <v>46198</v>
      </c>
      <c r="S23" s="42"/>
      <c r="T23" s="29">
        <f>V23-$V$7</f>
        <v>46205</v>
      </c>
      <c r="U23" s="42"/>
      <c r="V23" s="29">
        <f>X23-$X$7</f>
        <v>46212</v>
      </c>
      <c r="W23" s="42"/>
      <c r="X23" s="29">
        <f t="shared" si="33"/>
        <v>46217</v>
      </c>
      <c r="Y23" s="42"/>
      <c r="Z23" s="30">
        <f>X23+$Z$7</f>
        <v>46227</v>
      </c>
      <c r="AA23" s="42"/>
      <c r="AB23" s="31">
        <f>IF(AV23="10. Issued to Contractor","-",IF(AV23="11. Subcontract Agreement signed","-",MAX(AN23,AR23)-$C$6))</f>
        <v>105</v>
      </c>
      <c r="AC23" s="16"/>
      <c r="AD23" s="131">
        <f t="shared" si="34"/>
        <v>95</v>
      </c>
      <c r="AE23" s="16"/>
      <c r="AF23" s="95"/>
      <c r="AG23" s="67"/>
      <c r="AH23" s="143">
        <v>55000000.000000007</v>
      </c>
      <c r="AI23" s="67"/>
      <c r="AJ23" s="68" t="str">
        <f>IF(AI23&gt;0,SUM(AH23)-SUM(AI23),"")</f>
        <v/>
      </c>
      <c r="AK23" s="102"/>
      <c r="AL23" s="48"/>
      <c r="AM23" s="105">
        <f>AM22</f>
        <v>90</v>
      </c>
      <c r="AN23" s="69">
        <f>$M$3+AM23-1</f>
        <v>46217</v>
      </c>
      <c r="AO23" s="107">
        <f>AN23-AU23</f>
        <v>10</v>
      </c>
      <c r="AP23" s="48"/>
      <c r="AQ23" s="111"/>
      <c r="AR23" s="70">
        <f>IFERROR(WORKDAY.INTL(AN23,AQ23,11),"")</f>
        <v>46217</v>
      </c>
      <c r="AS23" s="107">
        <f>AR23-AU23</f>
        <v>10</v>
      </c>
      <c r="AT23" s="48"/>
      <c r="AU23" s="113">
        <f t="shared" si="35"/>
        <v>46207</v>
      </c>
      <c r="AV23" s="119" t="str" cm="1">
        <f t="array" ref="AV23">IF(OR(G23&gt;$C$6,G23=""),$F$8,INDEX($E$8:$Z$8,MATCH(TRUE,(F23:AA23=""),0)))</f>
        <v>1. Tender Docs &amp; BOQ</v>
      </c>
      <c r="AW23" s="116" t="b">
        <f>IF(AND(G23&gt;0,G23&lt;$C$6),TRUE,FALSE)</f>
        <v>0</v>
      </c>
      <c r="AX23" s="71" t="b">
        <f>IF(AND(I23&gt;0,I23&lt;$C$6),TRUE,FALSE)</f>
        <v>0</v>
      </c>
      <c r="AY23" s="71" t="b">
        <f>IF(AND(K23&gt;0,K23&lt;$C$6),TRUE,FALSE)</f>
        <v>0</v>
      </c>
      <c r="AZ23" s="71" t="b">
        <f>IF(AND(M23&gt;0,M23&lt;$C$6),TRUE,FALSE)</f>
        <v>0</v>
      </c>
      <c r="BA23" s="71" t="b">
        <f>IF(AND(O23&gt;0,O23&lt;$C$6),TRUE,FALSE)</f>
        <v>0</v>
      </c>
      <c r="BB23" s="71" t="b">
        <f>IF(AND(Q23&gt;0,Q23&lt;$C$6),TRUE,FALSE)</f>
        <v>0</v>
      </c>
      <c r="BC23" s="71" t="b">
        <f>IF(AND(S23&gt;0,S23&lt;$C$6),TRUE,FALSE)</f>
        <v>0</v>
      </c>
      <c r="BD23" s="71" t="b">
        <f>IF(AND(U23&gt;0,U23&lt;$C$6),TRUE,FALSE)</f>
        <v>0</v>
      </c>
      <c r="BE23" s="71" t="b">
        <f>IF(AND(W23&gt;0,W23&lt;$C$6),TRUE,FALSE)</f>
        <v>0</v>
      </c>
      <c r="BF23" s="71" t="b">
        <f>IF(AND(Y23&gt;0,Y23&lt;$C$6),TRUE,FALSE)</f>
        <v>0</v>
      </c>
      <c r="BG23" s="89" t="b">
        <f>IF(AND(AA23&gt;0,AA23&lt;$C$6),TRUE,FALSE)</f>
        <v>0</v>
      </c>
      <c r="BH23" s="146"/>
    </row>
    <row r="24" spans="1:60" ht="23.25" x14ac:dyDescent="0.25">
      <c r="A24" s="54"/>
      <c r="B24" s="49"/>
      <c r="C24" s="50" t="s">
        <v>128</v>
      </c>
      <c r="D24" s="51"/>
      <c r="E24" s="51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1"/>
      <c r="AC24" s="51"/>
      <c r="AD24" s="132"/>
      <c r="AE24" s="51"/>
      <c r="AF24" s="51"/>
      <c r="AG24" s="51"/>
      <c r="AH24" s="144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  <c r="BC24" s="51"/>
      <c r="BD24" s="51"/>
      <c r="BE24" s="51"/>
      <c r="BF24" s="51"/>
      <c r="BG24" s="88"/>
      <c r="BH24" s="146"/>
    </row>
    <row r="25" spans="1:60" ht="26.25" x14ac:dyDescent="0.25">
      <c r="A25" s="56" cm="1">
        <f t="array" ref="A25">SUMPRODUCT(($AV$10:$AV$36&lt;&gt;"")*(ROW($AV$10:$AV$36)&lt;=ROW()))</f>
        <v>12</v>
      </c>
      <c r="B25" s="59"/>
      <c r="C25" s="60" t="s">
        <v>319</v>
      </c>
      <c r="D25" s="59" t="s">
        <v>3</v>
      </c>
      <c r="E25" s="43"/>
      <c r="F25" s="44">
        <f>H25-$H$7</f>
        <v>46152</v>
      </c>
      <c r="G25" s="45"/>
      <c r="H25" s="44">
        <f>J25-$J$7</f>
        <v>46159</v>
      </c>
      <c r="I25" s="45"/>
      <c r="J25" s="44">
        <f>L25-$L$7</f>
        <v>46165</v>
      </c>
      <c r="K25" s="45"/>
      <c r="L25" s="44">
        <f>N25-$N$7</f>
        <v>46168</v>
      </c>
      <c r="M25" s="45"/>
      <c r="N25" s="44">
        <f>P25-$P$7</f>
        <v>46198</v>
      </c>
      <c r="O25" s="45"/>
      <c r="P25" s="44">
        <f>R25-$R$7</f>
        <v>46208</v>
      </c>
      <c r="Q25" s="45"/>
      <c r="R25" s="44">
        <f>T25-$T$7</f>
        <v>46228</v>
      </c>
      <c r="S25" s="45"/>
      <c r="T25" s="44">
        <f>V25-$V$7</f>
        <v>46235</v>
      </c>
      <c r="U25" s="45"/>
      <c r="V25" s="44">
        <f>X25-$X$7</f>
        <v>46242</v>
      </c>
      <c r="W25" s="45"/>
      <c r="X25" s="44">
        <f t="shared" ref="X25" si="36">AN25</f>
        <v>46247</v>
      </c>
      <c r="Y25" s="45"/>
      <c r="Z25" s="46">
        <f>X25+$Z$7</f>
        <v>46257</v>
      </c>
      <c r="AA25" s="45"/>
      <c r="AB25" s="32">
        <f>IF(AV25="10. Issued to Contractor","-",IF(AV25="11. Subcontract Agreement signed","-",MAX(AN25,AR25)-$C$6))</f>
        <v>135</v>
      </c>
      <c r="AC25" s="16"/>
      <c r="AD25" s="131">
        <f t="shared" ref="AD25" si="37">SUM($H$7:$Y$7)</f>
        <v>95</v>
      </c>
      <c r="AE25" s="16"/>
      <c r="AF25" s="96"/>
      <c r="AG25" s="72"/>
      <c r="AH25" s="142">
        <v>35200000</v>
      </c>
      <c r="AI25" s="72"/>
      <c r="AJ25" s="73" t="str">
        <f>IF(AI25&gt;0,SUM(AH25)-SUM(AI25),"")</f>
        <v/>
      </c>
      <c r="AK25" s="101"/>
      <c r="AL25" s="48"/>
      <c r="AM25" s="104">
        <v>120</v>
      </c>
      <c r="AN25" s="74">
        <f>$M$3+AM25-1</f>
        <v>46247</v>
      </c>
      <c r="AO25" s="108">
        <f>AN25-AU25</f>
        <v>40</v>
      </c>
      <c r="AP25" s="48"/>
      <c r="AQ25" s="110"/>
      <c r="AR25" s="75">
        <f>IFERROR(WORKDAY.INTL(AN25,AQ25,11),"")</f>
        <v>46247</v>
      </c>
      <c r="AS25" s="108">
        <f>AR25-AU25</f>
        <v>40</v>
      </c>
      <c r="AT25" s="48"/>
      <c r="AU25" s="114">
        <f t="shared" ref="AU25" si="38">IF(Y25&gt;0,Y25,IFERROR(MAX(_xlfn.XLOOKUP($AV25,$H$8:$Z$8,$G25:$Y25),$C$6)+(AN25-_xlfn.XLOOKUP($AV25,$H$8:$Z$8,$F25:$X25))*AD25/SUM($H$7:$Y$7),$C$6+SUM(AD25)))</f>
        <v>46207</v>
      </c>
      <c r="AV25" s="120" t="str" cm="1">
        <f t="array" ref="AV25">IF(OR(G25&gt;$C$6,G25=""),$F$8,INDEX($E$8:$Z$8,MATCH(TRUE,(F25:AA25=""),0)))</f>
        <v>1. Tender Docs &amp; BOQ</v>
      </c>
      <c r="AW25" s="117" t="b">
        <f>IF(AND(G25&gt;0,G25&lt;$C$6),TRUE,FALSE)</f>
        <v>0</v>
      </c>
      <c r="AX25" s="76" t="b">
        <f>IF(AND(I25&gt;0,I25&lt;$C$6),TRUE,FALSE)</f>
        <v>0</v>
      </c>
      <c r="AY25" s="76" t="b">
        <f>IF(AND(K25&gt;0,K25&lt;$C$6),TRUE,FALSE)</f>
        <v>0</v>
      </c>
      <c r="AZ25" s="76" t="b">
        <f>IF(AND(M25&gt;0,M25&lt;$C$6),TRUE,FALSE)</f>
        <v>0</v>
      </c>
      <c r="BA25" s="76" t="b">
        <f>IF(AND(O25&gt;0,O25&lt;$C$6),TRUE,FALSE)</f>
        <v>0</v>
      </c>
      <c r="BB25" s="76" t="b">
        <f>IF(AND(Q25&gt;0,Q25&lt;$C$6),TRUE,FALSE)</f>
        <v>0</v>
      </c>
      <c r="BC25" s="76" t="b">
        <f>IF(AND(S25&gt;0,S25&lt;$C$6),TRUE,FALSE)</f>
        <v>0</v>
      </c>
      <c r="BD25" s="76" t="b">
        <f>IF(AND(U25&gt;0,U25&lt;$C$6),TRUE,FALSE)</f>
        <v>0</v>
      </c>
      <c r="BE25" s="76" t="b">
        <f>IF(AND(W25&gt;0,W25&lt;$C$6),TRUE,FALSE)</f>
        <v>0</v>
      </c>
      <c r="BF25" s="76" t="b">
        <f>IF(AND(Y25&gt;0,Y25&lt;$C$6),TRUE,FALSE)</f>
        <v>0</v>
      </c>
      <c r="BG25" s="90" t="b">
        <f>IF(AND(AA25&gt;0,AA25&lt;$C$6),TRUE,FALSE)</f>
        <v>0</v>
      </c>
      <c r="BH25" s="146"/>
    </row>
    <row r="26" spans="1:60" ht="23.25" x14ac:dyDescent="0.25">
      <c r="A26" s="54"/>
      <c r="B26" s="49"/>
      <c r="C26" s="50" t="s">
        <v>137</v>
      </c>
      <c r="D26" s="51"/>
      <c r="E26" s="51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1"/>
      <c r="AC26" s="51"/>
      <c r="AD26" s="132"/>
      <c r="AE26" s="51"/>
      <c r="AF26" s="51"/>
      <c r="AG26" s="51"/>
      <c r="AH26" s="144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1"/>
      <c r="BE26" s="51"/>
      <c r="BF26" s="51"/>
      <c r="BG26" s="88"/>
      <c r="BH26" s="146"/>
    </row>
    <row r="27" spans="1:60" ht="26.25" x14ac:dyDescent="0.25">
      <c r="A27" s="56" cm="1">
        <f t="array" ref="A27">SUMPRODUCT(($AV$10:$AV$36&lt;&gt;"")*(ROW($AV$10:$AV$36)&lt;=ROW()))</f>
        <v>13</v>
      </c>
      <c r="B27" s="59"/>
      <c r="C27" s="60" t="s">
        <v>137</v>
      </c>
      <c r="D27" s="59" t="s">
        <v>11</v>
      </c>
      <c r="E27" s="43"/>
      <c r="F27" s="44">
        <f t="shared" ref="F27:F28" si="39">H27-$H$7</f>
        <v>46122</v>
      </c>
      <c r="G27" s="45"/>
      <c r="H27" s="44">
        <f t="shared" ref="H27:H28" si="40">J27-$J$7</f>
        <v>46129</v>
      </c>
      <c r="I27" s="45"/>
      <c r="J27" s="44">
        <f t="shared" ref="J27:J28" si="41">L27-$L$7</f>
        <v>46135</v>
      </c>
      <c r="K27" s="45"/>
      <c r="L27" s="44">
        <f t="shared" ref="L27:L28" si="42">N27-$N$7</f>
        <v>46138</v>
      </c>
      <c r="M27" s="45"/>
      <c r="N27" s="44">
        <f t="shared" ref="N27:N28" si="43">P27-$P$7</f>
        <v>46168</v>
      </c>
      <c r="O27" s="45"/>
      <c r="P27" s="44">
        <f t="shared" ref="P27:P28" si="44">R27-$R$7</f>
        <v>46178</v>
      </c>
      <c r="Q27" s="45"/>
      <c r="R27" s="44">
        <f t="shared" ref="R27:R28" si="45">T27-$T$7</f>
        <v>46198</v>
      </c>
      <c r="S27" s="45"/>
      <c r="T27" s="44">
        <f t="shared" ref="T27:T28" si="46">V27-$V$7</f>
        <v>46205</v>
      </c>
      <c r="U27" s="45"/>
      <c r="V27" s="44">
        <f t="shared" ref="V27:V28" si="47">X27-$X$7</f>
        <v>46212</v>
      </c>
      <c r="W27" s="45"/>
      <c r="X27" s="44">
        <f t="shared" ref="X27:X28" si="48">AN27</f>
        <v>46217</v>
      </c>
      <c r="Y27" s="45"/>
      <c r="Z27" s="46">
        <f t="shared" ref="Z27:Z28" si="49">X27+$Z$7</f>
        <v>46227</v>
      </c>
      <c r="AA27" s="45"/>
      <c r="AB27" s="32">
        <f t="shared" ref="AB27:AB28" si="50">IF(AV27="10. Issued to Contractor","-",IF(AV27="11. Subcontract Agreement signed","-",MAX(AN27,AR27)-$C$6))</f>
        <v>105</v>
      </c>
      <c r="AC27" s="16"/>
      <c r="AD27" s="131">
        <f t="shared" ref="AD27:AD28" si="51">SUM($H$7:$Y$7)</f>
        <v>95</v>
      </c>
      <c r="AE27" s="16"/>
      <c r="AF27" s="96"/>
      <c r="AG27" s="72"/>
      <c r="AH27" s="142">
        <v>70660593.300000012</v>
      </c>
      <c r="AI27" s="72"/>
      <c r="AJ27" s="73" t="str">
        <f>IF(AI27&gt;0,SUM(AH27)-SUM(AI27),"")</f>
        <v/>
      </c>
      <c r="AK27" s="101"/>
      <c r="AL27" s="48"/>
      <c r="AM27" s="104">
        <v>90</v>
      </c>
      <c r="AN27" s="74">
        <f t="shared" ref="AN27:AN28" si="52">$M$3+AM27-1</f>
        <v>46217</v>
      </c>
      <c r="AO27" s="108">
        <f t="shared" ref="AO27:AO28" si="53">AN27-AU27</f>
        <v>10</v>
      </c>
      <c r="AP27" s="48"/>
      <c r="AQ27" s="110"/>
      <c r="AR27" s="75">
        <f t="shared" ref="AR27:AR28" si="54">IFERROR(WORKDAY.INTL(AN27,AQ27,11),"")</f>
        <v>46217</v>
      </c>
      <c r="AS27" s="108">
        <f t="shared" ref="AS27:AS28" si="55">AR27-AU27</f>
        <v>10</v>
      </c>
      <c r="AT27" s="48"/>
      <c r="AU27" s="114">
        <f t="shared" ref="AU27:AU28" si="56">IF(Y27&gt;0,Y27,IFERROR(MAX(_xlfn.XLOOKUP($AV27,$H$8:$Z$8,$G27:$Y27),$C$6)+(AN27-_xlfn.XLOOKUP($AV27,$H$8:$Z$8,$F27:$X27))*AD27/SUM($H$7:$Y$7),$C$6+SUM(AD27)))</f>
        <v>46207</v>
      </c>
      <c r="AV27" s="120" t="str" cm="1">
        <f t="array" ref="AV27">IF(OR(G27&gt;$C$6,G27=""),$F$8,INDEX($E$8:$Z$8,MATCH(TRUE,(F27:AA27=""),0)))</f>
        <v>1. Tender Docs &amp; BOQ</v>
      </c>
      <c r="AW27" s="117" t="b">
        <f t="shared" ref="AW27:AW28" si="57">IF(AND(G27&gt;0,G27&lt;$C$6),TRUE,FALSE)</f>
        <v>0</v>
      </c>
      <c r="AX27" s="76" t="b">
        <f t="shared" ref="AX27:AX28" si="58">IF(AND(I27&gt;0,I27&lt;$C$6),TRUE,FALSE)</f>
        <v>0</v>
      </c>
      <c r="AY27" s="76" t="b">
        <f t="shared" ref="AY27:AY28" si="59">IF(AND(K27&gt;0,K27&lt;$C$6),TRUE,FALSE)</f>
        <v>0</v>
      </c>
      <c r="AZ27" s="76" t="b">
        <f t="shared" ref="AZ27:AZ28" si="60">IF(AND(M27&gt;0,M27&lt;$C$6),TRUE,FALSE)</f>
        <v>0</v>
      </c>
      <c r="BA27" s="76" t="b">
        <f t="shared" ref="BA27:BA28" si="61">IF(AND(O27&gt;0,O27&lt;$C$6),TRUE,FALSE)</f>
        <v>0</v>
      </c>
      <c r="BB27" s="76" t="b">
        <f t="shared" ref="BB27:BB28" si="62">IF(AND(Q27&gt;0,Q27&lt;$C$6),TRUE,FALSE)</f>
        <v>0</v>
      </c>
      <c r="BC27" s="76" t="b">
        <f t="shared" ref="BC27:BC28" si="63">IF(AND(S27&gt;0,S27&lt;$C$6),TRUE,FALSE)</f>
        <v>0</v>
      </c>
      <c r="BD27" s="76" t="b">
        <f t="shared" ref="BD27:BD28" si="64">IF(AND(U27&gt;0,U27&lt;$C$6),TRUE,FALSE)</f>
        <v>0</v>
      </c>
      <c r="BE27" s="76" t="b">
        <f t="shared" ref="BE27:BE28" si="65">IF(AND(W27&gt;0,W27&lt;$C$6),TRUE,FALSE)</f>
        <v>0</v>
      </c>
      <c r="BF27" s="76" t="b">
        <f t="shared" ref="BF27:BF28" si="66">IF(AND(Y27&gt;0,Y27&lt;$C$6),TRUE,FALSE)</f>
        <v>0</v>
      </c>
      <c r="BG27" s="90" t="b">
        <f t="shared" ref="BG27:BG28" si="67">IF(AND(AA27&gt;0,AA27&lt;$C$6),TRUE,FALSE)</f>
        <v>0</v>
      </c>
      <c r="BH27" s="146"/>
    </row>
    <row r="28" spans="1:60" ht="26.25" x14ac:dyDescent="0.25">
      <c r="A28" s="56" cm="1">
        <f t="array" ref="A28">SUMPRODUCT(($AV$10:$AV$36&lt;&gt;"")*(ROW($AV$10:$AV$36)&lt;=ROW()))</f>
        <v>14</v>
      </c>
      <c r="B28" s="57"/>
      <c r="C28" s="58" t="s">
        <v>320</v>
      </c>
      <c r="D28" s="93" t="s">
        <v>11</v>
      </c>
      <c r="E28" s="16"/>
      <c r="F28" s="29">
        <f t="shared" si="39"/>
        <v>46122</v>
      </c>
      <c r="G28" s="42"/>
      <c r="H28" s="29">
        <f t="shared" si="40"/>
        <v>46129</v>
      </c>
      <c r="I28" s="42"/>
      <c r="J28" s="29">
        <f t="shared" si="41"/>
        <v>46135</v>
      </c>
      <c r="K28" s="42"/>
      <c r="L28" s="29">
        <f t="shared" si="42"/>
        <v>46138</v>
      </c>
      <c r="M28" s="42"/>
      <c r="N28" s="29">
        <f t="shared" si="43"/>
        <v>46168</v>
      </c>
      <c r="O28" s="42"/>
      <c r="P28" s="29">
        <f t="shared" si="44"/>
        <v>46178</v>
      </c>
      <c r="Q28" s="42"/>
      <c r="R28" s="29">
        <f t="shared" si="45"/>
        <v>46198</v>
      </c>
      <c r="S28" s="42"/>
      <c r="T28" s="29">
        <f t="shared" si="46"/>
        <v>46205</v>
      </c>
      <c r="U28" s="42"/>
      <c r="V28" s="29">
        <f t="shared" si="47"/>
        <v>46212</v>
      </c>
      <c r="W28" s="42"/>
      <c r="X28" s="29">
        <f t="shared" si="48"/>
        <v>46217</v>
      </c>
      <c r="Y28" s="42"/>
      <c r="Z28" s="30">
        <f t="shared" si="49"/>
        <v>46227</v>
      </c>
      <c r="AA28" s="42"/>
      <c r="AB28" s="31">
        <f t="shared" si="50"/>
        <v>105</v>
      </c>
      <c r="AC28" s="16"/>
      <c r="AD28" s="131">
        <f t="shared" si="51"/>
        <v>95</v>
      </c>
      <c r="AE28" s="16"/>
      <c r="AF28" s="95"/>
      <c r="AG28" s="67"/>
      <c r="AH28" s="143">
        <v>39600000</v>
      </c>
      <c r="AI28" s="67"/>
      <c r="AJ28" s="68" t="str">
        <f>IF(AI28&gt;0,SUM(AH28)-SUM(AI28),"")</f>
        <v/>
      </c>
      <c r="AK28" s="102"/>
      <c r="AL28" s="48"/>
      <c r="AM28" s="105">
        <f>AM27</f>
        <v>90</v>
      </c>
      <c r="AN28" s="69">
        <f t="shared" si="52"/>
        <v>46217</v>
      </c>
      <c r="AO28" s="107">
        <f t="shared" si="53"/>
        <v>10</v>
      </c>
      <c r="AP28" s="48"/>
      <c r="AQ28" s="111"/>
      <c r="AR28" s="70">
        <f t="shared" si="54"/>
        <v>46217</v>
      </c>
      <c r="AS28" s="107">
        <f t="shared" si="55"/>
        <v>10</v>
      </c>
      <c r="AT28" s="48"/>
      <c r="AU28" s="113">
        <f t="shared" si="56"/>
        <v>46207</v>
      </c>
      <c r="AV28" s="119" t="str" cm="1">
        <f t="array" ref="AV28">IF(OR(G28&gt;$C$6,G28=""),$F$8,INDEX($E$8:$Z$8,MATCH(TRUE,(F28:AA28=""),0)))</f>
        <v>1. Tender Docs &amp; BOQ</v>
      </c>
      <c r="AW28" s="116" t="b">
        <f t="shared" si="57"/>
        <v>0</v>
      </c>
      <c r="AX28" s="71" t="b">
        <f t="shared" si="58"/>
        <v>0</v>
      </c>
      <c r="AY28" s="71" t="b">
        <f t="shared" si="59"/>
        <v>0</v>
      </c>
      <c r="AZ28" s="71" t="b">
        <f t="shared" si="60"/>
        <v>0</v>
      </c>
      <c r="BA28" s="71" t="b">
        <f t="shared" si="61"/>
        <v>0</v>
      </c>
      <c r="BB28" s="71" t="b">
        <f t="shared" si="62"/>
        <v>0</v>
      </c>
      <c r="BC28" s="71" t="b">
        <f t="shared" si="63"/>
        <v>0</v>
      </c>
      <c r="BD28" s="71" t="b">
        <f t="shared" si="64"/>
        <v>0</v>
      </c>
      <c r="BE28" s="71" t="b">
        <f t="shared" si="65"/>
        <v>0</v>
      </c>
      <c r="BF28" s="71" t="b">
        <f t="shared" si="66"/>
        <v>0</v>
      </c>
      <c r="BG28" s="89" t="b">
        <f t="shared" si="67"/>
        <v>0</v>
      </c>
      <c r="BH28" s="146"/>
    </row>
    <row r="29" spans="1:60" ht="23.25" x14ac:dyDescent="0.25">
      <c r="A29" s="54"/>
      <c r="B29" s="49"/>
      <c r="C29" s="50" t="s">
        <v>156</v>
      </c>
      <c r="D29" s="51"/>
      <c r="E29" s="51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1"/>
      <c r="AC29" s="51"/>
      <c r="AD29" s="132"/>
      <c r="AE29" s="51"/>
      <c r="AF29" s="51"/>
      <c r="AG29" s="51"/>
      <c r="AH29" s="144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88"/>
      <c r="BH29" s="146"/>
    </row>
    <row r="30" spans="1:60" ht="26.25" x14ac:dyDescent="0.25">
      <c r="A30" s="56" cm="1">
        <f t="array" ref="A30">SUMPRODUCT(($AV$10:$AV$36&lt;&gt;"")*(ROW($AV$10:$AV$36)&lt;=ROW()))</f>
        <v>15</v>
      </c>
      <c r="B30" s="59"/>
      <c r="C30" s="60" t="s">
        <v>321</v>
      </c>
      <c r="D30" s="59" t="s">
        <v>3</v>
      </c>
      <c r="E30" s="43"/>
      <c r="F30" s="44">
        <f>H30-$H$7</f>
        <v>46122</v>
      </c>
      <c r="G30" s="45"/>
      <c r="H30" s="44">
        <f>J30-$J$7</f>
        <v>46129</v>
      </c>
      <c r="I30" s="45"/>
      <c r="J30" s="44">
        <f>L30-$L$7</f>
        <v>46135</v>
      </c>
      <c r="K30" s="45"/>
      <c r="L30" s="44">
        <f>N30-$N$7</f>
        <v>46138</v>
      </c>
      <c r="M30" s="45"/>
      <c r="N30" s="44">
        <f>P30-$P$7</f>
        <v>46168</v>
      </c>
      <c r="O30" s="45"/>
      <c r="P30" s="44">
        <f>R30-$R$7</f>
        <v>46178</v>
      </c>
      <c r="Q30" s="45"/>
      <c r="R30" s="44">
        <f>T30-$T$7</f>
        <v>46198</v>
      </c>
      <c r="S30" s="45"/>
      <c r="T30" s="44">
        <f>V30-$V$7</f>
        <v>46205</v>
      </c>
      <c r="U30" s="45"/>
      <c r="V30" s="44">
        <f>X30-$X$7</f>
        <v>46212</v>
      </c>
      <c r="W30" s="45"/>
      <c r="X30" s="44">
        <f t="shared" ref="X30" si="68">AN30</f>
        <v>46217</v>
      </c>
      <c r="Y30" s="45"/>
      <c r="Z30" s="46">
        <f>X30+$Z$7</f>
        <v>46227</v>
      </c>
      <c r="AA30" s="45"/>
      <c r="AB30" s="32">
        <f>IF(AV30="10. Issued to Contractor","-",IF(AV30="11. Subcontract Agreement signed","-",MAX(AN30,AR30)-$C$6))</f>
        <v>105</v>
      </c>
      <c r="AC30" s="16"/>
      <c r="AD30" s="131">
        <f t="shared" ref="AD30" si="69">SUM($H$7:$Y$7)</f>
        <v>95</v>
      </c>
      <c r="AE30" s="16"/>
      <c r="AF30" s="96"/>
      <c r="AG30" s="72"/>
      <c r="AH30" s="142">
        <v>26400000.000000004</v>
      </c>
      <c r="AI30" s="72"/>
      <c r="AJ30" s="73" t="str">
        <f>IF(AI30&gt;0,SUM(AH30)-SUM(AI30),"")</f>
        <v/>
      </c>
      <c r="AK30" s="101"/>
      <c r="AL30" s="48"/>
      <c r="AM30" s="104">
        <v>90</v>
      </c>
      <c r="AN30" s="74">
        <f>$M$3+AM30-1</f>
        <v>46217</v>
      </c>
      <c r="AO30" s="108">
        <f>AN30-AU30</f>
        <v>10</v>
      </c>
      <c r="AP30" s="48"/>
      <c r="AQ30" s="110"/>
      <c r="AR30" s="75">
        <f>IFERROR(WORKDAY.INTL(AN30,AQ30,11),"")</f>
        <v>46217</v>
      </c>
      <c r="AS30" s="108">
        <f>AR30-AU30</f>
        <v>10</v>
      </c>
      <c r="AT30" s="48"/>
      <c r="AU30" s="114">
        <f t="shared" ref="AU30" si="70">IF(Y30&gt;0,Y30,IFERROR(MAX(_xlfn.XLOOKUP($AV30,$H$8:$Z$8,$G30:$Y30),$C$6)+(AN30-_xlfn.XLOOKUP($AV30,$H$8:$Z$8,$F30:$X30))*AD30/SUM($H$7:$Y$7),$C$6+SUM(AD30)))</f>
        <v>46207</v>
      </c>
      <c r="AV30" s="120" t="str" cm="1">
        <f t="array" ref="AV30">IF(OR(G30&gt;$C$6,G30=""),$F$8,INDEX($E$8:$Z$8,MATCH(TRUE,(F30:AA30=""),0)))</f>
        <v>1. Tender Docs &amp; BOQ</v>
      </c>
      <c r="AW30" s="117" t="b">
        <f>IF(AND(G30&gt;0,G30&lt;$C$6),TRUE,FALSE)</f>
        <v>0</v>
      </c>
      <c r="AX30" s="76" t="b">
        <f>IF(AND(I30&gt;0,I30&lt;$C$6),TRUE,FALSE)</f>
        <v>0</v>
      </c>
      <c r="AY30" s="76" t="b">
        <f>IF(AND(K30&gt;0,K30&lt;$C$6),TRUE,FALSE)</f>
        <v>0</v>
      </c>
      <c r="AZ30" s="76" t="b">
        <f>IF(AND(M30&gt;0,M30&lt;$C$6),TRUE,FALSE)</f>
        <v>0</v>
      </c>
      <c r="BA30" s="76" t="b">
        <f>IF(AND(O30&gt;0,O30&lt;$C$6),TRUE,FALSE)</f>
        <v>0</v>
      </c>
      <c r="BB30" s="76" t="b">
        <f>IF(AND(Q30&gt;0,Q30&lt;$C$6),TRUE,FALSE)</f>
        <v>0</v>
      </c>
      <c r="BC30" s="76" t="b">
        <f>IF(AND(S30&gt;0,S30&lt;$C$6),TRUE,FALSE)</f>
        <v>0</v>
      </c>
      <c r="BD30" s="76" t="b">
        <f>IF(AND(U30&gt;0,U30&lt;$C$6),TRUE,FALSE)</f>
        <v>0</v>
      </c>
      <c r="BE30" s="76" t="b">
        <f>IF(AND(W30&gt;0,W30&lt;$C$6),TRUE,FALSE)</f>
        <v>0</v>
      </c>
      <c r="BF30" s="76" t="b">
        <f>IF(AND(Y30&gt;0,Y30&lt;$C$6),TRUE,FALSE)</f>
        <v>0</v>
      </c>
      <c r="BG30" s="90" t="b">
        <f>IF(AND(AA30&gt;0,AA30&lt;$C$6),TRUE,FALSE)</f>
        <v>0</v>
      </c>
      <c r="BH30" s="146"/>
    </row>
    <row r="31" spans="1:60" ht="23.25" x14ac:dyDescent="0.25">
      <c r="A31" s="54"/>
      <c r="B31" s="49"/>
      <c r="C31" s="50" t="s">
        <v>163</v>
      </c>
      <c r="D31" s="51"/>
      <c r="E31" s="51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1"/>
      <c r="AC31" s="51"/>
      <c r="AD31" s="132"/>
      <c r="AE31" s="51"/>
      <c r="AF31" s="51"/>
      <c r="AG31" s="51"/>
      <c r="AH31" s="144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51"/>
      <c r="BD31" s="51"/>
      <c r="BE31" s="51"/>
      <c r="BF31" s="51"/>
      <c r="BG31" s="88"/>
      <c r="BH31" s="146"/>
    </row>
    <row r="32" spans="1:60" ht="26.25" x14ac:dyDescent="0.25">
      <c r="A32" s="56" cm="1">
        <f t="array" ref="A32">SUMPRODUCT(($AV$10:$AV$36&lt;&gt;"")*(ROW($AV$10:$AV$36)&lt;=ROW()))</f>
        <v>16</v>
      </c>
      <c r="B32" s="59"/>
      <c r="C32" s="60" t="s">
        <v>322</v>
      </c>
      <c r="D32" s="59" t="s">
        <v>107</v>
      </c>
      <c r="E32" s="43"/>
      <c r="F32" s="44">
        <f t="shared" ref="F32:F36" si="71">H32-$H$7</f>
        <v>46062</v>
      </c>
      <c r="G32" s="45"/>
      <c r="H32" s="44">
        <f t="shared" ref="H32:H36" si="72">J32-$J$7</f>
        <v>46069</v>
      </c>
      <c r="I32" s="45"/>
      <c r="J32" s="44">
        <f t="shared" ref="J32:J36" si="73">L32-$L$7</f>
        <v>46075</v>
      </c>
      <c r="K32" s="45"/>
      <c r="L32" s="44">
        <f t="shared" ref="L32:L36" si="74">N32-$N$7</f>
        <v>46078</v>
      </c>
      <c r="M32" s="45"/>
      <c r="N32" s="44">
        <f t="shared" ref="N32:N36" si="75">P32-$P$7</f>
        <v>46108</v>
      </c>
      <c r="O32" s="45"/>
      <c r="P32" s="44">
        <f t="shared" ref="P32:P36" si="76">R32-$R$7</f>
        <v>46118</v>
      </c>
      <c r="Q32" s="45"/>
      <c r="R32" s="44">
        <f t="shared" ref="R32:R36" si="77">T32-$T$7</f>
        <v>46138</v>
      </c>
      <c r="S32" s="45"/>
      <c r="T32" s="44">
        <f t="shared" ref="T32:T36" si="78">V32-$V$7</f>
        <v>46145</v>
      </c>
      <c r="U32" s="45"/>
      <c r="V32" s="44">
        <f t="shared" ref="V32:V36" si="79">X32-$X$7</f>
        <v>46152</v>
      </c>
      <c r="W32" s="45"/>
      <c r="X32" s="44">
        <f t="shared" ref="X32:X36" si="80">AN32</f>
        <v>46157</v>
      </c>
      <c r="Y32" s="45"/>
      <c r="Z32" s="46">
        <f t="shared" ref="Z32:Z36" si="81">X32+$Z$7</f>
        <v>46167</v>
      </c>
      <c r="AA32" s="45"/>
      <c r="AB32" s="32">
        <f t="shared" ref="AB32:AB36" si="82">IF(AV32="10. Issued to Contractor","-",IF(AV32="11. Subcontract Agreement signed","-",MAX(AN32,AR32)-$C$6))</f>
        <v>45</v>
      </c>
      <c r="AC32" s="16"/>
      <c r="AD32" s="131">
        <f t="shared" si="12"/>
        <v>95</v>
      </c>
      <c r="AE32" s="16"/>
      <c r="AF32" s="96"/>
      <c r="AG32" s="72"/>
      <c r="AH32" s="142">
        <v>5500000</v>
      </c>
      <c r="AI32" s="72"/>
      <c r="AJ32" s="73" t="str">
        <f>IF(AI32&gt;0,SUM(AH32)-SUM(AI32),"")</f>
        <v/>
      </c>
      <c r="AK32" s="101"/>
      <c r="AL32" s="48"/>
      <c r="AM32" s="104">
        <v>30</v>
      </c>
      <c r="AN32" s="74">
        <f t="shared" ref="AN32:AN36" si="83">$M$3+AM32-1</f>
        <v>46157</v>
      </c>
      <c r="AO32" s="108">
        <f t="shared" ref="AO32:AO34" si="84">AN32-AU32</f>
        <v>-50</v>
      </c>
      <c r="AP32" s="48"/>
      <c r="AQ32" s="110"/>
      <c r="AR32" s="75">
        <f t="shared" ref="AR32:AR34" si="85">IFERROR(WORKDAY.INTL(AN32,AQ32,11),"")</f>
        <v>46157</v>
      </c>
      <c r="AS32" s="108">
        <f t="shared" ref="AS32:AS34" si="86">AR32-AU32</f>
        <v>-50</v>
      </c>
      <c r="AT32" s="48"/>
      <c r="AU32" s="114">
        <f t="shared" ref="AU32:AU36" si="87">IF(Y32&gt;0,Y32,IFERROR(MAX(_xlfn.XLOOKUP($AV32,$H$8:$Z$8,$G32:$Y32),$C$6)+(AN32-_xlfn.XLOOKUP($AV32,$H$8:$Z$8,$F32:$X32))*AD32/SUM($H$7:$Y$7),$C$6+SUM(AD32)))</f>
        <v>46207</v>
      </c>
      <c r="AV32" s="120" t="str" cm="1">
        <f t="array" ref="AV32">IF(OR(G32&gt;$C$6,G32=""),$F$8,INDEX($E$8:$Z$8,MATCH(TRUE,(F32:AA32=""),0)))</f>
        <v>1. Tender Docs &amp; BOQ</v>
      </c>
      <c r="AW32" s="117" t="b">
        <f t="shared" ref="AW32:AW36" si="88">IF(AND(G32&gt;0,G32&lt;$C$6),TRUE,FALSE)</f>
        <v>0</v>
      </c>
      <c r="AX32" s="76" t="b">
        <f t="shared" ref="AX32:AX36" si="89">IF(AND(I32&gt;0,I32&lt;$C$6),TRUE,FALSE)</f>
        <v>0</v>
      </c>
      <c r="AY32" s="76" t="b">
        <f t="shared" ref="AY32:AY36" si="90">IF(AND(K32&gt;0,K32&lt;$C$6),TRUE,FALSE)</f>
        <v>0</v>
      </c>
      <c r="AZ32" s="76" t="b">
        <f t="shared" ref="AZ32:AZ36" si="91">IF(AND(M32&gt;0,M32&lt;$C$6),TRUE,FALSE)</f>
        <v>0</v>
      </c>
      <c r="BA32" s="76" t="b">
        <f t="shared" ref="BA32:BA36" si="92">IF(AND(O32&gt;0,O32&lt;$C$6),TRUE,FALSE)</f>
        <v>0</v>
      </c>
      <c r="BB32" s="76" t="b">
        <f t="shared" ref="BB32:BB36" si="93">IF(AND(Q32&gt;0,Q32&lt;$C$6),TRUE,FALSE)</f>
        <v>0</v>
      </c>
      <c r="BC32" s="76" t="b">
        <f t="shared" ref="BC32:BC36" si="94">IF(AND(S32&gt;0,S32&lt;$C$6),TRUE,FALSE)</f>
        <v>0</v>
      </c>
      <c r="BD32" s="76" t="b">
        <f t="shared" ref="BD32:BD36" si="95">IF(AND(U32&gt;0,U32&lt;$C$6),TRUE,FALSE)</f>
        <v>0</v>
      </c>
      <c r="BE32" s="76" t="b">
        <f t="shared" ref="BE32:BE36" si="96">IF(AND(W32&gt;0,W32&lt;$C$6),TRUE,FALSE)</f>
        <v>0</v>
      </c>
      <c r="BF32" s="76" t="b">
        <f t="shared" ref="BF32:BF36" si="97">IF(AND(Y32&gt;0,Y32&lt;$C$6),TRUE,FALSE)</f>
        <v>0</v>
      </c>
      <c r="BG32" s="90" t="b">
        <f t="shared" ref="BG32:BG36" si="98">IF(AND(AA32&gt;0,AA32&lt;$C$6),TRUE,FALSE)</f>
        <v>0</v>
      </c>
      <c r="BH32" s="146"/>
    </row>
    <row r="33" spans="1:60" ht="26.25" x14ac:dyDescent="0.25">
      <c r="A33" s="56" cm="1">
        <f t="array" ref="A33">SUMPRODUCT(($AV$10:$AV$36&lt;&gt;"")*(ROW($AV$10:$AV$36)&lt;=ROW()))</f>
        <v>17</v>
      </c>
      <c r="B33" s="57"/>
      <c r="C33" s="58" t="s">
        <v>299</v>
      </c>
      <c r="D33" s="93" t="s">
        <v>7</v>
      </c>
      <c r="E33" s="16"/>
      <c r="F33" s="29">
        <f t="shared" si="71"/>
        <v>46152</v>
      </c>
      <c r="G33" s="42"/>
      <c r="H33" s="29">
        <f t="shared" si="72"/>
        <v>46159</v>
      </c>
      <c r="I33" s="42"/>
      <c r="J33" s="29">
        <f t="shared" si="73"/>
        <v>46165</v>
      </c>
      <c r="K33" s="42"/>
      <c r="L33" s="29">
        <f t="shared" si="74"/>
        <v>46168</v>
      </c>
      <c r="M33" s="42"/>
      <c r="N33" s="29">
        <f t="shared" si="75"/>
        <v>46198</v>
      </c>
      <c r="O33" s="42"/>
      <c r="P33" s="29">
        <f t="shared" si="76"/>
        <v>46208</v>
      </c>
      <c r="Q33" s="42"/>
      <c r="R33" s="29">
        <f t="shared" si="77"/>
        <v>46228</v>
      </c>
      <c r="S33" s="42"/>
      <c r="T33" s="29">
        <f t="shared" si="78"/>
        <v>46235</v>
      </c>
      <c r="U33" s="42"/>
      <c r="V33" s="29">
        <f t="shared" si="79"/>
        <v>46242</v>
      </c>
      <c r="W33" s="42"/>
      <c r="X33" s="29">
        <f t="shared" si="80"/>
        <v>46247</v>
      </c>
      <c r="Y33" s="42"/>
      <c r="Z33" s="30">
        <f t="shared" si="81"/>
        <v>46257</v>
      </c>
      <c r="AA33" s="42"/>
      <c r="AB33" s="31">
        <f t="shared" si="82"/>
        <v>135</v>
      </c>
      <c r="AC33" s="16"/>
      <c r="AD33" s="131">
        <f t="shared" si="12"/>
        <v>95</v>
      </c>
      <c r="AE33" s="16"/>
      <c r="AF33" s="95"/>
      <c r="AG33" s="67"/>
      <c r="AH33" s="143">
        <v>5500000</v>
      </c>
      <c r="AI33" s="67"/>
      <c r="AJ33" s="68" t="str">
        <f>IF(AI33&gt;0,SUM(AH33)-SUM(AI33),"")</f>
        <v/>
      </c>
      <c r="AK33" s="102"/>
      <c r="AL33" s="48"/>
      <c r="AM33" s="105">
        <v>120</v>
      </c>
      <c r="AN33" s="69">
        <f t="shared" si="83"/>
        <v>46247</v>
      </c>
      <c r="AO33" s="107">
        <f t="shared" si="84"/>
        <v>40</v>
      </c>
      <c r="AP33" s="48"/>
      <c r="AQ33" s="111"/>
      <c r="AR33" s="70">
        <f t="shared" si="85"/>
        <v>46247</v>
      </c>
      <c r="AS33" s="107">
        <f t="shared" si="86"/>
        <v>40</v>
      </c>
      <c r="AT33" s="48"/>
      <c r="AU33" s="113">
        <f t="shared" si="87"/>
        <v>46207</v>
      </c>
      <c r="AV33" s="119" t="str" cm="1">
        <f t="array" ref="AV33">IF(OR(G33&gt;$C$6,G33=""),$F$8,INDEX($E$8:$Z$8,MATCH(TRUE,(F33:AA33=""),0)))</f>
        <v>1. Tender Docs &amp; BOQ</v>
      </c>
      <c r="AW33" s="116" t="b">
        <f t="shared" si="88"/>
        <v>0</v>
      </c>
      <c r="AX33" s="71" t="b">
        <f t="shared" si="89"/>
        <v>0</v>
      </c>
      <c r="AY33" s="71" t="b">
        <f t="shared" si="90"/>
        <v>0</v>
      </c>
      <c r="AZ33" s="71" t="b">
        <f t="shared" si="91"/>
        <v>0</v>
      </c>
      <c r="BA33" s="71" t="b">
        <f t="shared" si="92"/>
        <v>0</v>
      </c>
      <c r="BB33" s="71" t="b">
        <f t="shared" si="93"/>
        <v>0</v>
      </c>
      <c r="BC33" s="71" t="b">
        <f t="shared" si="94"/>
        <v>0</v>
      </c>
      <c r="BD33" s="71" t="b">
        <f t="shared" si="95"/>
        <v>0</v>
      </c>
      <c r="BE33" s="71" t="b">
        <f t="shared" si="96"/>
        <v>0</v>
      </c>
      <c r="BF33" s="71" t="b">
        <f t="shared" si="97"/>
        <v>0</v>
      </c>
      <c r="BG33" s="89" t="b">
        <f t="shared" si="98"/>
        <v>0</v>
      </c>
      <c r="BH33" s="146"/>
    </row>
    <row r="34" spans="1:60" ht="26.25" x14ac:dyDescent="0.25">
      <c r="A34" s="56" cm="1">
        <f t="array" ref="A34">SUMPRODUCT(($AV$10:$AV$36&lt;&gt;"")*(ROW($AV$10:$AV$36)&lt;=ROW()))</f>
        <v>18</v>
      </c>
      <c r="B34" s="59"/>
      <c r="C34" s="60" t="s">
        <v>323</v>
      </c>
      <c r="D34" s="59" t="s">
        <v>13</v>
      </c>
      <c r="E34" s="43"/>
      <c r="F34" s="44">
        <f t="shared" si="71"/>
        <v>46152</v>
      </c>
      <c r="G34" s="45"/>
      <c r="H34" s="44">
        <f t="shared" si="72"/>
        <v>46159</v>
      </c>
      <c r="I34" s="45"/>
      <c r="J34" s="44">
        <f t="shared" si="73"/>
        <v>46165</v>
      </c>
      <c r="K34" s="45"/>
      <c r="L34" s="44">
        <f t="shared" si="74"/>
        <v>46168</v>
      </c>
      <c r="M34" s="45"/>
      <c r="N34" s="44">
        <f t="shared" si="75"/>
        <v>46198</v>
      </c>
      <c r="O34" s="45"/>
      <c r="P34" s="44">
        <f t="shared" si="76"/>
        <v>46208</v>
      </c>
      <c r="Q34" s="45"/>
      <c r="R34" s="44">
        <f t="shared" si="77"/>
        <v>46228</v>
      </c>
      <c r="S34" s="45"/>
      <c r="T34" s="44">
        <f t="shared" si="78"/>
        <v>46235</v>
      </c>
      <c r="U34" s="45"/>
      <c r="V34" s="44">
        <f t="shared" si="79"/>
        <v>46242</v>
      </c>
      <c r="W34" s="45"/>
      <c r="X34" s="44">
        <f t="shared" si="80"/>
        <v>46247</v>
      </c>
      <c r="Y34" s="45"/>
      <c r="Z34" s="46">
        <f t="shared" si="81"/>
        <v>46257</v>
      </c>
      <c r="AA34" s="45"/>
      <c r="AB34" s="32">
        <f t="shared" si="82"/>
        <v>135</v>
      </c>
      <c r="AC34" s="16"/>
      <c r="AD34" s="131">
        <f t="shared" si="12"/>
        <v>95</v>
      </c>
      <c r="AE34" s="16"/>
      <c r="AF34" s="96"/>
      <c r="AG34" s="72"/>
      <c r="AH34" s="142" t="s">
        <v>324</v>
      </c>
      <c r="AI34" s="72"/>
      <c r="AJ34" s="73" t="str">
        <f>IF(AI34&gt;0,SUM(AH34)-SUM(AI34),"")</f>
        <v/>
      </c>
      <c r="AK34" s="101"/>
      <c r="AL34" s="48"/>
      <c r="AM34" s="104">
        <v>120</v>
      </c>
      <c r="AN34" s="74">
        <f t="shared" si="83"/>
        <v>46247</v>
      </c>
      <c r="AO34" s="108">
        <f t="shared" si="84"/>
        <v>40</v>
      </c>
      <c r="AP34" s="48"/>
      <c r="AQ34" s="110"/>
      <c r="AR34" s="75">
        <f t="shared" si="85"/>
        <v>46247</v>
      </c>
      <c r="AS34" s="108">
        <f t="shared" si="86"/>
        <v>40</v>
      </c>
      <c r="AT34" s="48"/>
      <c r="AU34" s="114">
        <f t="shared" si="87"/>
        <v>46207</v>
      </c>
      <c r="AV34" s="120" t="str" cm="1">
        <f t="array" ref="AV34">IF(OR(G34&gt;$C$6,G34=""),$F$8,INDEX($E$8:$Z$8,MATCH(TRUE,(F34:AA34=""),0)))</f>
        <v>1. Tender Docs &amp; BOQ</v>
      </c>
      <c r="AW34" s="117" t="b">
        <f t="shared" si="88"/>
        <v>0</v>
      </c>
      <c r="AX34" s="76" t="b">
        <f t="shared" si="89"/>
        <v>0</v>
      </c>
      <c r="AY34" s="76" t="b">
        <f t="shared" si="90"/>
        <v>0</v>
      </c>
      <c r="AZ34" s="76" t="b">
        <f t="shared" si="91"/>
        <v>0</v>
      </c>
      <c r="BA34" s="76" t="b">
        <f t="shared" si="92"/>
        <v>0</v>
      </c>
      <c r="BB34" s="76" t="b">
        <f t="shared" si="93"/>
        <v>0</v>
      </c>
      <c r="BC34" s="76" t="b">
        <f t="shared" si="94"/>
        <v>0</v>
      </c>
      <c r="BD34" s="76" t="b">
        <f t="shared" si="95"/>
        <v>0</v>
      </c>
      <c r="BE34" s="76" t="b">
        <f t="shared" si="96"/>
        <v>0</v>
      </c>
      <c r="BF34" s="76" t="b">
        <f t="shared" si="97"/>
        <v>0</v>
      </c>
      <c r="BG34" s="90" t="b">
        <f t="shared" si="98"/>
        <v>0</v>
      </c>
      <c r="BH34" s="146"/>
    </row>
    <row r="35" spans="1:60" ht="26.25" x14ac:dyDescent="0.25">
      <c r="A35" s="56" cm="1">
        <f t="array" ref="A35">SUMPRODUCT(($AV$10:$AV$36&lt;&gt;"")*(ROW($AV$10:$AV$36)&lt;=ROW()))</f>
        <v>19</v>
      </c>
      <c r="B35" s="57"/>
      <c r="C35" s="58" t="s">
        <v>325</v>
      </c>
      <c r="D35" s="93" t="s">
        <v>13</v>
      </c>
      <c r="E35" s="16"/>
      <c r="F35" s="29">
        <f t="shared" si="71"/>
        <v>46152</v>
      </c>
      <c r="G35" s="42"/>
      <c r="H35" s="29">
        <f t="shared" si="72"/>
        <v>46159</v>
      </c>
      <c r="I35" s="42"/>
      <c r="J35" s="29">
        <f t="shared" si="73"/>
        <v>46165</v>
      </c>
      <c r="K35" s="42"/>
      <c r="L35" s="29">
        <f t="shared" si="74"/>
        <v>46168</v>
      </c>
      <c r="M35" s="42"/>
      <c r="N35" s="29">
        <f t="shared" si="75"/>
        <v>46198</v>
      </c>
      <c r="O35" s="42"/>
      <c r="P35" s="29">
        <f t="shared" si="76"/>
        <v>46208</v>
      </c>
      <c r="Q35" s="42"/>
      <c r="R35" s="29">
        <f t="shared" si="77"/>
        <v>46228</v>
      </c>
      <c r="S35" s="42"/>
      <c r="T35" s="29">
        <f t="shared" si="78"/>
        <v>46235</v>
      </c>
      <c r="U35" s="42"/>
      <c r="V35" s="29">
        <f t="shared" si="79"/>
        <v>46242</v>
      </c>
      <c r="W35" s="42"/>
      <c r="X35" s="29">
        <f t="shared" si="80"/>
        <v>46247</v>
      </c>
      <c r="Y35" s="42"/>
      <c r="Z35" s="30">
        <f t="shared" si="81"/>
        <v>46257</v>
      </c>
      <c r="AA35" s="42"/>
      <c r="AB35" s="31">
        <f t="shared" si="82"/>
        <v>135</v>
      </c>
      <c r="AC35" s="16"/>
      <c r="AD35" s="131">
        <f t="shared" si="12"/>
        <v>95</v>
      </c>
      <c r="AE35" s="16"/>
      <c r="AF35" s="95"/>
      <c r="AG35" s="67"/>
      <c r="AH35" s="143">
        <v>6600000.0000000009</v>
      </c>
      <c r="AI35" s="67"/>
      <c r="AJ35" s="68" t="str">
        <f>IF(AI35&gt;0,SUM(AH35)-SUM(AI35),"")</f>
        <v/>
      </c>
      <c r="AK35" s="102"/>
      <c r="AL35" s="48"/>
      <c r="AM35" s="105">
        <v>120</v>
      </c>
      <c r="AN35" s="69">
        <f t="shared" si="83"/>
        <v>46247</v>
      </c>
      <c r="AO35" s="107">
        <f>AN35-AU35</f>
        <v>40</v>
      </c>
      <c r="AP35" s="48"/>
      <c r="AQ35" s="111"/>
      <c r="AR35" s="70">
        <f>IFERROR(WORKDAY.INTL(AN35,AQ35,11),"")</f>
        <v>46247</v>
      </c>
      <c r="AS35" s="107">
        <f>AR35-AU35</f>
        <v>40</v>
      </c>
      <c r="AT35" s="48"/>
      <c r="AU35" s="113">
        <f t="shared" si="87"/>
        <v>46207</v>
      </c>
      <c r="AV35" s="119" t="str" cm="1">
        <f t="array" ref="AV35">IF(OR(G35&gt;$C$6,G35=""),$F$8,INDEX($E$8:$Z$8,MATCH(TRUE,(F35:AA35=""),0)))</f>
        <v>1. Tender Docs &amp; BOQ</v>
      </c>
      <c r="AW35" s="116" t="b">
        <f t="shared" si="88"/>
        <v>0</v>
      </c>
      <c r="AX35" s="71" t="b">
        <f t="shared" si="89"/>
        <v>0</v>
      </c>
      <c r="AY35" s="71" t="b">
        <f t="shared" si="90"/>
        <v>0</v>
      </c>
      <c r="AZ35" s="71" t="b">
        <f t="shared" si="91"/>
        <v>0</v>
      </c>
      <c r="BA35" s="71" t="b">
        <f t="shared" si="92"/>
        <v>0</v>
      </c>
      <c r="BB35" s="71" t="b">
        <f t="shared" si="93"/>
        <v>0</v>
      </c>
      <c r="BC35" s="71" t="b">
        <f t="shared" si="94"/>
        <v>0</v>
      </c>
      <c r="BD35" s="71" t="b">
        <f t="shared" si="95"/>
        <v>0</v>
      </c>
      <c r="BE35" s="71" t="b">
        <f t="shared" si="96"/>
        <v>0</v>
      </c>
      <c r="BF35" s="71" t="b">
        <f t="shared" si="97"/>
        <v>0</v>
      </c>
      <c r="BG35" s="89" t="b">
        <f t="shared" si="98"/>
        <v>0</v>
      </c>
      <c r="BH35" s="146"/>
    </row>
    <row r="36" spans="1:60" ht="26.25" x14ac:dyDescent="0.25">
      <c r="A36" s="56" cm="1">
        <f t="array" ref="A36">SUMPRODUCT(($AV$10:$AV$36&lt;&gt;"")*(ROW($AV$10:$AV$36)&lt;=ROW()))</f>
        <v>20</v>
      </c>
      <c r="B36" s="59"/>
      <c r="C36" s="60" t="s">
        <v>326</v>
      </c>
      <c r="D36" s="59" t="s">
        <v>13</v>
      </c>
      <c r="E36" s="43"/>
      <c r="F36" s="44">
        <f t="shared" si="71"/>
        <v>46152</v>
      </c>
      <c r="G36" s="45"/>
      <c r="H36" s="44">
        <f t="shared" si="72"/>
        <v>46159</v>
      </c>
      <c r="I36" s="45"/>
      <c r="J36" s="44">
        <f t="shared" si="73"/>
        <v>46165</v>
      </c>
      <c r="K36" s="45"/>
      <c r="L36" s="44">
        <f t="shared" si="74"/>
        <v>46168</v>
      </c>
      <c r="M36" s="45"/>
      <c r="N36" s="44">
        <f t="shared" si="75"/>
        <v>46198</v>
      </c>
      <c r="O36" s="45"/>
      <c r="P36" s="44">
        <f t="shared" si="76"/>
        <v>46208</v>
      </c>
      <c r="Q36" s="45"/>
      <c r="R36" s="44">
        <f t="shared" si="77"/>
        <v>46228</v>
      </c>
      <c r="S36" s="45"/>
      <c r="T36" s="44">
        <f t="shared" si="78"/>
        <v>46235</v>
      </c>
      <c r="U36" s="45"/>
      <c r="V36" s="44">
        <f t="shared" si="79"/>
        <v>46242</v>
      </c>
      <c r="W36" s="45"/>
      <c r="X36" s="44">
        <f t="shared" si="80"/>
        <v>46247</v>
      </c>
      <c r="Y36" s="45"/>
      <c r="Z36" s="46">
        <f t="shared" si="81"/>
        <v>46257</v>
      </c>
      <c r="AA36" s="45"/>
      <c r="AB36" s="32">
        <f t="shared" si="82"/>
        <v>135</v>
      </c>
      <c r="AC36" s="16"/>
      <c r="AD36" s="131">
        <f t="shared" si="12"/>
        <v>95</v>
      </c>
      <c r="AE36" s="16"/>
      <c r="AF36" s="96"/>
      <c r="AG36" s="72"/>
      <c r="AH36" s="142">
        <v>1100000</v>
      </c>
      <c r="AI36" s="72"/>
      <c r="AJ36" s="73" t="str">
        <f>IF(AI36&gt;0,SUM(AH36)-SUM(AI36),"")</f>
        <v/>
      </c>
      <c r="AK36" s="101"/>
      <c r="AL36" s="48"/>
      <c r="AM36" s="104">
        <v>120</v>
      </c>
      <c r="AN36" s="74">
        <f t="shared" si="83"/>
        <v>46247</v>
      </c>
      <c r="AO36" s="108">
        <f t="shared" ref="AO36" si="99">AN36-AU36</f>
        <v>40</v>
      </c>
      <c r="AP36" s="48"/>
      <c r="AQ36" s="110"/>
      <c r="AR36" s="75">
        <f t="shared" ref="AR36" si="100">IFERROR(WORKDAY.INTL(AN36,AQ36,11),"")</f>
        <v>46247</v>
      </c>
      <c r="AS36" s="108">
        <f t="shared" ref="AS36" si="101">AR36-AU36</f>
        <v>40</v>
      </c>
      <c r="AT36" s="48"/>
      <c r="AU36" s="114">
        <f t="shared" si="87"/>
        <v>46207</v>
      </c>
      <c r="AV36" s="120" t="str" cm="1">
        <f t="array" ref="AV36">IF(OR(G36&gt;$C$6,G36=""),$F$8,INDEX($E$8:$Z$8,MATCH(TRUE,(F36:AA36=""),0)))</f>
        <v>1. Tender Docs &amp; BOQ</v>
      </c>
      <c r="AW36" s="117" t="b">
        <f t="shared" si="88"/>
        <v>0</v>
      </c>
      <c r="AX36" s="76" t="b">
        <f t="shared" si="89"/>
        <v>0</v>
      </c>
      <c r="AY36" s="76" t="b">
        <f t="shared" si="90"/>
        <v>0</v>
      </c>
      <c r="AZ36" s="76" t="b">
        <f t="shared" si="91"/>
        <v>0</v>
      </c>
      <c r="BA36" s="76" t="b">
        <f t="shared" si="92"/>
        <v>0</v>
      </c>
      <c r="BB36" s="76" t="b">
        <f t="shared" si="93"/>
        <v>0</v>
      </c>
      <c r="BC36" s="76" t="b">
        <f t="shared" si="94"/>
        <v>0</v>
      </c>
      <c r="BD36" s="76" t="b">
        <f t="shared" si="95"/>
        <v>0</v>
      </c>
      <c r="BE36" s="76" t="b">
        <f t="shared" si="96"/>
        <v>0</v>
      </c>
      <c r="BF36" s="76" t="b">
        <f t="shared" si="97"/>
        <v>0</v>
      </c>
      <c r="BG36" s="90" t="b">
        <f t="shared" si="98"/>
        <v>0</v>
      </c>
      <c r="BH36" s="146"/>
    </row>
    <row r="37" spans="1:60" ht="23.25" x14ac:dyDescent="0.25">
      <c r="A37" s="8"/>
      <c r="B37" s="8"/>
      <c r="C37" s="34" t="s">
        <v>189</v>
      </c>
      <c r="D37" s="100"/>
      <c r="E37" s="16"/>
      <c r="F37" s="123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124"/>
      <c r="AC37" s="16"/>
      <c r="AD37" s="130"/>
      <c r="AE37" s="16"/>
      <c r="AF37" s="99">
        <f>SUM(AF10:AF36)</f>
        <v>0</v>
      </c>
      <c r="AG37" s="10">
        <f>SUM(AG10:AG36)</f>
        <v>0</v>
      </c>
      <c r="AH37" s="10">
        <f>SUM(AH10:AH36)</f>
        <v>380310593.30000001</v>
      </c>
      <c r="AI37" s="10">
        <f>SUM(AI10:AI36)</f>
        <v>0</v>
      </c>
      <c r="AJ37" s="10">
        <f>SUM(AJ10:AJ36)</f>
        <v>0</v>
      </c>
      <c r="AK37" s="9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92"/>
      <c r="BH37" s="146"/>
    </row>
    <row r="38" spans="1:60" ht="23.25" x14ac:dyDescent="0.25">
      <c r="BH38" s="146"/>
    </row>
    <row r="39" spans="1:60" ht="23.25" x14ac:dyDescent="0.25">
      <c r="BH39" s="146"/>
    </row>
    <row r="40" spans="1:60" ht="23.25" x14ac:dyDescent="0.25">
      <c r="BH40" s="146"/>
    </row>
  </sheetData>
  <sheetProtection formatColumns="0" formatRows="0" autoFilter="0"/>
  <mergeCells count="75">
    <mergeCell ref="AU7:AU9"/>
    <mergeCell ref="AG7:AG9"/>
    <mergeCell ref="AH7:AH9"/>
    <mergeCell ref="AI7:AI9"/>
    <mergeCell ref="AJ7:AJ9"/>
    <mergeCell ref="AK7:AK9"/>
    <mergeCell ref="AN7:AN9"/>
    <mergeCell ref="AO7:AO9"/>
    <mergeCell ref="AQ7:AQ9"/>
    <mergeCell ref="AR7:AR9"/>
    <mergeCell ref="AS7:AS9"/>
    <mergeCell ref="AM7:AM9"/>
    <mergeCell ref="BF7:BF9"/>
    <mergeCell ref="BG7:BG9"/>
    <mergeCell ref="AV7:AV9"/>
    <mergeCell ref="AW7:AW9"/>
    <mergeCell ref="AX7:AX9"/>
    <mergeCell ref="AY7:AY9"/>
    <mergeCell ref="AZ7:AZ9"/>
    <mergeCell ref="BA7:BA9"/>
    <mergeCell ref="BB7:BB9"/>
    <mergeCell ref="BC7:BC9"/>
    <mergeCell ref="BD7:BD9"/>
    <mergeCell ref="BE7:BE9"/>
    <mergeCell ref="AF7:AF9"/>
    <mergeCell ref="V8:W8"/>
    <mergeCell ref="X8:Y8"/>
    <mergeCell ref="Z8:AA8"/>
    <mergeCell ref="T7:U7"/>
    <mergeCell ref="V7:W7"/>
    <mergeCell ref="X7:Y7"/>
    <mergeCell ref="Z7:AA7"/>
    <mergeCell ref="AB7:AB9"/>
    <mergeCell ref="AD7:AD9"/>
    <mergeCell ref="A7:A9"/>
    <mergeCell ref="B7:B9"/>
    <mergeCell ref="C7:C9"/>
    <mergeCell ref="D7:D9"/>
    <mergeCell ref="F7:G7"/>
    <mergeCell ref="H7:I7"/>
    <mergeCell ref="F8:G8"/>
    <mergeCell ref="H8:I8"/>
    <mergeCell ref="J7:K7"/>
    <mergeCell ref="L7:M7"/>
    <mergeCell ref="L8:M8"/>
    <mergeCell ref="N7:O7"/>
    <mergeCell ref="P7:Q7"/>
    <mergeCell ref="R7:S7"/>
    <mergeCell ref="T8:U8"/>
    <mergeCell ref="J8:K8"/>
    <mergeCell ref="N8:O8"/>
    <mergeCell ref="P8:Q8"/>
    <mergeCell ref="R8:S8"/>
    <mergeCell ref="H3:H4"/>
    <mergeCell ref="I3:I4"/>
    <mergeCell ref="J3:J4"/>
    <mergeCell ref="K3:K4"/>
    <mergeCell ref="L3:L4"/>
    <mergeCell ref="M3:N4"/>
    <mergeCell ref="I1:I2"/>
    <mergeCell ref="J1:J2"/>
    <mergeCell ref="K1:K2"/>
    <mergeCell ref="L1:L2"/>
    <mergeCell ref="M1:N2"/>
    <mergeCell ref="A3:B4"/>
    <mergeCell ref="C3:C4"/>
    <mergeCell ref="D3:D4"/>
    <mergeCell ref="F3:F4"/>
    <mergeCell ref="G3:G4"/>
    <mergeCell ref="H1:H2"/>
    <mergeCell ref="A1:B2"/>
    <mergeCell ref="C1:C2"/>
    <mergeCell ref="D1:D2"/>
    <mergeCell ref="F1:F2"/>
    <mergeCell ref="G1:G2"/>
  </mergeCells>
  <conditionalFormatting sqref="G11:G19 I11:I19 K11:K19 M11:M19 O11:O19 Q11:Q19 S11:S19 U11:U19 W11:W19 Y11:Y19 AA11:AA19 G21:G23 I21:I23 K21:K23 M21:M23 O21:O23 Q21:Q23 S21:S23 U21:U23 W21:W23 Y21:Y23 AA21:AA23 G25 I25 K25 M25 O25 Q25 S25 U25 W25 Y25 AA25 G27:G28 I27:I28 K27:K28 M27:M28 O27:O28 Q27:Q28 S27:S28 U27:U28 W27:W28 Y27:Y28 AA27:AA28 G30 I30 K30 M30 O30 Q30 S30 U30 W30 Y30 AA30 G32:G36 I32:I36 K32:K36 M32:M36 O32:O36 Q32:Q36 S32:S36 U32:U36 W32:W36 Y32:Y36 AA32:AA36">
    <cfRule type="cellIs" dxfId="119" priority="6" operator="between">
      <formula>1</formula>
      <formula>$C$6</formula>
    </cfRule>
  </conditionalFormatting>
  <conditionalFormatting sqref="AB10:AB37 AO11:AO19 AS11:AS19 AO32:AO36 AS32:AS36">
    <cfRule type="cellIs" dxfId="118" priority="10" operator="lessThan">
      <formula>0</formula>
    </cfRule>
  </conditionalFormatting>
  <conditionalFormatting sqref="AO21:AO23 AS21:AS23 AO25 AS25 AO27:AO28 AS27:AS28 AO30 AS30">
    <cfRule type="cellIs" dxfId="117" priority="11" operator="lessThan">
      <formula>0</formula>
    </cfRule>
  </conditionalFormatting>
  <conditionalFormatting sqref="BB10:BG10 AW11:BG19 BB20:BG20 AW21:BG23 BB24:BG24 AW25:BG25 BB26:BG26 AW27:BG28 BB29:BG29 AW30:BG30 BB31:BG31 AW32:BG36 AL37:BG37">
    <cfRule type="cellIs" dxfId="110" priority="7" operator="equal">
      <formula>TRUE</formula>
    </cfRule>
  </conditionalFormatting>
  <pageMargins left="3.937007874015748E-2" right="3.937007874015748E-2" top="0.74803149606299213" bottom="0.74803149606299213" header="0.31496062992125984" footer="0.31496062992125984"/>
  <pageSetup paperSize="8" scale="71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CDAFDAB0-150B-4D54-9107-5656808CB90E}">
            <xm:f>AV11=Data!$B$12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8" stopIfTrue="1" id="{2D8FF8B6-7579-4858-8C14-C2DEFA860D43}">
            <xm:f>AV11=Data!$B$11</xm:f>
            <x14:dxf>
              <fill>
                <patternFill>
                  <bgColor theme="9" tint="0.79998168889431442"/>
                </patternFill>
              </fill>
            </x14:dxf>
          </x14:cfRule>
          <x14:cfRule type="expression" priority="9" id="{C5FDF802-4016-46BB-B3DD-9A126B5DDA13}">
            <xm:f>AV11=Data!$B$2</xm:f>
            <x14:dxf>
              <fill>
                <patternFill>
                  <bgColor rgb="FFFFE5E5"/>
                </patternFill>
              </fill>
            </x14:dxf>
          </x14:cfRule>
          <xm:sqref>AU11:AU38</xm:sqref>
        </x14:conditionalFormatting>
        <x14:conditionalFormatting xmlns:xm="http://schemas.microsoft.com/office/excel/2006/main">
          <x14:cfRule type="cellIs" priority="1" operator="equal" id="{950D5896-247F-4345-8AA3-1C2B37D08156}">
            <xm:f>Data!$B$12</xm:f>
            <x14:dxf>
              <fill>
                <patternFill>
                  <bgColor theme="9" tint="0.59996337778862885"/>
                </patternFill>
              </fill>
            </x14:dxf>
          </x14:cfRule>
          <x14:cfRule type="cellIs" priority="2" stopIfTrue="1" operator="equal" id="{256DA32B-4553-4C93-91BA-293C8457913A}">
            <xm:f>Data!$B$11</xm:f>
            <x14:dxf>
              <fill>
                <patternFill>
                  <bgColor theme="9" tint="0.79998168889431442"/>
                </patternFill>
              </fill>
            </x14:dxf>
          </x14:cfRule>
          <x14:cfRule type="cellIs" priority="3" operator="equal" id="{8652816B-1D63-4F11-A8DA-B017A5935EF3}">
            <xm:f>Data!$B$2</xm:f>
            <x14:dxf>
              <fill>
                <patternFill>
                  <bgColor rgb="FFFFE5E5"/>
                </patternFill>
              </fill>
            </x14:dxf>
          </x14:cfRule>
          <xm:sqref>AV11:AV19 AV21:AV23 AV25 AV27:AV28 AV30 AV32:AV36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2EBFB89A-88C3-48B1-8314-3FCEB5C19175}">
          <x14:formula1>
            <xm:f>Data!$B$2:$B$13</xm:f>
          </x14:formula1>
          <xm:sqref>AV30 AV21:AV23 AV27:AV28 AV25 AV11:AV19 AV32:AV36</xm:sqref>
        </x14:dataValidation>
        <x14:dataValidation type="list" allowBlank="1" showInputMessage="1" showErrorMessage="1" xr:uid="{5C2D7A07-35CE-4F9E-B5AF-68D8492B2530}">
          <x14:formula1>
            <xm:f>Data!$C$2:$C$12</xm:f>
          </x14:formula1>
          <xm:sqref>D21:D23 D25 D27:D28 D30 D11:D19 D32:D36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7B3FE-E34F-4B93-BA48-CA930A4E5C4D}">
  <sheetPr codeName="Sheet8">
    <tabColor theme="9" tint="0.59999389629810485"/>
    <pageSetUpPr fitToPage="1"/>
  </sheetPr>
  <dimension ref="A1:BH56"/>
  <sheetViews>
    <sheetView showGridLines="0" zoomScale="70" zoomScaleNormal="70" zoomScalePageLayoutView="55" workbookViewId="0">
      <pane xSplit="3" ySplit="9" topLeftCell="D10" activePane="bottomRight" state="frozen"/>
      <selection pane="topRight" activeCell="AI6" sqref="AI6:AI8"/>
      <selection pane="bottomLeft" activeCell="AI6" sqref="AI6:AI8"/>
      <selection pane="bottomRight" activeCell="U3" sqref="U3"/>
    </sheetView>
  </sheetViews>
  <sheetFormatPr defaultColWidth="9.140625" defaultRowHeight="12.75" outlineLevelRow="1" outlineLevelCol="1" x14ac:dyDescent="0.25"/>
  <cols>
    <col min="1" max="2" width="7.42578125" style="3" customWidth="1"/>
    <col min="3" max="3" width="39.140625" style="7" customWidth="1"/>
    <col min="4" max="4" width="14.5703125" style="5" hidden="1" customWidth="1" outlineLevel="1"/>
    <col min="5" max="5" width="1.140625" style="3" hidden="1" customWidth="1" outlineLevel="1"/>
    <col min="6" max="27" width="11.85546875" style="4" hidden="1" customWidth="1" outlineLevel="1"/>
    <col min="28" max="28" width="11.85546875" style="5" hidden="1" customWidth="1" outlineLevel="1"/>
    <col min="29" max="29" width="1" style="3" hidden="1" customWidth="1" outlineLevel="1"/>
    <col min="30" max="30" width="14.42578125" style="5" hidden="1" customWidth="1" outlineLevel="1"/>
    <col min="31" max="31" width="1.140625" style="3" hidden="1" customWidth="1" outlineLevel="1"/>
    <col min="32" max="32" width="14.85546875" style="3" customWidth="1" collapsed="1"/>
    <col min="33" max="35" width="14.85546875" style="3" customWidth="1"/>
    <col min="36" max="36" width="15.5703125" style="3" hidden="1" customWidth="1" outlineLevel="1"/>
    <col min="37" max="37" width="23.5703125" style="3" customWidth="1" collapsed="1"/>
    <col min="38" max="38" width="0.85546875" style="3" customWidth="1"/>
    <col min="39" max="39" width="7.42578125" style="3" customWidth="1"/>
    <col min="40" max="40" width="13.5703125" style="3" customWidth="1"/>
    <col min="41" max="41" width="7.140625" style="5" customWidth="1"/>
    <col min="42" max="42" width="0.85546875" style="3" customWidth="1"/>
    <col min="43" max="43" width="10.5703125" style="5" customWidth="1"/>
    <col min="44" max="44" width="16.85546875" style="3" customWidth="1"/>
    <col min="45" max="45" width="7.140625" style="5" customWidth="1"/>
    <col min="46" max="46" width="0.85546875" style="3" customWidth="1"/>
    <col min="47" max="47" width="12" style="3" customWidth="1"/>
    <col min="48" max="48" width="35" style="3" bestFit="1" customWidth="1"/>
    <col min="49" max="59" width="4.140625" style="6" customWidth="1"/>
    <col min="60" max="60" width="21.140625" style="3" customWidth="1"/>
    <col min="61" max="16384" width="9.140625" style="3"/>
  </cols>
  <sheetData>
    <row r="1" spans="1:60" s="11" customFormat="1" ht="15" hidden="1" customHeight="1" outlineLevel="1" x14ac:dyDescent="0.25">
      <c r="A1" s="208" t="s">
        <v>57</v>
      </c>
      <c r="B1" s="209"/>
      <c r="C1" s="206" t="s">
        <v>58</v>
      </c>
      <c r="D1" s="211" t="s">
        <v>59</v>
      </c>
      <c r="F1" s="206" t="s">
        <v>60</v>
      </c>
      <c r="G1" s="206" t="s">
        <v>61</v>
      </c>
      <c r="H1" s="206" t="s">
        <v>62</v>
      </c>
      <c r="I1" s="206" t="s">
        <v>63</v>
      </c>
      <c r="J1" s="206" t="s">
        <v>64</v>
      </c>
      <c r="K1" s="206" t="s">
        <v>19</v>
      </c>
      <c r="L1" s="206" t="s">
        <v>65</v>
      </c>
      <c r="M1" s="211" t="s">
        <v>66</v>
      </c>
      <c r="N1" s="224"/>
      <c r="P1" s="27" t="s">
        <v>67</v>
      </c>
      <c r="Q1" s="26"/>
      <c r="R1" s="26"/>
      <c r="S1" s="26"/>
      <c r="U1" s="26" t="s">
        <v>20</v>
      </c>
      <c r="V1" s="26"/>
      <c r="W1" s="26"/>
      <c r="X1" s="26"/>
      <c r="Y1" s="26"/>
      <c r="AA1" s="27" t="s">
        <v>68</v>
      </c>
      <c r="AB1" s="26"/>
      <c r="AC1" s="26"/>
      <c r="AD1" s="28"/>
      <c r="AF1" s="27" t="s">
        <v>33</v>
      </c>
      <c r="AG1" s="26"/>
      <c r="AH1" s="39" t="s">
        <v>34</v>
      </c>
      <c r="AI1" s="40" t="s">
        <v>35</v>
      </c>
      <c r="AY1" s="33"/>
      <c r="AZ1" s="33"/>
      <c r="BA1" s="33"/>
      <c r="BB1" s="33"/>
      <c r="BC1" s="33"/>
      <c r="BD1" s="33"/>
      <c r="BE1" s="33"/>
      <c r="BF1" s="33"/>
      <c r="BG1" s="33"/>
    </row>
    <row r="2" spans="1:60" s="11" customFormat="1" ht="15" hidden="1" outlineLevel="1" x14ac:dyDescent="0.25">
      <c r="A2" s="208"/>
      <c r="B2" s="209"/>
      <c r="C2" s="210"/>
      <c r="D2" s="208"/>
      <c r="E2" s="15"/>
      <c r="F2" s="207"/>
      <c r="G2" s="207"/>
      <c r="H2" s="207"/>
      <c r="I2" s="207"/>
      <c r="J2" s="207"/>
      <c r="K2" s="207"/>
      <c r="L2" s="207"/>
      <c r="M2" s="225"/>
      <c r="N2" s="226"/>
      <c r="P2" s="22" t="s">
        <v>69</v>
      </c>
      <c r="Q2" s="23"/>
      <c r="R2" s="23"/>
      <c r="S2" s="147"/>
      <c r="U2" s="22" t="s">
        <v>25</v>
      </c>
      <c r="V2" s="23"/>
      <c r="W2" s="23"/>
      <c r="X2" s="35">
        <f>AI56</f>
        <v>0</v>
      </c>
      <c r="Y2" s="37" t="e">
        <f>X2/(SUM(AH10:$AH$55)+SUM(AI10:$AI$55)-SUMIFS(AH10:$AH$55,$AI$10:$AI$55,"&lt;&gt;"))</f>
        <v>#DIV/0!</v>
      </c>
      <c r="AA2" s="24" t="s">
        <v>70</v>
      </c>
      <c r="AB2" s="25"/>
      <c r="AC2" s="25"/>
      <c r="AD2" s="12" cm="1">
        <f t="array" ref="AD2">SUM(ISNUMBER($AO$10:AO55)*1)</f>
        <v>39</v>
      </c>
      <c r="AF2" s="22" t="s">
        <v>444</v>
      </c>
      <c r="AG2" s="23"/>
      <c r="AH2" s="13">
        <f>COUNTIFS($AB$10:AB55,"&lt;0")</f>
        <v>0</v>
      </c>
      <c r="AI2" s="13">
        <f>MIN(AB10:AB55)</f>
        <v>19</v>
      </c>
    </row>
    <row r="3" spans="1:60" s="11" customFormat="1" ht="15" hidden="1" customHeight="1" outlineLevel="1" x14ac:dyDescent="0.25">
      <c r="A3" s="212" t="s">
        <v>47</v>
      </c>
      <c r="B3" s="213"/>
      <c r="C3" s="216" t="s">
        <v>327</v>
      </c>
      <c r="D3" s="218" t="s">
        <v>73</v>
      </c>
      <c r="E3" s="122"/>
      <c r="F3" s="218" t="s">
        <v>328</v>
      </c>
      <c r="G3" s="218" t="s">
        <v>75</v>
      </c>
      <c r="H3" s="218" t="s">
        <v>328</v>
      </c>
      <c r="I3" s="218" t="s">
        <v>121</v>
      </c>
      <c r="J3" s="227" t="s">
        <v>329</v>
      </c>
      <c r="K3" s="227" t="s">
        <v>330</v>
      </c>
      <c r="L3" s="218">
        <v>46022</v>
      </c>
      <c r="M3" s="220">
        <v>46132</v>
      </c>
      <c r="N3" s="221"/>
      <c r="P3" s="22" t="s">
        <v>77</v>
      </c>
      <c r="Q3" s="23"/>
      <c r="R3" s="23"/>
      <c r="S3" s="148">
        <f>AF56</f>
        <v>0</v>
      </c>
      <c r="U3" s="22" t="s">
        <v>78</v>
      </c>
      <c r="V3" s="23"/>
      <c r="W3" s="23"/>
      <c r="X3" s="36">
        <f>S4-SUMIFS(AH10:$AH$55,$AI$10:$AI$55,"&lt;&gt;")</f>
        <v>0</v>
      </c>
      <c r="Y3" s="153" t="e">
        <f>X3/(X2+X3)</f>
        <v>#DIV/0!</v>
      </c>
      <c r="AA3" s="22" t="s">
        <v>79</v>
      </c>
      <c r="AB3" s="23"/>
      <c r="AC3" s="23"/>
      <c r="AD3" s="13">
        <f>COUNTIFS($AV$10:AV55,Z8)</f>
        <v>0</v>
      </c>
      <c r="AF3" s="22" t="s">
        <v>447</v>
      </c>
      <c r="AG3" s="23"/>
      <c r="AH3" s="13">
        <f>COUNTIFS($AO$10:AO55,"&lt;0")</f>
        <v>39</v>
      </c>
      <c r="AI3" s="14">
        <f>MIN(AO10:AO55)</f>
        <v>-76</v>
      </c>
    </row>
    <row r="4" spans="1:60" s="11" customFormat="1" ht="15" hidden="1" outlineLevel="1" x14ac:dyDescent="0.25">
      <c r="A4" s="214"/>
      <c r="B4" s="215"/>
      <c r="C4" s="217"/>
      <c r="D4" s="219"/>
      <c r="E4" s="122"/>
      <c r="F4" s="219"/>
      <c r="G4" s="219"/>
      <c r="H4" s="219"/>
      <c r="I4" s="219"/>
      <c r="J4" s="228"/>
      <c r="K4" s="228"/>
      <c r="L4" s="219"/>
      <c r="M4" s="222"/>
      <c r="N4" s="223"/>
      <c r="P4" s="22" t="s">
        <v>23</v>
      </c>
      <c r="Q4" s="23"/>
      <c r="R4" s="23"/>
      <c r="S4" s="148">
        <f>AH56</f>
        <v>0</v>
      </c>
      <c r="U4" s="22" t="s">
        <v>80</v>
      </c>
      <c r="V4" s="23"/>
      <c r="W4" s="23"/>
      <c r="X4" s="36">
        <f>SUMIFS(AF10:$AF$55,$AI$10:$AI$55,"&lt;&gt;")-X2</f>
        <v>0</v>
      </c>
      <c r="Y4" s="38" t="e">
        <f>X4/$S$2</f>
        <v>#DIV/0!</v>
      </c>
      <c r="AA4" s="22" t="s">
        <v>81</v>
      </c>
      <c r="AB4" s="23"/>
      <c r="AC4" s="23"/>
      <c r="AD4" s="13">
        <f>C6-L3</f>
        <v>90</v>
      </c>
      <c r="AF4" s="22" t="s">
        <v>448</v>
      </c>
      <c r="AG4" s="23"/>
      <c r="AH4" s="13">
        <f>COUNTIFS($AS$10:AS55,"&lt;0")</f>
        <v>39</v>
      </c>
      <c r="AI4" s="14">
        <f>MIN(AS10:AS55)</f>
        <v>-76</v>
      </c>
    </row>
    <row r="5" spans="1:60" s="11" customFormat="1" ht="15" hidden="1" outlineLevel="1" x14ac:dyDescent="0.25">
      <c r="U5" s="22" t="s">
        <v>82</v>
      </c>
      <c r="V5" s="23"/>
      <c r="W5" s="23"/>
      <c r="X5" s="36">
        <f>SUMIFS(AH10:$AH$55,$AI$10:$AI$55,"&lt;&gt;")-X2</f>
        <v>0</v>
      </c>
      <c r="Y5" s="38" t="e">
        <f>X5/$S$2</f>
        <v>#DIV/0!</v>
      </c>
      <c r="Z5" s="160"/>
      <c r="AA5" s="160"/>
      <c r="AB5" s="160"/>
      <c r="AC5" s="160"/>
      <c r="AD5" s="160"/>
      <c r="AE5" s="160"/>
      <c r="AF5" s="160"/>
      <c r="AG5" s="160"/>
      <c r="AH5" s="160"/>
      <c r="AI5" s="160"/>
    </row>
    <row r="6" spans="1:60" ht="23.25" hidden="1" outlineLevel="1" x14ac:dyDescent="0.25">
      <c r="A6" s="127" t="s">
        <v>83</v>
      </c>
      <c r="B6" s="128"/>
      <c r="C6" s="129">
        <v>46112</v>
      </c>
      <c r="D6" s="19"/>
      <c r="E6" s="16"/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5"/>
      <c r="AB6" s="126"/>
      <c r="AC6" s="19"/>
      <c r="AD6" s="19"/>
      <c r="AE6" s="19"/>
      <c r="AF6" s="19"/>
      <c r="AG6" s="19"/>
      <c r="AH6" s="19"/>
      <c r="AI6" s="19"/>
      <c r="AJ6" s="19"/>
      <c r="AK6" s="19"/>
      <c r="AL6" s="16"/>
      <c r="AM6" s="168" t="s">
        <v>446</v>
      </c>
      <c r="AN6" s="16"/>
      <c r="AO6" s="16"/>
      <c r="AP6" s="16"/>
      <c r="AQ6" s="16"/>
      <c r="AR6" s="16"/>
      <c r="AS6" s="16"/>
      <c r="AT6" s="16"/>
      <c r="AU6" s="16"/>
      <c r="AV6" s="16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6"/>
    </row>
    <row r="7" spans="1:60" ht="18.75" customHeight="1" collapsed="1" x14ac:dyDescent="0.25">
      <c r="A7" s="233" t="s">
        <v>84</v>
      </c>
      <c r="B7" s="236" t="s">
        <v>85</v>
      </c>
      <c r="C7" s="236" t="s">
        <v>86</v>
      </c>
      <c r="D7" s="238" t="s">
        <v>1</v>
      </c>
      <c r="F7" s="229">
        <v>15</v>
      </c>
      <c r="G7" s="230"/>
      <c r="H7" s="229">
        <v>7</v>
      </c>
      <c r="I7" s="230"/>
      <c r="J7" s="229">
        <v>6</v>
      </c>
      <c r="K7" s="230"/>
      <c r="L7" s="229">
        <v>3</v>
      </c>
      <c r="M7" s="230"/>
      <c r="N7" s="229">
        <v>30</v>
      </c>
      <c r="O7" s="230"/>
      <c r="P7" s="229">
        <v>10</v>
      </c>
      <c r="Q7" s="230"/>
      <c r="R7" s="229">
        <v>20</v>
      </c>
      <c r="S7" s="230"/>
      <c r="T7" s="229">
        <v>7</v>
      </c>
      <c r="U7" s="230"/>
      <c r="V7" s="229">
        <v>7</v>
      </c>
      <c r="W7" s="230"/>
      <c r="X7" s="229">
        <v>5</v>
      </c>
      <c r="Y7" s="230"/>
      <c r="Z7" s="229">
        <v>10</v>
      </c>
      <c r="AA7" s="230"/>
      <c r="AB7" s="243" t="s">
        <v>87</v>
      </c>
      <c r="AC7" s="16"/>
      <c r="AD7" s="244" t="s">
        <v>88</v>
      </c>
      <c r="AE7" s="16"/>
      <c r="AF7" s="241" t="s">
        <v>77</v>
      </c>
      <c r="AG7" s="257" t="s">
        <v>89</v>
      </c>
      <c r="AH7" s="257" t="s">
        <v>23</v>
      </c>
      <c r="AI7" s="257" t="s">
        <v>90</v>
      </c>
      <c r="AJ7" s="257" t="s">
        <v>91</v>
      </c>
      <c r="AK7" s="258" t="s">
        <v>92</v>
      </c>
      <c r="AL7" s="86"/>
      <c r="AM7" s="255" t="s">
        <v>93</v>
      </c>
      <c r="AN7" s="257" t="s">
        <v>94</v>
      </c>
      <c r="AO7" s="259" t="s">
        <v>95</v>
      </c>
      <c r="AP7" s="86"/>
      <c r="AQ7" s="261" t="s">
        <v>96</v>
      </c>
      <c r="AR7" s="252" t="s">
        <v>97</v>
      </c>
      <c r="AS7" s="259" t="s">
        <v>95</v>
      </c>
      <c r="AT7" s="86"/>
      <c r="AU7" s="255" t="s">
        <v>98</v>
      </c>
      <c r="AV7" s="252" t="s">
        <v>99</v>
      </c>
      <c r="AW7" s="246" t="s">
        <v>2</v>
      </c>
      <c r="AX7" s="246" t="s">
        <v>4</v>
      </c>
      <c r="AY7" s="246" t="s">
        <v>6</v>
      </c>
      <c r="AZ7" s="246" t="s">
        <v>100</v>
      </c>
      <c r="BA7" s="246" t="s">
        <v>10</v>
      </c>
      <c r="BB7" s="246" t="s">
        <v>12</v>
      </c>
      <c r="BC7" s="246" t="s">
        <v>14</v>
      </c>
      <c r="BD7" s="246" t="s">
        <v>15</v>
      </c>
      <c r="BE7" s="246" t="s">
        <v>16</v>
      </c>
      <c r="BF7" s="246" t="s">
        <v>17</v>
      </c>
      <c r="BG7" s="249" t="s">
        <v>101</v>
      </c>
      <c r="BH7" s="86"/>
    </row>
    <row r="8" spans="1:60" ht="26.25" x14ac:dyDescent="0.25">
      <c r="A8" s="234"/>
      <c r="B8" s="237"/>
      <c r="C8" s="237"/>
      <c r="D8" s="239"/>
      <c r="E8" s="16"/>
      <c r="F8" s="231" t="s">
        <v>2</v>
      </c>
      <c r="G8" s="232"/>
      <c r="H8" s="231" t="s">
        <v>4</v>
      </c>
      <c r="I8" s="232"/>
      <c r="J8" s="231" t="s">
        <v>6</v>
      </c>
      <c r="K8" s="232"/>
      <c r="L8" s="231" t="s">
        <v>8</v>
      </c>
      <c r="M8" s="232"/>
      <c r="N8" s="231" t="s">
        <v>10</v>
      </c>
      <c r="O8" s="232"/>
      <c r="P8" s="231" t="s">
        <v>12</v>
      </c>
      <c r="Q8" s="232"/>
      <c r="R8" s="231" t="s">
        <v>14</v>
      </c>
      <c r="S8" s="232"/>
      <c r="T8" s="231" t="s">
        <v>15</v>
      </c>
      <c r="U8" s="232"/>
      <c r="V8" s="231" t="s">
        <v>16</v>
      </c>
      <c r="W8" s="232"/>
      <c r="X8" s="231" t="s">
        <v>17</v>
      </c>
      <c r="Y8" s="232"/>
      <c r="Z8" s="231" t="s">
        <v>18</v>
      </c>
      <c r="AA8" s="232"/>
      <c r="AB8" s="243"/>
      <c r="AC8" s="16"/>
      <c r="AD8" s="245"/>
      <c r="AE8" s="16"/>
      <c r="AF8" s="242"/>
      <c r="AG8" s="237"/>
      <c r="AH8" s="237"/>
      <c r="AI8" s="237"/>
      <c r="AJ8" s="237"/>
      <c r="AK8" s="239"/>
      <c r="AL8" s="48"/>
      <c r="AM8" s="234"/>
      <c r="AN8" s="237"/>
      <c r="AO8" s="260"/>
      <c r="AP8" s="48"/>
      <c r="AQ8" s="262"/>
      <c r="AR8" s="253"/>
      <c r="AS8" s="260"/>
      <c r="AT8" s="48"/>
      <c r="AU8" s="234"/>
      <c r="AV8" s="253"/>
      <c r="AW8" s="247"/>
      <c r="AX8" s="247"/>
      <c r="AY8" s="247"/>
      <c r="AZ8" s="247"/>
      <c r="BA8" s="247"/>
      <c r="BB8" s="247"/>
      <c r="BC8" s="247"/>
      <c r="BD8" s="247"/>
      <c r="BE8" s="247"/>
      <c r="BF8" s="247"/>
      <c r="BG8" s="250"/>
      <c r="BH8" s="146"/>
    </row>
    <row r="9" spans="1:60" s="7" customFormat="1" ht="22.5" x14ac:dyDescent="0.25">
      <c r="A9" s="235"/>
      <c r="B9" s="237"/>
      <c r="C9" s="237"/>
      <c r="D9" s="240"/>
      <c r="E9" s="20"/>
      <c r="F9" s="65" t="s">
        <v>102</v>
      </c>
      <c r="G9" s="66" t="s">
        <v>103</v>
      </c>
      <c r="H9" s="65" t="s">
        <v>102</v>
      </c>
      <c r="I9" s="66" t="s">
        <v>103</v>
      </c>
      <c r="J9" s="65" t="s">
        <v>102</v>
      </c>
      <c r="K9" s="66" t="s">
        <v>103</v>
      </c>
      <c r="L9" s="65" t="s">
        <v>102</v>
      </c>
      <c r="M9" s="66" t="s">
        <v>103</v>
      </c>
      <c r="N9" s="65" t="s">
        <v>102</v>
      </c>
      <c r="O9" s="66" t="s">
        <v>103</v>
      </c>
      <c r="P9" s="65" t="s">
        <v>102</v>
      </c>
      <c r="Q9" s="66" t="s">
        <v>103</v>
      </c>
      <c r="R9" s="65" t="s">
        <v>102</v>
      </c>
      <c r="S9" s="66" t="s">
        <v>103</v>
      </c>
      <c r="T9" s="65" t="s">
        <v>102</v>
      </c>
      <c r="U9" s="66" t="s">
        <v>103</v>
      </c>
      <c r="V9" s="65" t="s">
        <v>102</v>
      </c>
      <c r="W9" s="66" t="s">
        <v>103</v>
      </c>
      <c r="X9" s="65" t="s">
        <v>102</v>
      </c>
      <c r="Y9" s="66" t="s">
        <v>103</v>
      </c>
      <c r="Z9" s="65" t="s">
        <v>102</v>
      </c>
      <c r="AA9" s="66" t="s">
        <v>103</v>
      </c>
      <c r="AB9" s="243"/>
      <c r="AC9" s="20"/>
      <c r="AD9" s="245"/>
      <c r="AE9" s="20"/>
      <c r="AF9" s="242"/>
      <c r="AG9" s="237"/>
      <c r="AH9" s="237"/>
      <c r="AI9" s="237"/>
      <c r="AJ9" s="237"/>
      <c r="AK9" s="239"/>
      <c r="AL9" s="87"/>
      <c r="AM9" s="234"/>
      <c r="AN9" s="237"/>
      <c r="AO9" s="260"/>
      <c r="AP9" s="87"/>
      <c r="AQ9" s="263"/>
      <c r="AR9" s="254"/>
      <c r="AS9" s="264"/>
      <c r="AT9" s="87"/>
      <c r="AU9" s="256"/>
      <c r="AV9" s="254"/>
      <c r="AW9" s="248"/>
      <c r="AX9" s="248"/>
      <c r="AY9" s="248"/>
      <c r="AZ9" s="248"/>
      <c r="BA9" s="248"/>
      <c r="BB9" s="248"/>
      <c r="BC9" s="248"/>
      <c r="BD9" s="248"/>
      <c r="BE9" s="248"/>
      <c r="BF9" s="248"/>
      <c r="BG9" s="251"/>
      <c r="BH9" s="87"/>
    </row>
    <row r="10" spans="1:60" ht="23.25" x14ac:dyDescent="0.25">
      <c r="A10" s="53"/>
      <c r="B10" s="49"/>
      <c r="C10" s="50" t="s">
        <v>104</v>
      </c>
      <c r="D10" s="61"/>
      <c r="E10" s="51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1"/>
      <c r="BF10" s="51"/>
      <c r="BG10" s="88"/>
      <c r="BH10" s="146"/>
    </row>
    <row r="11" spans="1:60" ht="26.25" x14ac:dyDescent="0.25">
      <c r="A11" s="56" cm="1">
        <f t="array" ref="A11">SUMPRODUCT(($AV$10:$AV$55&lt;&gt;"")*(ROW($AV$10:$AV$55)&lt;=ROW()))</f>
        <v>1</v>
      </c>
      <c r="B11" s="57"/>
      <c r="C11" s="58"/>
      <c r="D11" s="93"/>
      <c r="E11" s="16"/>
      <c r="F11" s="29">
        <f>H11-$H$7</f>
        <v>46036</v>
      </c>
      <c r="G11" s="42"/>
      <c r="H11" s="29">
        <f>J11-$J$7</f>
        <v>46043</v>
      </c>
      <c r="I11" s="42"/>
      <c r="J11" s="29">
        <f>L11-$L$7</f>
        <v>46049</v>
      </c>
      <c r="K11" s="42"/>
      <c r="L11" s="29">
        <f>N11-$N$7</f>
        <v>46052</v>
      </c>
      <c r="M11" s="42"/>
      <c r="N11" s="29">
        <f>P11-$P$7</f>
        <v>46082</v>
      </c>
      <c r="O11" s="42"/>
      <c r="P11" s="29">
        <f>R11-$R$7</f>
        <v>46092</v>
      </c>
      <c r="Q11" s="42"/>
      <c r="R11" s="29">
        <f>T11-$T$7</f>
        <v>46112</v>
      </c>
      <c r="S11" s="42"/>
      <c r="T11" s="29">
        <f>V11-$V$7</f>
        <v>46119</v>
      </c>
      <c r="U11" s="42"/>
      <c r="V11" s="29">
        <f>X11-$X$7</f>
        <v>46126</v>
      </c>
      <c r="W11" s="42"/>
      <c r="X11" s="29">
        <f>AN11</f>
        <v>46131</v>
      </c>
      <c r="Y11" s="42"/>
      <c r="Z11" s="30">
        <f>X11+$Z$7</f>
        <v>46141</v>
      </c>
      <c r="AA11" s="42"/>
      <c r="AB11" s="31">
        <f>IF(AV11="10. Issued to Contractor","-",IF(AV11="11. Subcontract Agreement signed","-",MAX(AN11,AR11)-$C$6))</f>
        <v>19</v>
      </c>
      <c r="AC11" s="16"/>
      <c r="AD11" s="131">
        <f>SUM($H$7:$Y$7)</f>
        <v>95</v>
      </c>
      <c r="AE11" s="16"/>
      <c r="AF11" s="95"/>
      <c r="AG11" s="67"/>
      <c r="AH11" s="67"/>
      <c r="AI11" s="67"/>
      <c r="AJ11" s="68" t="str">
        <f>IF(AI11&gt;0,SUM(AH11)-SUM(AI11),"")</f>
        <v/>
      </c>
      <c r="AK11" s="102"/>
      <c r="AL11" s="48"/>
      <c r="AM11" s="105"/>
      <c r="AN11" s="69">
        <f>$M$3+AM11-1</f>
        <v>46131</v>
      </c>
      <c r="AO11" s="107">
        <f>AN11-AU11</f>
        <v>-76</v>
      </c>
      <c r="AP11" s="48"/>
      <c r="AQ11" s="111"/>
      <c r="AR11" s="70">
        <f>IFERROR(WORKDAY.INTL(AN11,AQ11,11),"")</f>
        <v>46131</v>
      </c>
      <c r="AS11" s="107">
        <f>AR11-AU11</f>
        <v>-76</v>
      </c>
      <c r="AT11" s="48"/>
      <c r="AU11" s="113">
        <f>IF(Y11&gt;0,Y11,IFERROR(MAX(_xlfn.XLOOKUP($AV11,$H$8:$Z$8,$G11:$Y11),$C$6)+(AN11-_xlfn.XLOOKUP($AV11,$H$8:$Z$8,$F11:$X11))*AD11/SUM($H$7:$Y$7),$C$6+SUM(AD11)))</f>
        <v>46207</v>
      </c>
      <c r="AV11" s="119" t="str" cm="1">
        <f t="array" ref="AV11">IF(OR(G11&gt;$C$6,G11=""),$F$8,INDEX($E$8:$Z$8,MATCH(TRUE,(F11:AA11=""),0)))</f>
        <v>1. Tender Docs &amp; BOQ</v>
      </c>
      <c r="AW11" s="116" t="b">
        <f>IF(AND(G11&gt;0,G11&lt;$C$6),TRUE,FALSE)</f>
        <v>0</v>
      </c>
      <c r="AX11" s="71" t="b">
        <f>IF(AND(I11&gt;0,I11&lt;$C$6),TRUE,FALSE)</f>
        <v>0</v>
      </c>
      <c r="AY11" s="71" t="b">
        <f>IF(AND(K11&gt;0,K11&lt;$C$6),TRUE,FALSE)</f>
        <v>0</v>
      </c>
      <c r="AZ11" s="71" t="b">
        <f>IF(AND(M11&gt;0,M11&lt;$C$6),TRUE,FALSE)</f>
        <v>0</v>
      </c>
      <c r="BA11" s="71" t="b">
        <f>IF(AND(O11&gt;0,O11&lt;$C$6),TRUE,FALSE)</f>
        <v>0</v>
      </c>
      <c r="BB11" s="71" t="b">
        <f>IF(AND(Q11&gt;0,Q11&lt;$C$6),TRUE,FALSE)</f>
        <v>0</v>
      </c>
      <c r="BC11" s="71" t="b">
        <f>IF(AND(S11&gt;0,S11&lt;$C$6),TRUE,FALSE)</f>
        <v>0</v>
      </c>
      <c r="BD11" s="71" t="b">
        <f>IF(AND(U11&gt;0,U11&lt;$C$6),TRUE,FALSE)</f>
        <v>0</v>
      </c>
      <c r="BE11" s="71" t="b">
        <f>IF(AND(W11&gt;0,W11&lt;$C$6),TRUE,FALSE)</f>
        <v>0</v>
      </c>
      <c r="BF11" s="71" t="b">
        <f>IF(AND(Y11&gt;0,Y11&lt;$C$6),TRUE,FALSE)</f>
        <v>0</v>
      </c>
      <c r="BG11" s="89" t="b">
        <f>IF(AND(AA11&gt;0,AA11&lt;$C$6),TRUE,FALSE)</f>
        <v>0</v>
      </c>
      <c r="BH11" s="146"/>
    </row>
    <row r="12" spans="1:60" ht="26.25" x14ac:dyDescent="0.25">
      <c r="A12" s="56" cm="1">
        <f t="array" ref="A12">SUMPRODUCT(($AV$10:$AV$55&lt;&gt;"")*(ROW($AV$10:$AV$55)&lt;=ROW()))</f>
        <v>2</v>
      </c>
      <c r="B12" s="59"/>
      <c r="C12" s="60"/>
      <c r="D12" s="59"/>
      <c r="E12" s="43"/>
      <c r="F12" s="44">
        <f>H12-$H$7</f>
        <v>46036</v>
      </c>
      <c r="G12" s="45"/>
      <c r="H12" s="44">
        <f>J12-$J$7</f>
        <v>46043</v>
      </c>
      <c r="I12" s="45"/>
      <c r="J12" s="44">
        <f>L12-$L$7</f>
        <v>46049</v>
      </c>
      <c r="K12" s="45"/>
      <c r="L12" s="44">
        <f>N12-$N$7</f>
        <v>46052</v>
      </c>
      <c r="M12" s="45"/>
      <c r="N12" s="44">
        <f>P12-$P$7</f>
        <v>46082</v>
      </c>
      <c r="O12" s="45"/>
      <c r="P12" s="44">
        <f>R12-$R$7</f>
        <v>46092</v>
      </c>
      <c r="Q12" s="45"/>
      <c r="R12" s="44">
        <f>T12-$T$7</f>
        <v>46112</v>
      </c>
      <c r="S12" s="45"/>
      <c r="T12" s="44">
        <f>V12-$V$7</f>
        <v>46119</v>
      </c>
      <c r="U12" s="45"/>
      <c r="V12" s="44">
        <f>X12-$X$7</f>
        <v>46126</v>
      </c>
      <c r="W12" s="45"/>
      <c r="X12" s="44">
        <f t="shared" ref="X12:X13" si="0">AN12</f>
        <v>46131</v>
      </c>
      <c r="Y12" s="45"/>
      <c r="Z12" s="46">
        <f>X12+$Z$7</f>
        <v>46141</v>
      </c>
      <c r="AA12" s="45"/>
      <c r="AB12" s="47">
        <f>IF(AV12="10. Issued to Contractor","-",IF(AV12="11. Subcontract Agreement signed","-",MAX(AN12,AR12)-$C$6))</f>
        <v>19</v>
      </c>
      <c r="AC12" s="16"/>
      <c r="AD12" s="131">
        <f t="shared" ref="AD12:AD13" si="1">SUM($H$7:$Y$7)</f>
        <v>95</v>
      </c>
      <c r="AE12" s="16"/>
      <c r="AF12" s="96"/>
      <c r="AG12" s="72"/>
      <c r="AH12" s="72"/>
      <c r="AI12" s="72"/>
      <c r="AJ12" s="73" t="str">
        <f>IF(AI12&gt;0,SUM(AH12)-SUM(AI12),"")</f>
        <v/>
      </c>
      <c r="AK12" s="101"/>
      <c r="AL12" s="48"/>
      <c r="AM12" s="104"/>
      <c r="AN12" s="74">
        <f>$M$3+AM12-1</f>
        <v>46131</v>
      </c>
      <c r="AO12" s="108">
        <f>AN12-AU12</f>
        <v>-76</v>
      </c>
      <c r="AP12" s="48"/>
      <c r="AQ12" s="110"/>
      <c r="AR12" s="75">
        <f>IFERROR(WORKDAY.INTL(AN12,AQ12,11),"")</f>
        <v>46131</v>
      </c>
      <c r="AS12" s="108">
        <f>AR12-AU12</f>
        <v>-76</v>
      </c>
      <c r="AT12" s="48"/>
      <c r="AU12" s="114">
        <f t="shared" ref="AU12:AU13" si="2">IF(Y12&gt;0,Y12,IFERROR(MAX(_xlfn.XLOOKUP($AV12,$H$8:$Z$8,$G12:$Y12),$C$6)+(AN12-_xlfn.XLOOKUP($AV12,$H$8:$Z$8,$F12:$X12))*AD12/SUM($H$7:$Y$7),$C$6+SUM(AD12)))</f>
        <v>46207</v>
      </c>
      <c r="AV12" s="120" t="str" cm="1">
        <f t="array" ref="AV12">IF(OR(G12&gt;$C$6,G12=""),$F$8,INDEX($E$8:$Z$8,MATCH(TRUE,(F12:AA12=""),0)))</f>
        <v>1. Tender Docs &amp; BOQ</v>
      </c>
      <c r="AW12" s="117" t="b">
        <f>IF(AND(G12&gt;0,G12&lt;$C$6),TRUE,FALSE)</f>
        <v>0</v>
      </c>
      <c r="AX12" s="76" t="b">
        <f>IF(AND(I12&gt;0,I12&lt;$C$6),TRUE,FALSE)</f>
        <v>0</v>
      </c>
      <c r="AY12" s="76" t="b">
        <f>IF(AND(K12&gt;0,K12&lt;$C$6),TRUE,FALSE)</f>
        <v>0</v>
      </c>
      <c r="AZ12" s="76" t="b">
        <f>IF(AND(M12&gt;0,M12&lt;$C$6),TRUE,FALSE)</f>
        <v>0</v>
      </c>
      <c r="BA12" s="76" t="b">
        <f>IF(AND(O12&gt;0,O12&lt;$C$6),TRUE,FALSE)</f>
        <v>0</v>
      </c>
      <c r="BB12" s="76" t="b">
        <f>IF(AND(Q12&gt;0,Q12&lt;$C$6),TRUE,FALSE)</f>
        <v>0</v>
      </c>
      <c r="BC12" s="76" t="b">
        <f>IF(AND(S12&gt;0,S12&lt;$C$6),TRUE,FALSE)</f>
        <v>0</v>
      </c>
      <c r="BD12" s="76" t="b">
        <f>IF(AND(U12&gt;0,U12&lt;$C$6),TRUE,FALSE)</f>
        <v>0</v>
      </c>
      <c r="BE12" s="76" t="b">
        <f>IF(AND(W12&gt;0,W12&lt;$C$6),TRUE,FALSE)</f>
        <v>0</v>
      </c>
      <c r="BF12" s="76" t="b">
        <f>IF(AND(Y12&gt;0,Y12&lt;$C$6),TRUE,FALSE)</f>
        <v>0</v>
      </c>
      <c r="BG12" s="90" t="b">
        <f>IF(AND(AA12&gt;0,AA12&lt;$C$6),TRUE,FALSE)</f>
        <v>0</v>
      </c>
      <c r="BH12" s="146"/>
    </row>
    <row r="13" spans="1:60" ht="26.25" x14ac:dyDescent="0.25">
      <c r="A13" s="56" cm="1">
        <f t="array" ref="A13">SUMPRODUCT(($AV$10:$AV$55&lt;&gt;"")*(ROW($AV$10:$AV$55)&lt;=ROW()))</f>
        <v>3</v>
      </c>
      <c r="B13" s="57"/>
      <c r="C13" s="58"/>
      <c r="D13" s="93"/>
      <c r="E13" s="16"/>
      <c r="F13" s="29">
        <f>H13-$H$7</f>
        <v>46036</v>
      </c>
      <c r="G13" s="42"/>
      <c r="H13" s="29">
        <f>J13-$J$7</f>
        <v>46043</v>
      </c>
      <c r="I13" s="42"/>
      <c r="J13" s="29">
        <f>L13-$L$7</f>
        <v>46049</v>
      </c>
      <c r="K13" s="42"/>
      <c r="L13" s="29">
        <f>N13-$N$7</f>
        <v>46052</v>
      </c>
      <c r="M13" s="42"/>
      <c r="N13" s="29">
        <f>P13-$P$7</f>
        <v>46082</v>
      </c>
      <c r="O13" s="42"/>
      <c r="P13" s="29">
        <f>R13-$R$7</f>
        <v>46092</v>
      </c>
      <c r="Q13" s="42"/>
      <c r="R13" s="29">
        <f>T13-$T$7</f>
        <v>46112</v>
      </c>
      <c r="S13" s="42"/>
      <c r="T13" s="29">
        <f>V13-$V$7</f>
        <v>46119</v>
      </c>
      <c r="U13" s="42"/>
      <c r="V13" s="29">
        <f>X13-$X$7</f>
        <v>46126</v>
      </c>
      <c r="W13" s="42"/>
      <c r="X13" s="29">
        <f t="shared" si="0"/>
        <v>46131</v>
      </c>
      <c r="Y13" s="42"/>
      <c r="Z13" s="30">
        <f>X13+$Z$7</f>
        <v>46141</v>
      </c>
      <c r="AA13" s="42"/>
      <c r="AB13" s="31">
        <f>IF(AV13="10. Issued to Contractor","-",IF(AV13="11. Subcontract Agreement signed","-",MAX(AN13,AR13)-$C$6))</f>
        <v>19</v>
      </c>
      <c r="AC13" s="16"/>
      <c r="AD13" s="131">
        <f t="shared" si="1"/>
        <v>95</v>
      </c>
      <c r="AE13" s="16"/>
      <c r="AF13" s="95"/>
      <c r="AG13" s="67"/>
      <c r="AH13" s="67"/>
      <c r="AI13" s="67"/>
      <c r="AJ13" s="68" t="str">
        <f>IF(AI13&gt;0,SUM(AH13)-SUM(AI13),"")</f>
        <v/>
      </c>
      <c r="AK13" s="102"/>
      <c r="AL13" s="48"/>
      <c r="AM13" s="105"/>
      <c r="AN13" s="69">
        <f>$M$3+AM13-1</f>
        <v>46131</v>
      </c>
      <c r="AO13" s="107">
        <f>AN13-AU13</f>
        <v>-76</v>
      </c>
      <c r="AP13" s="48"/>
      <c r="AQ13" s="111"/>
      <c r="AR13" s="70">
        <f>IFERROR(WORKDAY.INTL(AN13,AQ13,11),"")</f>
        <v>46131</v>
      </c>
      <c r="AS13" s="107">
        <f>AR13-AU13</f>
        <v>-76</v>
      </c>
      <c r="AT13" s="48"/>
      <c r="AU13" s="113">
        <f t="shared" si="2"/>
        <v>46207</v>
      </c>
      <c r="AV13" s="119" t="str" cm="1">
        <f t="array" ref="AV13">IF(OR(G13&gt;$C$6,G13=""),$F$8,INDEX($E$8:$Z$8,MATCH(TRUE,(F13:AA13=""),0)))</f>
        <v>1. Tender Docs &amp; BOQ</v>
      </c>
      <c r="AW13" s="116" t="b">
        <f>IF(AND(G13&gt;0,G13&lt;$C$6),TRUE,FALSE)</f>
        <v>0</v>
      </c>
      <c r="AX13" s="71" t="b">
        <f>IF(AND(I13&gt;0,I13&lt;$C$6),TRUE,FALSE)</f>
        <v>0</v>
      </c>
      <c r="AY13" s="71" t="b">
        <f>IF(AND(K13&gt;0,K13&lt;$C$6),TRUE,FALSE)</f>
        <v>0</v>
      </c>
      <c r="AZ13" s="71" t="b">
        <f>IF(AND(M13&gt;0,M13&lt;$C$6),TRUE,FALSE)</f>
        <v>0</v>
      </c>
      <c r="BA13" s="71" t="b">
        <f>IF(AND(O13&gt;0,O13&lt;$C$6),TRUE,FALSE)</f>
        <v>0</v>
      </c>
      <c r="BB13" s="71" t="b">
        <f>IF(AND(Q13&gt;0,Q13&lt;$C$6),TRUE,FALSE)</f>
        <v>0</v>
      </c>
      <c r="BC13" s="71" t="b">
        <f>IF(AND(S13&gt;0,S13&lt;$C$6),TRUE,FALSE)</f>
        <v>0</v>
      </c>
      <c r="BD13" s="71" t="b">
        <f>IF(AND(U13&gt;0,U13&lt;$C$6),TRUE,FALSE)</f>
        <v>0</v>
      </c>
      <c r="BE13" s="71" t="b">
        <f>IF(AND(W13&gt;0,W13&lt;$C$6),TRUE,FALSE)</f>
        <v>0</v>
      </c>
      <c r="BF13" s="71" t="b">
        <f>IF(AND(Y13&gt;0,Y13&lt;$C$6),TRUE,FALSE)</f>
        <v>0</v>
      </c>
      <c r="BG13" s="89" t="b">
        <f>IF(AND(AA13&gt;0,AA13&lt;$C$6),TRUE,FALSE)</f>
        <v>0</v>
      </c>
      <c r="BH13" s="146"/>
    </row>
    <row r="14" spans="1:60" ht="23.25" x14ac:dyDescent="0.25">
      <c r="A14" s="55"/>
      <c r="B14" s="49"/>
      <c r="C14" s="50" t="s">
        <v>115</v>
      </c>
      <c r="D14" s="51"/>
      <c r="E14" s="51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1"/>
      <c r="AC14" s="51"/>
      <c r="AD14" s="132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1"/>
      <c r="BF14" s="51"/>
      <c r="BG14" s="88"/>
      <c r="BH14" s="146"/>
    </row>
    <row r="15" spans="1:60" ht="23.25" x14ac:dyDescent="0.25">
      <c r="A15" s="53"/>
      <c r="B15" s="49"/>
      <c r="C15" s="50" t="s">
        <v>445</v>
      </c>
      <c r="D15" s="51"/>
      <c r="E15" s="51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1"/>
      <c r="AC15" s="51"/>
      <c r="AD15" s="132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51"/>
      <c r="BD15" s="51"/>
      <c r="BE15" s="51"/>
      <c r="BF15" s="51"/>
      <c r="BG15" s="88"/>
      <c r="BH15" s="146"/>
    </row>
    <row r="16" spans="1:60" ht="26.25" x14ac:dyDescent="0.25">
      <c r="A16" s="56" cm="1">
        <f t="array" ref="A16">SUMPRODUCT(($AV$10:$AV$55&lt;&gt;"")*(ROW($AV$10:$AV$55)&lt;=ROW()))</f>
        <v>4</v>
      </c>
      <c r="B16" s="57"/>
      <c r="C16" s="58"/>
      <c r="D16" s="93"/>
      <c r="E16" s="16"/>
      <c r="F16" s="29">
        <f>H16-$H$7</f>
        <v>46036</v>
      </c>
      <c r="G16" s="42"/>
      <c r="H16" s="29">
        <f>J16-$J$7</f>
        <v>46043</v>
      </c>
      <c r="I16" s="42"/>
      <c r="J16" s="29">
        <f>L16-$L$7</f>
        <v>46049</v>
      </c>
      <c r="K16" s="42"/>
      <c r="L16" s="29">
        <f>N16-$N$7</f>
        <v>46052</v>
      </c>
      <c r="M16" s="42"/>
      <c r="N16" s="29">
        <f>P16-$P$7</f>
        <v>46082</v>
      </c>
      <c r="O16" s="42"/>
      <c r="P16" s="29">
        <f>R16-$R$7</f>
        <v>46092</v>
      </c>
      <c r="Q16" s="42"/>
      <c r="R16" s="29">
        <f>T16-$T$7</f>
        <v>46112</v>
      </c>
      <c r="S16" s="42"/>
      <c r="T16" s="29">
        <f>V16-$V$7</f>
        <v>46119</v>
      </c>
      <c r="U16" s="42"/>
      <c r="V16" s="29">
        <f>X16-$X$7</f>
        <v>46126</v>
      </c>
      <c r="W16" s="42"/>
      <c r="X16" s="29">
        <f t="shared" ref="X16:X20" si="3">AN16</f>
        <v>46131</v>
      </c>
      <c r="Y16" s="42"/>
      <c r="Z16" s="30">
        <f>X16+$Z$7</f>
        <v>46141</v>
      </c>
      <c r="AA16" s="42"/>
      <c r="AB16" s="31">
        <f>IF(AV16="10. Issued to Contractor","-",IF(AV16="11. Subcontract Agreement signed","-",MAX(AN16,AR16)-$C$6))</f>
        <v>19</v>
      </c>
      <c r="AC16" s="16"/>
      <c r="AD16" s="131">
        <f t="shared" ref="AD16:AD20" si="4">SUM($H$7:$Y$7)</f>
        <v>95</v>
      </c>
      <c r="AE16" s="16"/>
      <c r="AF16" s="95"/>
      <c r="AG16" s="67"/>
      <c r="AH16" s="67"/>
      <c r="AI16" s="67"/>
      <c r="AJ16" s="68" t="str">
        <f>IF(AI16&gt;0,SUM(AH16)-SUM(AI16),"")</f>
        <v/>
      </c>
      <c r="AK16" s="102"/>
      <c r="AL16" s="48"/>
      <c r="AM16" s="105"/>
      <c r="AN16" s="69">
        <f>$M$3+AM16-1</f>
        <v>46131</v>
      </c>
      <c r="AO16" s="107">
        <f>AN16-AU16</f>
        <v>-76</v>
      </c>
      <c r="AP16" s="48"/>
      <c r="AQ16" s="111"/>
      <c r="AR16" s="70">
        <f>IFERROR(WORKDAY.INTL(AN16,AQ16,11),"")</f>
        <v>46131</v>
      </c>
      <c r="AS16" s="107">
        <f>AR16-AU16</f>
        <v>-76</v>
      </c>
      <c r="AT16" s="48"/>
      <c r="AU16" s="113">
        <f t="shared" ref="AU16:AU20" si="5">IF(Y16&gt;0,Y16,IFERROR(MAX(_xlfn.XLOOKUP($AV16,$H$8:$Z$8,$G16:$Y16),$C$6)+(AN16-_xlfn.XLOOKUP($AV16,$H$8:$Z$8,$F16:$X16))*AD16/SUM($H$7:$Y$7),$C$6+SUM(AD16)))</f>
        <v>46207</v>
      </c>
      <c r="AV16" s="119" t="str" cm="1">
        <f t="array" ref="AV16">IF(OR(G16&gt;$C$6,G16=""),$F$8,INDEX($E$8:$Z$8,MATCH(TRUE,(F16:AA16=""),0)))</f>
        <v>1. Tender Docs &amp; BOQ</v>
      </c>
      <c r="AW16" s="116" t="b">
        <f>IF(AND(G16&gt;0,G16&lt;$C$6),TRUE,FALSE)</f>
        <v>0</v>
      </c>
      <c r="AX16" s="71" t="b">
        <f>IF(AND(I16&gt;0,I16&lt;$C$6),TRUE,FALSE)</f>
        <v>0</v>
      </c>
      <c r="AY16" s="71" t="b">
        <f>IF(AND(K16&gt;0,K16&lt;$C$6),TRUE,FALSE)</f>
        <v>0</v>
      </c>
      <c r="AZ16" s="71" t="b">
        <f>IF(AND(M16&gt;0,M16&lt;$C$6),TRUE,FALSE)</f>
        <v>0</v>
      </c>
      <c r="BA16" s="71" t="b">
        <f>IF(AND(O16&gt;0,O16&lt;$C$6),TRUE,FALSE)</f>
        <v>0</v>
      </c>
      <c r="BB16" s="71" t="b">
        <f>IF(AND(Q16&gt;0,Q16&lt;$C$6),TRUE,FALSE)</f>
        <v>0</v>
      </c>
      <c r="BC16" s="71" t="b">
        <f>IF(AND(S16&gt;0,S16&lt;$C$6),TRUE,FALSE)</f>
        <v>0</v>
      </c>
      <c r="BD16" s="71" t="b">
        <f>IF(AND(U16&gt;0,U16&lt;$C$6),TRUE,FALSE)</f>
        <v>0</v>
      </c>
      <c r="BE16" s="71" t="b">
        <f>IF(AND(W16&gt;0,W16&lt;$C$6),TRUE,FALSE)</f>
        <v>0</v>
      </c>
      <c r="BF16" s="71" t="b">
        <f>IF(AND(Y16&gt;0,Y16&lt;$C$6),TRUE,FALSE)</f>
        <v>0</v>
      </c>
      <c r="BG16" s="89" t="b">
        <f>IF(AND(AA16&gt;0,AA16&lt;$C$6),TRUE,FALSE)</f>
        <v>0</v>
      </c>
      <c r="BH16" s="146"/>
    </row>
    <row r="17" spans="1:60" ht="26.25" x14ac:dyDescent="0.25">
      <c r="A17" s="56" cm="1">
        <f t="array" ref="A17">SUMPRODUCT(($AV$10:$AV$55&lt;&gt;"")*(ROW($AV$10:$AV$55)&lt;=ROW()))</f>
        <v>5</v>
      </c>
      <c r="B17" s="59"/>
      <c r="C17" s="60"/>
      <c r="D17" s="59"/>
      <c r="E17" s="43"/>
      <c r="F17" s="44">
        <f>H17-$H$7</f>
        <v>46036</v>
      </c>
      <c r="G17" s="45"/>
      <c r="H17" s="44">
        <f>J17-$J$7</f>
        <v>46043</v>
      </c>
      <c r="I17" s="45"/>
      <c r="J17" s="44">
        <f>L17-$L$7</f>
        <v>46049</v>
      </c>
      <c r="K17" s="45"/>
      <c r="L17" s="44">
        <f>N17-$N$7</f>
        <v>46052</v>
      </c>
      <c r="M17" s="45"/>
      <c r="N17" s="44">
        <f>P17-$P$7</f>
        <v>46082</v>
      </c>
      <c r="O17" s="45"/>
      <c r="P17" s="44">
        <f>R17-$R$7</f>
        <v>46092</v>
      </c>
      <c r="Q17" s="45"/>
      <c r="R17" s="44">
        <f>T17-$T$7</f>
        <v>46112</v>
      </c>
      <c r="S17" s="45"/>
      <c r="T17" s="44">
        <f>V17-$V$7</f>
        <v>46119</v>
      </c>
      <c r="U17" s="45"/>
      <c r="V17" s="44">
        <f>X17-$X$7</f>
        <v>46126</v>
      </c>
      <c r="W17" s="45"/>
      <c r="X17" s="44">
        <f t="shared" si="3"/>
        <v>46131</v>
      </c>
      <c r="Y17" s="45"/>
      <c r="Z17" s="46">
        <f>X17+$Z$7</f>
        <v>46141</v>
      </c>
      <c r="AA17" s="45"/>
      <c r="AB17" s="32">
        <f>IF(AV17="10. Issued to Contractor","-",IF(AV17="11. Subcontract Agreement signed","-",MAX(AN17,AR17)-$C$6))</f>
        <v>19</v>
      </c>
      <c r="AC17" s="16"/>
      <c r="AD17" s="131">
        <f t="shared" si="4"/>
        <v>95</v>
      </c>
      <c r="AE17" s="16"/>
      <c r="AF17" s="96"/>
      <c r="AG17" s="72"/>
      <c r="AH17" s="72"/>
      <c r="AI17" s="72"/>
      <c r="AJ17" s="73" t="str">
        <f>IF(AI17&gt;0,SUM(AH17)-SUM(AI17),"")</f>
        <v/>
      </c>
      <c r="AK17" s="101"/>
      <c r="AL17" s="48"/>
      <c r="AM17" s="104"/>
      <c r="AN17" s="74">
        <f>$M$3+AM17-1</f>
        <v>46131</v>
      </c>
      <c r="AO17" s="108">
        <f>AN17-AU17</f>
        <v>-76</v>
      </c>
      <c r="AP17" s="48"/>
      <c r="AQ17" s="110"/>
      <c r="AR17" s="75">
        <f>IFERROR(WORKDAY.INTL(AN17,AQ17,11),"")</f>
        <v>46131</v>
      </c>
      <c r="AS17" s="108">
        <f>AR17-AU17</f>
        <v>-76</v>
      </c>
      <c r="AT17" s="48"/>
      <c r="AU17" s="114">
        <f t="shared" si="5"/>
        <v>46207</v>
      </c>
      <c r="AV17" s="120" t="str" cm="1">
        <f t="array" ref="AV17">IF(OR(G17&gt;$C$6,G17=""),$F$8,INDEX($E$8:$Z$8,MATCH(TRUE,(F17:AA17=""),0)))</f>
        <v>1. Tender Docs &amp; BOQ</v>
      </c>
      <c r="AW17" s="117" t="b">
        <f>IF(AND(G17&gt;0,G17&lt;$C$6),TRUE,FALSE)</f>
        <v>0</v>
      </c>
      <c r="AX17" s="76" t="b">
        <f>IF(AND(I17&gt;0,I17&lt;$C$6),TRUE,FALSE)</f>
        <v>0</v>
      </c>
      <c r="AY17" s="76" t="b">
        <f>IF(AND(K17&gt;0,K17&lt;$C$6),TRUE,FALSE)</f>
        <v>0</v>
      </c>
      <c r="AZ17" s="76" t="b">
        <f>IF(AND(M17&gt;0,M17&lt;$C$6),TRUE,FALSE)</f>
        <v>0</v>
      </c>
      <c r="BA17" s="76" t="b">
        <f>IF(AND(O17&gt;0,O17&lt;$C$6),TRUE,FALSE)</f>
        <v>0</v>
      </c>
      <c r="BB17" s="76" t="b">
        <f>IF(AND(Q17&gt;0,Q17&lt;$C$6),TRUE,FALSE)</f>
        <v>0</v>
      </c>
      <c r="BC17" s="76" t="b">
        <f>IF(AND(S17&gt;0,S17&lt;$C$6),TRUE,FALSE)</f>
        <v>0</v>
      </c>
      <c r="BD17" s="76" t="b">
        <f>IF(AND(U17&gt;0,U17&lt;$C$6),TRUE,FALSE)</f>
        <v>0</v>
      </c>
      <c r="BE17" s="76" t="b">
        <f>IF(AND(W17&gt;0,W17&lt;$C$6),TRUE,FALSE)</f>
        <v>0</v>
      </c>
      <c r="BF17" s="76" t="b">
        <f>IF(AND(Y17&gt;0,Y17&lt;$C$6),TRUE,FALSE)</f>
        <v>0</v>
      </c>
      <c r="BG17" s="90" t="b">
        <f>IF(AND(AA17&gt;0,AA17&lt;$C$6),TRUE,FALSE)</f>
        <v>0</v>
      </c>
      <c r="BH17" s="146"/>
    </row>
    <row r="18" spans="1:60" ht="26.25" x14ac:dyDescent="0.25">
      <c r="A18" s="56" cm="1">
        <f t="array" ref="A18">SUMPRODUCT(($AV$10:$AV$55&lt;&gt;"")*(ROW($AV$10:$AV$55)&lt;=ROW()))</f>
        <v>6</v>
      </c>
      <c r="B18" s="57"/>
      <c r="C18" s="58"/>
      <c r="D18" s="93"/>
      <c r="E18" s="16"/>
      <c r="F18" s="29">
        <f>H18-$H$7</f>
        <v>46036</v>
      </c>
      <c r="G18" s="42"/>
      <c r="H18" s="29">
        <f>J18-$J$7</f>
        <v>46043</v>
      </c>
      <c r="I18" s="42"/>
      <c r="J18" s="29">
        <f>L18-$L$7</f>
        <v>46049</v>
      </c>
      <c r="K18" s="42"/>
      <c r="L18" s="29">
        <f>N18-$N$7</f>
        <v>46052</v>
      </c>
      <c r="M18" s="42"/>
      <c r="N18" s="29">
        <f>P18-$P$7</f>
        <v>46082</v>
      </c>
      <c r="O18" s="42"/>
      <c r="P18" s="29">
        <f>R18-$R$7</f>
        <v>46092</v>
      </c>
      <c r="Q18" s="42"/>
      <c r="R18" s="29">
        <f>T18-$T$7</f>
        <v>46112</v>
      </c>
      <c r="S18" s="42"/>
      <c r="T18" s="29">
        <f>V18-$V$7</f>
        <v>46119</v>
      </c>
      <c r="U18" s="42"/>
      <c r="V18" s="29">
        <f>X18-$X$7</f>
        <v>46126</v>
      </c>
      <c r="W18" s="42"/>
      <c r="X18" s="29">
        <f t="shared" si="3"/>
        <v>46131</v>
      </c>
      <c r="Y18" s="42"/>
      <c r="Z18" s="30">
        <f>X18+$Z$7</f>
        <v>46141</v>
      </c>
      <c r="AA18" s="42"/>
      <c r="AB18" s="31">
        <f>IF(AV18="10. Issued to Contractor","-",IF(AV18="11. Subcontract Agreement signed","-",MAX(AN18,AR18)-$C$6))</f>
        <v>19</v>
      </c>
      <c r="AC18" s="16"/>
      <c r="AD18" s="131">
        <f t="shared" si="4"/>
        <v>95</v>
      </c>
      <c r="AE18" s="16"/>
      <c r="AF18" s="95"/>
      <c r="AG18" s="67"/>
      <c r="AH18" s="67"/>
      <c r="AI18" s="67"/>
      <c r="AJ18" s="68" t="str">
        <f>IF(AI18&gt;0,SUM(AH18)-SUM(AI18),"")</f>
        <v/>
      </c>
      <c r="AK18" s="102"/>
      <c r="AL18" s="48"/>
      <c r="AM18" s="105"/>
      <c r="AN18" s="69">
        <f>$M$3+AM18-1</f>
        <v>46131</v>
      </c>
      <c r="AO18" s="107">
        <f>AN18-AU18</f>
        <v>-76</v>
      </c>
      <c r="AP18" s="48"/>
      <c r="AQ18" s="111"/>
      <c r="AR18" s="70">
        <f>IFERROR(WORKDAY.INTL(AN18,AQ18,11),"")</f>
        <v>46131</v>
      </c>
      <c r="AS18" s="107">
        <f>AR18-AU18</f>
        <v>-76</v>
      </c>
      <c r="AT18" s="48"/>
      <c r="AU18" s="113">
        <f t="shared" si="5"/>
        <v>46207</v>
      </c>
      <c r="AV18" s="119" t="str" cm="1">
        <f t="array" ref="AV18">IF(OR(G18&gt;$C$6,G18=""),$F$8,INDEX($E$8:$Z$8,MATCH(TRUE,(F18:AA18=""),0)))</f>
        <v>1. Tender Docs &amp; BOQ</v>
      </c>
      <c r="AW18" s="116" t="b">
        <f>IF(AND(G18&gt;0,G18&lt;$C$6),TRUE,FALSE)</f>
        <v>0</v>
      </c>
      <c r="AX18" s="71" t="b">
        <f>IF(AND(I18&gt;0,I18&lt;$C$6),TRUE,FALSE)</f>
        <v>0</v>
      </c>
      <c r="AY18" s="71" t="b">
        <f>IF(AND(K18&gt;0,K18&lt;$C$6),TRUE,FALSE)</f>
        <v>0</v>
      </c>
      <c r="AZ18" s="71" t="b">
        <f>IF(AND(M18&gt;0,M18&lt;$C$6),TRUE,FALSE)</f>
        <v>0</v>
      </c>
      <c r="BA18" s="71" t="b">
        <f>IF(AND(O18&gt;0,O18&lt;$C$6),TRUE,FALSE)</f>
        <v>0</v>
      </c>
      <c r="BB18" s="71" t="b">
        <f>IF(AND(Q18&gt;0,Q18&lt;$C$6),TRUE,FALSE)</f>
        <v>0</v>
      </c>
      <c r="BC18" s="71" t="b">
        <f>IF(AND(S18&gt;0,S18&lt;$C$6),TRUE,FALSE)</f>
        <v>0</v>
      </c>
      <c r="BD18" s="71" t="b">
        <f>IF(AND(U18&gt;0,U18&lt;$C$6),TRUE,FALSE)</f>
        <v>0</v>
      </c>
      <c r="BE18" s="71" t="b">
        <f>IF(AND(W18&gt;0,W18&lt;$C$6),TRUE,FALSE)</f>
        <v>0</v>
      </c>
      <c r="BF18" s="71" t="b">
        <f>IF(AND(Y18&gt;0,Y18&lt;$C$6),TRUE,FALSE)</f>
        <v>0</v>
      </c>
      <c r="BG18" s="89" t="b">
        <f>IF(AND(AA18&gt;0,AA18&lt;$C$6),TRUE,FALSE)</f>
        <v>0</v>
      </c>
      <c r="BH18" s="146"/>
    </row>
    <row r="19" spans="1:60" ht="26.25" x14ac:dyDescent="0.25">
      <c r="A19" s="56" cm="1">
        <f t="array" ref="A19">SUMPRODUCT(($AV$10:$AV$55&lt;&gt;"")*(ROW($AV$10:$AV$55)&lt;=ROW()))</f>
        <v>7</v>
      </c>
      <c r="B19" s="59"/>
      <c r="C19" s="60"/>
      <c r="D19" s="59"/>
      <c r="E19" s="43"/>
      <c r="F19" s="44">
        <f>H19-$H$7</f>
        <v>46036</v>
      </c>
      <c r="G19" s="45"/>
      <c r="H19" s="44">
        <f>J19-$J$7</f>
        <v>46043</v>
      </c>
      <c r="I19" s="45"/>
      <c r="J19" s="44">
        <f>L19-$L$7</f>
        <v>46049</v>
      </c>
      <c r="K19" s="45"/>
      <c r="L19" s="44">
        <f>N19-$N$7</f>
        <v>46052</v>
      </c>
      <c r="M19" s="45"/>
      <c r="N19" s="44">
        <f>P19-$P$7</f>
        <v>46082</v>
      </c>
      <c r="O19" s="45"/>
      <c r="P19" s="44">
        <f>R19-$R$7</f>
        <v>46092</v>
      </c>
      <c r="Q19" s="45"/>
      <c r="R19" s="44">
        <f>T19-$T$7</f>
        <v>46112</v>
      </c>
      <c r="S19" s="45"/>
      <c r="T19" s="44">
        <f>V19-$V$7</f>
        <v>46119</v>
      </c>
      <c r="U19" s="45"/>
      <c r="V19" s="44">
        <f>X19-$X$7</f>
        <v>46126</v>
      </c>
      <c r="W19" s="45"/>
      <c r="X19" s="44">
        <f t="shared" si="3"/>
        <v>46131</v>
      </c>
      <c r="Y19" s="45"/>
      <c r="Z19" s="46">
        <f>X19+$Z$7</f>
        <v>46141</v>
      </c>
      <c r="AA19" s="45"/>
      <c r="AB19" s="32">
        <f>IF(AV19="10. Issued to Contractor","-",IF(AV19="11. Subcontract Agreement signed","-",MAX(AN19,AR19)-$C$6))</f>
        <v>19</v>
      </c>
      <c r="AC19" s="16"/>
      <c r="AD19" s="131">
        <f t="shared" si="4"/>
        <v>95</v>
      </c>
      <c r="AE19" s="16"/>
      <c r="AF19" s="96"/>
      <c r="AG19" s="72"/>
      <c r="AH19" s="72"/>
      <c r="AI19" s="72"/>
      <c r="AJ19" s="73" t="str">
        <f>IF(AI19&gt;0,SUM(AH19)-SUM(AI19),"")</f>
        <v/>
      </c>
      <c r="AK19" s="101"/>
      <c r="AL19" s="48"/>
      <c r="AM19" s="104"/>
      <c r="AN19" s="74">
        <f>$M$3+AM19-1</f>
        <v>46131</v>
      </c>
      <c r="AO19" s="108">
        <f>AN19-AU19</f>
        <v>-76</v>
      </c>
      <c r="AP19" s="48"/>
      <c r="AQ19" s="110"/>
      <c r="AR19" s="75">
        <f>IFERROR(WORKDAY.INTL(AN19,AQ19,11),"")</f>
        <v>46131</v>
      </c>
      <c r="AS19" s="108">
        <f>AR19-AU19</f>
        <v>-76</v>
      </c>
      <c r="AT19" s="48"/>
      <c r="AU19" s="114">
        <f t="shared" si="5"/>
        <v>46207</v>
      </c>
      <c r="AV19" s="120" t="str" cm="1">
        <f t="array" ref="AV19">IF(OR(G19&gt;$C$6,G19=""),$F$8,INDEX($E$8:$Z$8,MATCH(TRUE,(F19:AA19=""),0)))</f>
        <v>1. Tender Docs &amp; BOQ</v>
      </c>
      <c r="AW19" s="117" t="b">
        <f>IF(AND(G19&gt;0,G19&lt;$C$6),TRUE,FALSE)</f>
        <v>0</v>
      </c>
      <c r="AX19" s="76" t="b">
        <f>IF(AND(I19&gt;0,I19&lt;$C$6),TRUE,FALSE)</f>
        <v>0</v>
      </c>
      <c r="AY19" s="76" t="b">
        <f>IF(AND(K19&gt;0,K19&lt;$C$6),TRUE,FALSE)</f>
        <v>0</v>
      </c>
      <c r="AZ19" s="76" t="b">
        <f>IF(AND(M19&gt;0,M19&lt;$C$6),TRUE,FALSE)</f>
        <v>0</v>
      </c>
      <c r="BA19" s="76" t="b">
        <f>IF(AND(O19&gt;0,O19&lt;$C$6),TRUE,FALSE)</f>
        <v>0</v>
      </c>
      <c r="BB19" s="76" t="b">
        <f>IF(AND(Q19&gt;0,Q19&lt;$C$6),TRUE,FALSE)</f>
        <v>0</v>
      </c>
      <c r="BC19" s="76" t="b">
        <f>IF(AND(S19&gt;0,S19&lt;$C$6),TRUE,FALSE)</f>
        <v>0</v>
      </c>
      <c r="BD19" s="76" t="b">
        <f>IF(AND(U19&gt;0,U19&lt;$C$6),TRUE,FALSE)</f>
        <v>0</v>
      </c>
      <c r="BE19" s="76" t="b">
        <f>IF(AND(W19&gt;0,W19&lt;$C$6),TRUE,FALSE)</f>
        <v>0</v>
      </c>
      <c r="BF19" s="76" t="b">
        <f>IF(AND(Y19&gt;0,Y19&lt;$C$6),TRUE,FALSE)</f>
        <v>0</v>
      </c>
      <c r="BG19" s="90" t="b">
        <f>IF(AND(AA19&gt;0,AA19&lt;$C$6),TRUE,FALSE)</f>
        <v>0</v>
      </c>
      <c r="BH19" s="146"/>
    </row>
    <row r="20" spans="1:60" ht="26.25" x14ac:dyDescent="0.25">
      <c r="A20" s="56" cm="1">
        <f t="array" ref="A20">SUMPRODUCT(($AV$10:$AV$55&lt;&gt;"")*(ROW($AV$10:$AV$55)&lt;=ROW()))</f>
        <v>8</v>
      </c>
      <c r="B20" s="57"/>
      <c r="C20" s="58"/>
      <c r="D20" s="93"/>
      <c r="E20" s="16"/>
      <c r="F20" s="29">
        <f>H20-$H$7</f>
        <v>46036</v>
      </c>
      <c r="G20" s="42"/>
      <c r="H20" s="29">
        <f>J20-$J$7</f>
        <v>46043</v>
      </c>
      <c r="I20" s="42"/>
      <c r="J20" s="29">
        <f>L20-$L$7</f>
        <v>46049</v>
      </c>
      <c r="K20" s="42"/>
      <c r="L20" s="29">
        <f>N20-$N$7</f>
        <v>46052</v>
      </c>
      <c r="M20" s="42"/>
      <c r="N20" s="29">
        <f>P20-$P$7</f>
        <v>46082</v>
      </c>
      <c r="O20" s="42"/>
      <c r="P20" s="29">
        <f>R20-$R$7</f>
        <v>46092</v>
      </c>
      <c r="Q20" s="42"/>
      <c r="R20" s="29">
        <f>T20-$T$7</f>
        <v>46112</v>
      </c>
      <c r="S20" s="42"/>
      <c r="T20" s="29">
        <f>V20-$V$7</f>
        <v>46119</v>
      </c>
      <c r="U20" s="42"/>
      <c r="V20" s="29">
        <f>X20-$X$7</f>
        <v>46126</v>
      </c>
      <c r="W20" s="42"/>
      <c r="X20" s="29">
        <f t="shared" si="3"/>
        <v>46131</v>
      </c>
      <c r="Y20" s="42"/>
      <c r="Z20" s="30">
        <f>X20+$Z$7</f>
        <v>46141</v>
      </c>
      <c r="AA20" s="42"/>
      <c r="AB20" s="31">
        <f>IF(AV20="10. Issued to Contractor","-",IF(AV20="11. Subcontract Agreement signed","-",MAX(AN20,AR20)-$C$6))</f>
        <v>19</v>
      </c>
      <c r="AC20" s="16"/>
      <c r="AD20" s="131">
        <f t="shared" si="4"/>
        <v>95</v>
      </c>
      <c r="AE20" s="16"/>
      <c r="AF20" s="95"/>
      <c r="AG20" s="67"/>
      <c r="AH20" s="67"/>
      <c r="AI20" s="67"/>
      <c r="AJ20" s="68" t="str">
        <f>IF(AI20&gt;0,SUM(AH20)-SUM(AI20),"")</f>
        <v/>
      </c>
      <c r="AK20" s="102"/>
      <c r="AL20" s="48"/>
      <c r="AM20" s="105"/>
      <c r="AN20" s="69">
        <f>$M$3+AM20-1</f>
        <v>46131</v>
      </c>
      <c r="AO20" s="107">
        <f>AN20-AU20</f>
        <v>-76</v>
      </c>
      <c r="AP20" s="48"/>
      <c r="AQ20" s="111"/>
      <c r="AR20" s="70">
        <f>IFERROR(WORKDAY.INTL(AN20,AQ20,11),"")</f>
        <v>46131</v>
      </c>
      <c r="AS20" s="107">
        <f>AR20-AU20</f>
        <v>-76</v>
      </c>
      <c r="AT20" s="48"/>
      <c r="AU20" s="113">
        <f t="shared" si="5"/>
        <v>46207</v>
      </c>
      <c r="AV20" s="119" t="str" cm="1">
        <f t="array" ref="AV20">IF(OR(G20&gt;$C$6,G20=""),$F$8,INDEX($E$8:$Z$8,MATCH(TRUE,(F20:AA20=""),0)))</f>
        <v>1. Tender Docs &amp; BOQ</v>
      </c>
      <c r="AW20" s="116" t="b">
        <f>IF(AND(G20&gt;0,G20&lt;$C$6),TRUE,FALSE)</f>
        <v>0</v>
      </c>
      <c r="AX20" s="71" t="b">
        <f>IF(AND(I20&gt;0,I20&lt;$C$6),TRUE,FALSE)</f>
        <v>0</v>
      </c>
      <c r="AY20" s="71" t="b">
        <f>IF(AND(K20&gt;0,K20&lt;$C$6),TRUE,FALSE)</f>
        <v>0</v>
      </c>
      <c r="AZ20" s="71" t="b">
        <f>IF(AND(M20&gt;0,M20&lt;$C$6),TRUE,FALSE)</f>
        <v>0</v>
      </c>
      <c r="BA20" s="71" t="b">
        <f>IF(AND(O20&gt;0,O20&lt;$C$6),TRUE,FALSE)</f>
        <v>0</v>
      </c>
      <c r="BB20" s="71" t="b">
        <f>IF(AND(Q20&gt;0,Q20&lt;$C$6),TRUE,FALSE)</f>
        <v>0</v>
      </c>
      <c r="BC20" s="71" t="b">
        <f>IF(AND(S20&gt;0,S20&lt;$C$6),TRUE,FALSE)</f>
        <v>0</v>
      </c>
      <c r="BD20" s="71" t="b">
        <f>IF(AND(U20&gt;0,U20&lt;$C$6),TRUE,FALSE)</f>
        <v>0</v>
      </c>
      <c r="BE20" s="71" t="b">
        <f>IF(AND(W20&gt;0,W20&lt;$C$6),TRUE,FALSE)</f>
        <v>0</v>
      </c>
      <c r="BF20" s="71" t="b">
        <f>IF(AND(Y20&gt;0,Y20&lt;$C$6),TRUE,FALSE)</f>
        <v>0</v>
      </c>
      <c r="BG20" s="89" t="b">
        <f>IF(AND(AA20&gt;0,AA20&lt;$C$6),TRUE,FALSE)</f>
        <v>0</v>
      </c>
      <c r="BH20" s="146"/>
    </row>
    <row r="21" spans="1:60" ht="23.25" x14ac:dyDescent="0.25">
      <c r="A21" s="54"/>
      <c r="B21" s="49"/>
      <c r="C21" s="50" t="s">
        <v>128</v>
      </c>
      <c r="D21" s="51"/>
      <c r="E21" s="51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1"/>
      <c r="AC21" s="51"/>
      <c r="AD21" s="132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  <c r="BC21" s="51"/>
      <c r="BD21" s="51"/>
      <c r="BE21" s="51"/>
      <c r="BF21" s="51"/>
      <c r="BG21" s="88"/>
      <c r="BH21" s="146"/>
    </row>
    <row r="22" spans="1:60" ht="26.25" x14ac:dyDescent="0.25">
      <c r="A22" s="56" cm="1">
        <f t="array" ref="A22">SUMPRODUCT(($AV$10:$AV$55&lt;&gt;"")*(ROW($AV$10:$AV$55)&lt;=ROW()))</f>
        <v>9</v>
      </c>
      <c r="B22" s="59"/>
      <c r="C22" s="60"/>
      <c r="D22" s="59"/>
      <c r="E22" s="43"/>
      <c r="F22" s="44">
        <f>H22-$H$7</f>
        <v>46036</v>
      </c>
      <c r="G22" s="45"/>
      <c r="H22" s="44">
        <f>J22-$J$7</f>
        <v>46043</v>
      </c>
      <c r="I22" s="45"/>
      <c r="J22" s="44">
        <f>L22-$L$7</f>
        <v>46049</v>
      </c>
      <c r="K22" s="45"/>
      <c r="L22" s="44">
        <f>N22-$N$7</f>
        <v>46052</v>
      </c>
      <c r="M22" s="45"/>
      <c r="N22" s="44">
        <f>P22-$P$7</f>
        <v>46082</v>
      </c>
      <c r="O22" s="45"/>
      <c r="P22" s="44">
        <f>R22-$R$7</f>
        <v>46092</v>
      </c>
      <c r="Q22" s="45"/>
      <c r="R22" s="44">
        <f>T22-$T$7</f>
        <v>46112</v>
      </c>
      <c r="S22" s="45"/>
      <c r="T22" s="44">
        <f>V22-$V$7</f>
        <v>46119</v>
      </c>
      <c r="U22" s="45"/>
      <c r="V22" s="44">
        <f>X22-$X$7</f>
        <v>46126</v>
      </c>
      <c r="W22" s="45"/>
      <c r="X22" s="44">
        <f t="shared" ref="X22:X25" si="6">AN22</f>
        <v>46131</v>
      </c>
      <c r="Y22" s="45"/>
      <c r="Z22" s="46">
        <f>X22+$Z$7</f>
        <v>46141</v>
      </c>
      <c r="AA22" s="45"/>
      <c r="AB22" s="32">
        <f>IF(AV22="10. Issued to Contractor","-",IF(AV22="11. Subcontract Agreement signed","-",MAX(AN22,AR22)-$C$6))</f>
        <v>19</v>
      </c>
      <c r="AC22" s="16"/>
      <c r="AD22" s="131">
        <f t="shared" ref="AD22:AD25" si="7">SUM($H$7:$Y$7)</f>
        <v>95</v>
      </c>
      <c r="AE22" s="16"/>
      <c r="AF22" s="96"/>
      <c r="AG22" s="72"/>
      <c r="AH22" s="72"/>
      <c r="AI22" s="72"/>
      <c r="AJ22" s="73" t="str">
        <f>IF(AI22&gt;0,SUM(AH22)-SUM(AI22),"")</f>
        <v/>
      </c>
      <c r="AK22" s="101"/>
      <c r="AL22" s="48"/>
      <c r="AM22" s="104"/>
      <c r="AN22" s="74">
        <f>$M$3+AM22-1</f>
        <v>46131</v>
      </c>
      <c r="AO22" s="108">
        <f>AN22-AU22</f>
        <v>-76</v>
      </c>
      <c r="AP22" s="48"/>
      <c r="AQ22" s="110"/>
      <c r="AR22" s="75">
        <f>IFERROR(WORKDAY.INTL(AN22,AQ22,11),"")</f>
        <v>46131</v>
      </c>
      <c r="AS22" s="108">
        <f>AR22-AU22</f>
        <v>-76</v>
      </c>
      <c r="AT22" s="48"/>
      <c r="AU22" s="114">
        <f t="shared" ref="AU22:AU25" si="8">IF(Y22&gt;0,Y22,IFERROR(MAX(_xlfn.XLOOKUP($AV22,$H$8:$Z$8,$G22:$Y22),$C$6)+(AN22-_xlfn.XLOOKUP($AV22,$H$8:$Z$8,$F22:$X22))*AD22/SUM($H$7:$Y$7),$C$6+SUM(AD22)))</f>
        <v>46207</v>
      </c>
      <c r="AV22" s="120" t="str" cm="1">
        <f t="array" ref="AV22">IF(OR(G22&gt;$C$6,G22=""),$F$8,INDEX($E$8:$Z$8,MATCH(TRUE,(F22:AA22=""),0)))</f>
        <v>1. Tender Docs &amp; BOQ</v>
      </c>
      <c r="AW22" s="117" t="b">
        <f>IF(AND(G22&gt;0,G22&lt;$C$6),TRUE,FALSE)</f>
        <v>0</v>
      </c>
      <c r="AX22" s="76" t="b">
        <f>IF(AND(I22&gt;0,I22&lt;$C$6),TRUE,FALSE)</f>
        <v>0</v>
      </c>
      <c r="AY22" s="76" t="b">
        <f>IF(AND(K22&gt;0,K22&lt;$C$6),TRUE,FALSE)</f>
        <v>0</v>
      </c>
      <c r="AZ22" s="76" t="b">
        <f>IF(AND(M22&gt;0,M22&lt;$C$6),TRUE,FALSE)</f>
        <v>0</v>
      </c>
      <c r="BA22" s="76" t="b">
        <f>IF(AND(O22&gt;0,O22&lt;$C$6),TRUE,FALSE)</f>
        <v>0</v>
      </c>
      <c r="BB22" s="76" t="b">
        <f>IF(AND(Q22&gt;0,Q22&lt;$C$6),TRUE,FALSE)</f>
        <v>0</v>
      </c>
      <c r="BC22" s="76" t="b">
        <f>IF(AND(S22&gt;0,S22&lt;$C$6),TRUE,FALSE)</f>
        <v>0</v>
      </c>
      <c r="BD22" s="76" t="b">
        <f>IF(AND(U22&gt;0,U22&lt;$C$6),TRUE,FALSE)</f>
        <v>0</v>
      </c>
      <c r="BE22" s="76" t="b">
        <f>IF(AND(W22&gt;0,W22&lt;$C$6),TRUE,FALSE)</f>
        <v>0</v>
      </c>
      <c r="BF22" s="76" t="b">
        <f>IF(AND(Y22&gt;0,Y22&lt;$C$6),TRUE,FALSE)</f>
        <v>0</v>
      </c>
      <c r="BG22" s="90" t="b">
        <f>IF(AND(AA22&gt;0,AA22&lt;$C$6),TRUE,FALSE)</f>
        <v>0</v>
      </c>
      <c r="BH22" s="146"/>
    </row>
    <row r="23" spans="1:60" ht="26.25" x14ac:dyDescent="0.25">
      <c r="A23" s="56" cm="1">
        <f t="array" ref="A23">SUMPRODUCT(($AV$10:$AV$55&lt;&gt;"")*(ROW($AV$10:$AV$55)&lt;=ROW()))</f>
        <v>10</v>
      </c>
      <c r="B23" s="57"/>
      <c r="C23" s="58"/>
      <c r="D23" s="93"/>
      <c r="E23" s="16"/>
      <c r="F23" s="29">
        <f>H23-$H$7</f>
        <v>46036</v>
      </c>
      <c r="G23" s="42"/>
      <c r="H23" s="29">
        <f>J23-$J$7</f>
        <v>46043</v>
      </c>
      <c r="I23" s="42"/>
      <c r="J23" s="29">
        <f>L23-$L$7</f>
        <v>46049</v>
      </c>
      <c r="K23" s="42"/>
      <c r="L23" s="29">
        <f>N23-$N$7</f>
        <v>46052</v>
      </c>
      <c r="M23" s="42"/>
      <c r="N23" s="29">
        <f>P23-$P$7</f>
        <v>46082</v>
      </c>
      <c r="O23" s="42"/>
      <c r="P23" s="29">
        <f>R23-$R$7</f>
        <v>46092</v>
      </c>
      <c r="Q23" s="42"/>
      <c r="R23" s="29">
        <f>T23-$T$7</f>
        <v>46112</v>
      </c>
      <c r="S23" s="42"/>
      <c r="T23" s="29">
        <f>V23-$V$7</f>
        <v>46119</v>
      </c>
      <c r="U23" s="42"/>
      <c r="V23" s="29">
        <f>X23-$X$7</f>
        <v>46126</v>
      </c>
      <c r="W23" s="42"/>
      <c r="X23" s="29">
        <f t="shared" si="6"/>
        <v>46131</v>
      </c>
      <c r="Y23" s="42"/>
      <c r="Z23" s="30">
        <f>X23+$Z$7</f>
        <v>46141</v>
      </c>
      <c r="AA23" s="42"/>
      <c r="AB23" s="31">
        <f>IF(AV23="10. Issued to Contractor","-",IF(AV23="11. Subcontract Agreement signed","-",MAX(AN23,AR23)-$C$6))</f>
        <v>19</v>
      </c>
      <c r="AC23" s="16"/>
      <c r="AD23" s="131">
        <f t="shared" si="7"/>
        <v>95</v>
      </c>
      <c r="AE23" s="16"/>
      <c r="AF23" s="95"/>
      <c r="AG23" s="67"/>
      <c r="AH23" s="67"/>
      <c r="AI23" s="67"/>
      <c r="AJ23" s="68" t="str">
        <f>IF(AI23&gt;0,SUM(AH23)-SUM(AI23),"")</f>
        <v/>
      </c>
      <c r="AK23" s="102"/>
      <c r="AL23" s="48"/>
      <c r="AM23" s="105"/>
      <c r="AN23" s="69">
        <f>$M$3+AM23-1</f>
        <v>46131</v>
      </c>
      <c r="AO23" s="107">
        <f t="shared" ref="AO23" si="9">AN23-AU23</f>
        <v>-76</v>
      </c>
      <c r="AP23" s="48"/>
      <c r="AQ23" s="111"/>
      <c r="AR23" s="70">
        <f t="shared" ref="AR23" si="10">IFERROR(WORKDAY.INTL(AN23,AQ23,11),"")</f>
        <v>46131</v>
      </c>
      <c r="AS23" s="107">
        <f t="shared" ref="AS23" si="11">AR23-AU23</f>
        <v>-76</v>
      </c>
      <c r="AT23" s="48"/>
      <c r="AU23" s="113">
        <f t="shared" si="8"/>
        <v>46207</v>
      </c>
      <c r="AV23" s="119" t="str" cm="1">
        <f t="array" ref="AV23">IF(OR(G23&gt;$C$6,G23=""),$F$8,INDEX($E$8:$Z$8,MATCH(TRUE,(F23:AA23=""),0)))</f>
        <v>1. Tender Docs &amp; BOQ</v>
      </c>
      <c r="AW23" s="116" t="b">
        <f>IF(AND(G23&gt;0,G23&lt;$C$6),TRUE,FALSE)</f>
        <v>0</v>
      </c>
      <c r="AX23" s="71" t="b">
        <f>IF(AND(I23&gt;0,I23&lt;$C$6),TRUE,FALSE)</f>
        <v>0</v>
      </c>
      <c r="AY23" s="71" t="b">
        <f>IF(AND(K23&gt;0,K23&lt;$C$6),TRUE,FALSE)</f>
        <v>0</v>
      </c>
      <c r="AZ23" s="71" t="b">
        <f>IF(AND(M23&gt;0,M23&lt;$C$6),TRUE,FALSE)</f>
        <v>0</v>
      </c>
      <c r="BA23" s="71" t="b">
        <f>IF(AND(O23&gt;0,O23&lt;$C$6),TRUE,FALSE)</f>
        <v>0</v>
      </c>
      <c r="BB23" s="71" t="b">
        <f>IF(AND(Q23&gt;0,Q23&lt;$C$6),TRUE,FALSE)</f>
        <v>0</v>
      </c>
      <c r="BC23" s="71" t="b">
        <f>IF(AND(S23&gt;0,S23&lt;$C$6),TRUE,FALSE)</f>
        <v>0</v>
      </c>
      <c r="BD23" s="71" t="b">
        <f>IF(AND(U23&gt;0,U23&lt;$C$6),TRUE,FALSE)</f>
        <v>0</v>
      </c>
      <c r="BE23" s="71" t="b">
        <f>IF(AND(W23&gt;0,W23&lt;$C$6),TRUE,FALSE)</f>
        <v>0</v>
      </c>
      <c r="BF23" s="71" t="b">
        <f>IF(AND(Y23&gt;0,Y23&lt;$C$6),TRUE,FALSE)</f>
        <v>0</v>
      </c>
      <c r="BG23" s="89" t="b">
        <f>IF(AND(AA23&gt;0,AA23&lt;$C$6),TRUE,FALSE)</f>
        <v>0</v>
      </c>
      <c r="BH23" s="146"/>
    </row>
    <row r="24" spans="1:60" ht="26.25" x14ac:dyDescent="0.25">
      <c r="A24" s="56" cm="1">
        <f t="array" ref="A24">SUMPRODUCT(($AV$10:$AV$55&lt;&gt;"")*(ROW($AV$10:$AV$55)&lt;=ROW()))</f>
        <v>11</v>
      </c>
      <c r="B24" s="59"/>
      <c r="C24" s="60"/>
      <c r="D24" s="59"/>
      <c r="E24" s="43"/>
      <c r="F24" s="44">
        <f>H24-$H$7</f>
        <v>46036</v>
      </c>
      <c r="G24" s="45"/>
      <c r="H24" s="44">
        <f>J24-$J$7</f>
        <v>46043</v>
      </c>
      <c r="I24" s="45"/>
      <c r="J24" s="44">
        <f>L24-$L$7</f>
        <v>46049</v>
      </c>
      <c r="K24" s="45"/>
      <c r="L24" s="44">
        <f>N24-$N$7</f>
        <v>46052</v>
      </c>
      <c r="M24" s="45"/>
      <c r="N24" s="44">
        <f>P24-$P$7</f>
        <v>46082</v>
      </c>
      <c r="O24" s="45"/>
      <c r="P24" s="44">
        <f>R24-$R$7</f>
        <v>46092</v>
      </c>
      <c r="Q24" s="45"/>
      <c r="R24" s="44">
        <f>T24-$T$7</f>
        <v>46112</v>
      </c>
      <c r="S24" s="45"/>
      <c r="T24" s="44">
        <f>V24-$V$7</f>
        <v>46119</v>
      </c>
      <c r="U24" s="45"/>
      <c r="V24" s="44">
        <f>X24-$X$7</f>
        <v>46126</v>
      </c>
      <c r="W24" s="45"/>
      <c r="X24" s="44">
        <f t="shared" si="6"/>
        <v>46131</v>
      </c>
      <c r="Y24" s="45"/>
      <c r="Z24" s="46">
        <f>X24+$Z$7</f>
        <v>46141</v>
      </c>
      <c r="AA24" s="45"/>
      <c r="AB24" s="32">
        <f>IF(AV24="10. Issued to Contractor","-",IF(AV24="11. Subcontract Agreement signed","-",MAX(AN24,AR24)-$C$6))</f>
        <v>19</v>
      </c>
      <c r="AC24" s="16"/>
      <c r="AD24" s="131">
        <f t="shared" si="7"/>
        <v>95</v>
      </c>
      <c r="AE24" s="16"/>
      <c r="AF24" s="96"/>
      <c r="AG24" s="72"/>
      <c r="AH24" s="72"/>
      <c r="AI24" s="72"/>
      <c r="AJ24" s="73" t="str">
        <f>IF(AI24&gt;0,SUM(AH24)-SUM(AI24),"")</f>
        <v/>
      </c>
      <c r="AK24" s="101"/>
      <c r="AL24" s="48"/>
      <c r="AM24" s="104"/>
      <c r="AN24" s="74">
        <f>$M$3+AM24-1</f>
        <v>46131</v>
      </c>
      <c r="AO24" s="108">
        <f>AN24-AU24</f>
        <v>-76</v>
      </c>
      <c r="AP24" s="48"/>
      <c r="AQ24" s="110"/>
      <c r="AR24" s="75">
        <f>IFERROR(WORKDAY.INTL(AN24,AQ24,11),"")</f>
        <v>46131</v>
      </c>
      <c r="AS24" s="108">
        <f>AR24-AU24</f>
        <v>-76</v>
      </c>
      <c r="AT24" s="48"/>
      <c r="AU24" s="114">
        <f t="shared" si="8"/>
        <v>46207</v>
      </c>
      <c r="AV24" s="120" t="str" cm="1">
        <f t="array" ref="AV24">IF(OR(G24&gt;$C$6,G24=""),$F$8,INDEX($E$8:$Z$8,MATCH(TRUE,(F24:AA24=""),0)))</f>
        <v>1. Tender Docs &amp; BOQ</v>
      </c>
      <c r="AW24" s="117" t="b">
        <f>IF(AND(G24&gt;0,G24&lt;$C$6),TRUE,FALSE)</f>
        <v>0</v>
      </c>
      <c r="AX24" s="76" t="b">
        <f>IF(AND(I24&gt;0,I24&lt;$C$6),TRUE,FALSE)</f>
        <v>0</v>
      </c>
      <c r="AY24" s="76" t="b">
        <f>IF(AND(K24&gt;0,K24&lt;$C$6),TRUE,FALSE)</f>
        <v>0</v>
      </c>
      <c r="AZ24" s="76" t="b">
        <f>IF(AND(M24&gt;0,M24&lt;$C$6),TRUE,FALSE)</f>
        <v>0</v>
      </c>
      <c r="BA24" s="76" t="b">
        <f>IF(AND(O24&gt;0,O24&lt;$C$6),TRUE,FALSE)</f>
        <v>0</v>
      </c>
      <c r="BB24" s="76" t="b">
        <f>IF(AND(Q24&gt;0,Q24&lt;$C$6),TRUE,FALSE)</f>
        <v>0</v>
      </c>
      <c r="BC24" s="76" t="b">
        <f>IF(AND(S24&gt;0,S24&lt;$C$6),TRUE,FALSE)</f>
        <v>0</v>
      </c>
      <c r="BD24" s="76" t="b">
        <f>IF(AND(U24&gt;0,U24&lt;$C$6),TRUE,FALSE)</f>
        <v>0</v>
      </c>
      <c r="BE24" s="76" t="b">
        <f>IF(AND(W24&gt;0,W24&lt;$C$6),TRUE,FALSE)</f>
        <v>0</v>
      </c>
      <c r="BF24" s="76" t="b">
        <f>IF(AND(Y24&gt;0,Y24&lt;$C$6),TRUE,FALSE)</f>
        <v>0</v>
      </c>
      <c r="BG24" s="90" t="b">
        <f>IF(AND(AA24&gt;0,AA24&lt;$C$6),TRUE,FALSE)</f>
        <v>0</v>
      </c>
      <c r="BH24" s="146"/>
    </row>
    <row r="25" spans="1:60" ht="26.25" x14ac:dyDescent="0.25">
      <c r="A25" s="56" cm="1">
        <f t="array" ref="A25">SUMPRODUCT(($AV$10:$AV$55&lt;&gt;"")*(ROW($AV$10:$AV$55)&lt;=ROW()))</f>
        <v>12</v>
      </c>
      <c r="B25" s="57"/>
      <c r="C25" s="58"/>
      <c r="D25" s="93"/>
      <c r="E25" s="16"/>
      <c r="F25" s="29">
        <f>H25-$H$7</f>
        <v>46036</v>
      </c>
      <c r="G25" s="42"/>
      <c r="H25" s="29">
        <f>J25-$J$7</f>
        <v>46043</v>
      </c>
      <c r="I25" s="42"/>
      <c r="J25" s="29">
        <f>L25-$L$7</f>
        <v>46049</v>
      </c>
      <c r="K25" s="42"/>
      <c r="L25" s="29">
        <f>N25-$N$7</f>
        <v>46052</v>
      </c>
      <c r="M25" s="42"/>
      <c r="N25" s="29">
        <f>P25-$P$7</f>
        <v>46082</v>
      </c>
      <c r="O25" s="42"/>
      <c r="P25" s="29">
        <f>R25-$R$7</f>
        <v>46092</v>
      </c>
      <c r="Q25" s="42"/>
      <c r="R25" s="29">
        <f>T25-$T$7</f>
        <v>46112</v>
      </c>
      <c r="S25" s="42"/>
      <c r="T25" s="29">
        <f>V25-$V$7</f>
        <v>46119</v>
      </c>
      <c r="U25" s="42"/>
      <c r="V25" s="29">
        <f>X25-$X$7</f>
        <v>46126</v>
      </c>
      <c r="W25" s="42"/>
      <c r="X25" s="29">
        <f t="shared" si="6"/>
        <v>46131</v>
      </c>
      <c r="Y25" s="42"/>
      <c r="Z25" s="30">
        <f>X25+$Z$7</f>
        <v>46141</v>
      </c>
      <c r="AA25" s="42"/>
      <c r="AB25" s="31">
        <f>IF(AV25="10. Issued to Contractor","-",IF(AV25="11. Subcontract Agreement signed","-",MAX(AN25,AR25)-$C$6))</f>
        <v>19</v>
      </c>
      <c r="AC25" s="16"/>
      <c r="AD25" s="131">
        <f t="shared" si="7"/>
        <v>95</v>
      </c>
      <c r="AE25" s="16"/>
      <c r="AF25" s="95"/>
      <c r="AG25" s="67"/>
      <c r="AH25" s="67"/>
      <c r="AI25" s="67"/>
      <c r="AJ25" s="68" t="str">
        <f>IF(AI25&gt;0,SUM(AH25)-SUM(AI25),"")</f>
        <v/>
      </c>
      <c r="AK25" s="102"/>
      <c r="AL25" s="48"/>
      <c r="AM25" s="105"/>
      <c r="AN25" s="69">
        <f>$M$3+AM25-1</f>
        <v>46131</v>
      </c>
      <c r="AO25" s="107">
        <f>AN25-AU25</f>
        <v>-76</v>
      </c>
      <c r="AP25" s="48"/>
      <c r="AQ25" s="111"/>
      <c r="AR25" s="70">
        <f>IFERROR(WORKDAY.INTL(AN25,AQ25,11),"")</f>
        <v>46131</v>
      </c>
      <c r="AS25" s="107">
        <f>AR25-AU25</f>
        <v>-76</v>
      </c>
      <c r="AT25" s="48"/>
      <c r="AU25" s="113">
        <f t="shared" si="8"/>
        <v>46207</v>
      </c>
      <c r="AV25" s="119" t="str" cm="1">
        <f t="array" ref="AV25">IF(OR(G25&gt;$C$6,G25=""),$F$8,INDEX($E$8:$Z$8,MATCH(TRUE,(F25:AA25=""),0)))</f>
        <v>1. Tender Docs &amp; BOQ</v>
      </c>
      <c r="AW25" s="116" t="b">
        <f>IF(AND(G25&gt;0,G25&lt;$C$6),TRUE,FALSE)</f>
        <v>0</v>
      </c>
      <c r="AX25" s="71" t="b">
        <f>IF(AND(I25&gt;0,I25&lt;$C$6),TRUE,FALSE)</f>
        <v>0</v>
      </c>
      <c r="AY25" s="71" t="b">
        <f>IF(AND(K25&gt;0,K25&lt;$C$6),TRUE,FALSE)</f>
        <v>0</v>
      </c>
      <c r="AZ25" s="71" t="b">
        <f>IF(AND(M25&gt;0,M25&lt;$C$6),TRUE,FALSE)</f>
        <v>0</v>
      </c>
      <c r="BA25" s="71" t="b">
        <f>IF(AND(O25&gt;0,O25&lt;$C$6),TRUE,FALSE)</f>
        <v>0</v>
      </c>
      <c r="BB25" s="71" t="b">
        <f>IF(AND(Q25&gt;0,Q25&lt;$C$6),TRUE,FALSE)</f>
        <v>0</v>
      </c>
      <c r="BC25" s="71" t="b">
        <f>IF(AND(S25&gt;0,S25&lt;$C$6),TRUE,FALSE)</f>
        <v>0</v>
      </c>
      <c r="BD25" s="71" t="b">
        <f>IF(AND(U25&gt;0,U25&lt;$C$6),TRUE,FALSE)</f>
        <v>0</v>
      </c>
      <c r="BE25" s="71" t="b">
        <f>IF(AND(W25&gt;0,W25&lt;$C$6),TRUE,FALSE)</f>
        <v>0</v>
      </c>
      <c r="BF25" s="71" t="b">
        <f>IF(AND(Y25&gt;0,Y25&lt;$C$6),TRUE,FALSE)</f>
        <v>0</v>
      </c>
      <c r="BG25" s="89" t="b">
        <f>IF(AND(AA25&gt;0,AA25&lt;$C$6),TRUE,FALSE)</f>
        <v>0</v>
      </c>
      <c r="BH25" s="146"/>
    </row>
    <row r="26" spans="1:60" ht="23.25" x14ac:dyDescent="0.25">
      <c r="A26" s="54"/>
      <c r="B26" s="49"/>
      <c r="C26" s="50" t="s">
        <v>137</v>
      </c>
      <c r="D26" s="51"/>
      <c r="E26" s="51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1"/>
      <c r="AC26" s="51"/>
      <c r="AD26" s="132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1"/>
      <c r="BE26" s="51"/>
      <c r="BF26" s="51"/>
      <c r="BG26" s="88"/>
      <c r="BH26" s="146"/>
    </row>
    <row r="27" spans="1:60" ht="26.25" x14ac:dyDescent="0.25">
      <c r="A27" s="56" cm="1">
        <f t="array" ref="A27">SUMPRODUCT(($AV$10:$AV$55&lt;&gt;"")*(ROW($AV$10:$AV$55)&lt;=ROW()))</f>
        <v>13</v>
      </c>
      <c r="B27" s="59"/>
      <c r="C27" s="60"/>
      <c r="D27" s="59"/>
      <c r="E27" s="43"/>
      <c r="F27" s="44">
        <f t="shared" ref="F27:F39" si="12">H27-$H$7</f>
        <v>46036</v>
      </c>
      <c r="G27" s="45"/>
      <c r="H27" s="44">
        <f t="shared" ref="H27:H39" si="13">J27-$J$7</f>
        <v>46043</v>
      </c>
      <c r="I27" s="45"/>
      <c r="J27" s="44">
        <f t="shared" ref="J27:J39" si="14">L27-$L$7</f>
        <v>46049</v>
      </c>
      <c r="K27" s="45"/>
      <c r="L27" s="44">
        <f t="shared" ref="L27:L39" si="15">N27-$N$7</f>
        <v>46052</v>
      </c>
      <c r="M27" s="45"/>
      <c r="N27" s="44">
        <f t="shared" ref="N27:N39" si="16">P27-$P$7</f>
        <v>46082</v>
      </c>
      <c r="O27" s="45"/>
      <c r="P27" s="44">
        <f t="shared" ref="P27:P39" si="17">R27-$R$7</f>
        <v>46092</v>
      </c>
      <c r="Q27" s="45"/>
      <c r="R27" s="44">
        <f t="shared" ref="R27:R39" si="18">T27-$T$7</f>
        <v>46112</v>
      </c>
      <c r="S27" s="45"/>
      <c r="T27" s="44">
        <f t="shared" ref="T27:T39" si="19">V27-$V$7</f>
        <v>46119</v>
      </c>
      <c r="U27" s="45"/>
      <c r="V27" s="44">
        <f t="shared" ref="V27:V39" si="20">X27-$X$7</f>
        <v>46126</v>
      </c>
      <c r="W27" s="45"/>
      <c r="X27" s="44">
        <f t="shared" ref="X27:X39" si="21">AN27</f>
        <v>46131</v>
      </c>
      <c r="Y27" s="45"/>
      <c r="Z27" s="46">
        <f t="shared" ref="Z27:Z39" si="22">X27+$Z$7</f>
        <v>46141</v>
      </c>
      <c r="AA27" s="45"/>
      <c r="AB27" s="32">
        <f t="shared" ref="AB27:AB39" si="23">IF(AV27="10. Issued to Contractor","-",IF(AV27="11. Subcontract Agreement signed","-",MAX(AN27,AR27)-$C$6))</f>
        <v>19</v>
      </c>
      <c r="AC27" s="16"/>
      <c r="AD27" s="131">
        <f t="shared" ref="AD27:AD39" si="24">SUM($H$7:$Y$7)</f>
        <v>95</v>
      </c>
      <c r="AE27" s="16"/>
      <c r="AF27" s="96"/>
      <c r="AG27" s="72"/>
      <c r="AH27" s="72"/>
      <c r="AI27" s="72"/>
      <c r="AJ27" s="73" t="str">
        <f t="shared" ref="AJ27:AJ39" si="25">IF(AI27&gt;0,SUM(AH27)-SUM(AI27),"")</f>
        <v/>
      </c>
      <c r="AK27" s="101"/>
      <c r="AL27" s="48"/>
      <c r="AM27" s="104"/>
      <c r="AN27" s="74">
        <f t="shared" ref="AN27:AN39" si="26">$M$3+AM27-1</f>
        <v>46131</v>
      </c>
      <c r="AO27" s="108">
        <f t="shared" ref="AO27:AO39" si="27">AN27-AU27</f>
        <v>-76</v>
      </c>
      <c r="AP27" s="48"/>
      <c r="AQ27" s="110"/>
      <c r="AR27" s="75">
        <f t="shared" ref="AR27:AR39" si="28">IFERROR(WORKDAY.INTL(AN27,AQ27,11),"")</f>
        <v>46131</v>
      </c>
      <c r="AS27" s="108">
        <f t="shared" ref="AS27:AS39" si="29">AR27-AU27</f>
        <v>-76</v>
      </c>
      <c r="AT27" s="48"/>
      <c r="AU27" s="114">
        <f t="shared" ref="AU27:AU39" si="30">IF(Y27&gt;0,Y27,IFERROR(MAX(_xlfn.XLOOKUP($AV27,$H$8:$Z$8,$G27:$Y27),$C$6)+(AN27-_xlfn.XLOOKUP($AV27,$H$8:$Z$8,$F27:$X27))*AD27/SUM($H$7:$Y$7),$C$6+SUM(AD27)))</f>
        <v>46207</v>
      </c>
      <c r="AV27" s="120" t="str" cm="1">
        <f t="array" ref="AV27">IF(OR(G27&gt;$C$6,G27=""),$F$8,INDEX($E$8:$Z$8,MATCH(TRUE,(F27:AA27=""),0)))</f>
        <v>1. Tender Docs &amp; BOQ</v>
      </c>
      <c r="AW27" s="117" t="b">
        <f t="shared" ref="AW27:AW39" si="31">IF(AND(G27&gt;0,G27&lt;$C$6),TRUE,FALSE)</f>
        <v>0</v>
      </c>
      <c r="AX27" s="76" t="b">
        <f t="shared" ref="AX27:AX39" si="32">IF(AND(I27&gt;0,I27&lt;$C$6),TRUE,FALSE)</f>
        <v>0</v>
      </c>
      <c r="AY27" s="76" t="b">
        <f t="shared" ref="AY27:AY39" si="33">IF(AND(K27&gt;0,K27&lt;$C$6),TRUE,FALSE)</f>
        <v>0</v>
      </c>
      <c r="AZ27" s="76" t="b">
        <f t="shared" ref="AZ27:AZ39" si="34">IF(AND(M27&gt;0,M27&lt;$C$6),TRUE,FALSE)</f>
        <v>0</v>
      </c>
      <c r="BA27" s="76" t="b">
        <f t="shared" ref="BA27:BA39" si="35">IF(AND(O27&gt;0,O27&lt;$C$6),TRUE,FALSE)</f>
        <v>0</v>
      </c>
      <c r="BB27" s="76" t="b">
        <f t="shared" ref="BB27:BB39" si="36">IF(AND(Q27&gt;0,Q27&lt;$C$6),TRUE,FALSE)</f>
        <v>0</v>
      </c>
      <c r="BC27" s="76" t="b">
        <f t="shared" ref="BC27:BC39" si="37">IF(AND(S27&gt;0,S27&lt;$C$6),TRUE,FALSE)</f>
        <v>0</v>
      </c>
      <c r="BD27" s="76" t="b">
        <f t="shared" ref="BD27:BD39" si="38">IF(AND(U27&gt;0,U27&lt;$C$6),TRUE,FALSE)</f>
        <v>0</v>
      </c>
      <c r="BE27" s="76" t="b">
        <f t="shared" ref="BE27:BE39" si="39">IF(AND(W27&gt;0,W27&lt;$C$6),TRUE,FALSE)</f>
        <v>0</v>
      </c>
      <c r="BF27" s="76" t="b">
        <f t="shared" ref="BF27:BF39" si="40">IF(AND(Y27&gt;0,Y27&lt;$C$6),TRUE,FALSE)</f>
        <v>0</v>
      </c>
      <c r="BG27" s="90" t="b">
        <f t="shared" ref="BG27:BG39" si="41">IF(AND(AA27&gt;0,AA27&lt;$C$6),TRUE,FALSE)</f>
        <v>0</v>
      </c>
      <c r="BH27" s="146"/>
    </row>
    <row r="28" spans="1:60" ht="26.25" x14ac:dyDescent="0.25">
      <c r="A28" s="56" cm="1">
        <f t="array" ref="A28">SUMPRODUCT(($AV$10:$AV$55&lt;&gt;"")*(ROW($AV$10:$AV$55)&lt;=ROW()))</f>
        <v>14</v>
      </c>
      <c r="B28" s="57"/>
      <c r="C28" s="58"/>
      <c r="D28" s="93"/>
      <c r="E28" s="16"/>
      <c r="F28" s="29">
        <f t="shared" si="12"/>
        <v>46036</v>
      </c>
      <c r="G28" s="42"/>
      <c r="H28" s="29">
        <f t="shared" si="13"/>
        <v>46043</v>
      </c>
      <c r="I28" s="42"/>
      <c r="J28" s="29">
        <f t="shared" si="14"/>
        <v>46049</v>
      </c>
      <c r="K28" s="42"/>
      <c r="L28" s="29">
        <f t="shared" si="15"/>
        <v>46052</v>
      </c>
      <c r="M28" s="42"/>
      <c r="N28" s="29">
        <f t="shared" si="16"/>
        <v>46082</v>
      </c>
      <c r="O28" s="42"/>
      <c r="P28" s="29">
        <f t="shared" si="17"/>
        <v>46092</v>
      </c>
      <c r="Q28" s="42"/>
      <c r="R28" s="29">
        <f t="shared" si="18"/>
        <v>46112</v>
      </c>
      <c r="S28" s="42"/>
      <c r="T28" s="29">
        <f t="shared" si="19"/>
        <v>46119</v>
      </c>
      <c r="U28" s="42"/>
      <c r="V28" s="29">
        <f t="shared" si="20"/>
        <v>46126</v>
      </c>
      <c r="W28" s="42"/>
      <c r="X28" s="29">
        <f t="shared" si="21"/>
        <v>46131</v>
      </c>
      <c r="Y28" s="42"/>
      <c r="Z28" s="30">
        <f t="shared" si="22"/>
        <v>46141</v>
      </c>
      <c r="AA28" s="42"/>
      <c r="AB28" s="31">
        <f t="shared" si="23"/>
        <v>19</v>
      </c>
      <c r="AC28" s="16"/>
      <c r="AD28" s="131">
        <f t="shared" si="24"/>
        <v>95</v>
      </c>
      <c r="AE28" s="16"/>
      <c r="AF28" s="95"/>
      <c r="AG28" s="67"/>
      <c r="AH28" s="67"/>
      <c r="AI28" s="67"/>
      <c r="AJ28" s="68" t="str">
        <f t="shared" si="25"/>
        <v/>
      </c>
      <c r="AK28" s="102"/>
      <c r="AL28" s="48"/>
      <c r="AM28" s="105"/>
      <c r="AN28" s="69">
        <f t="shared" si="26"/>
        <v>46131</v>
      </c>
      <c r="AO28" s="107">
        <f t="shared" si="27"/>
        <v>-76</v>
      </c>
      <c r="AP28" s="48"/>
      <c r="AQ28" s="111"/>
      <c r="AR28" s="70">
        <f t="shared" si="28"/>
        <v>46131</v>
      </c>
      <c r="AS28" s="107">
        <f t="shared" si="29"/>
        <v>-76</v>
      </c>
      <c r="AT28" s="48"/>
      <c r="AU28" s="113">
        <f t="shared" si="30"/>
        <v>46207</v>
      </c>
      <c r="AV28" s="119" t="str" cm="1">
        <f t="array" ref="AV28">IF(OR(G28&gt;$C$6,G28=""),$F$8,INDEX($E$8:$Z$8,MATCH(TRUE,(F28:AA28=""),0)))</f>
        <v>1. Tender Docs &amp; BOQ</v>
      </c>
      <c r="AW28" s="116" t="b">
        <f t="shared" si="31"/>
        <v>0</v>
      </c>
      <c r="AX28" s="71" t="b">
        <f t="shared" si="32"/>
        <v>0</v>
      </c>
      <c r="AY28" s="71" t="b">
        <f t="shared" si="33"/>
        <v>0</v>
      </c>
      <c r="AZ28" s="71" t="b">
        <f t="shared" si="34"/>
        <v>0</v>
      </c>
      <c r="BA28" s="71" t="b">
        <f t="shared" si="35"/>
        <v>0</v>
      </c>
      <c r="BB28" s="71" t="b">
        <f t="shared" si="36"/>
        <v>0</v>
      </c>
      <c r="BC28" s="71" t="b">
        <f t="shared" si="37"/>
        <v>0</v>
      </c>
      <c r="BD28" s="71" t="b">
        <f t="shared" si="38"/>
        <v>0</v>
      </c>
      <c r="BE28" s="71" t="b">
        <f t="shared" si="39"/>
        <v>0</v>
      </c>
      <c r="BF28" s="71" t="b">
        <f t="shared" si="40"/>
        <v>0</v>
      </c>
      <c r="BG28" s="89" t="b">
        <f t="shared" si="41"/>
        <v>0</v>
      </c>
      <c r="BH28" s="146"/>
    </row>
    <row r="29" spans="1:60" ht="26.25" x14ac:dyDescent="0.25">
      <c r="A29" s="56" cm="1">
        <f t="array" ref="A29">SUMPRODUCT(($AV$10:$AV$55&lt;&gt;"")*(ROW($AV$10:$AV$55)&lt;=ROW()))</f>
        <v>15</v>
      </c>
      <c r="B29" s="59"/>
      <c r="C29" s="60"/>
      <c r="D29" s="59"/>
      <c r="E29" s="43"/>
      <c r="F29" s="44">
        <f t="shared" si="12"/>
        <v>46036</v>
      </c>
      <c r="G29" s="45"/>
      <c r="H29" s="44">
        <f t="shared" si="13"/>
        <v>46043</v>
      </c>
      <c r="I29" s="45"/>
      <c r="J29" s="44">
        <f t="shared" si="14"/>
        <v>46049</v>
      </c>
      <c r="K29" s="45"/>
      <c r="L29" s="44">
        <f t="shared" si="15"/>
        <v>46052</v>
      </c>
      <c r="M29" s="45"/>
      <c r="N29" s="44">
        <f t="shared" si="16"/>
        <v>46082</v>
      </c>
      <c r="O29" s="45"/>
      <c r="P29" s="44">
        <f t="shared" si="17"/>
        <v>46092</v>
      </c>
      <c r="Q29" s="45"/>
      <c r="R29" s="44">
        <f t="shared" si="18"/>
        <v>46112</v>
      </c>
      <c r="S29" s="45"/>
      <c r="T29" s="44">
        <f t="shared" si="19"/>
        <v>46119</v>
      </c>
      <c r="U29" s="45"/>
      <c r="V29" s="44">
        <f t="shared" si="20"/>
        <v>46126</v>
      </c>
      <c r="W29" s="45"/>
      <c r="X29" s="44">
        <f t="shared" si="21"/>
        <v>46131</v>
      </c>
      <c r="Y29" s="45"/>
      <c r="Z29" s="46">
        <f t="shared" si="22"/>
        <v>46141</v>
      </c>
      <c r="AA29" s="45"/>
      <c r="AB29" s="32">
        <f t="shared" si="23"/>
        <v>19</v>
      </c>
      <c r="AC29" s="16"/>
      <c r="AD29" s="131">
        <f t="shared" si="24"/>
        <v>95</v>
      </c>
      <c r="AE29" s="16"/>
      <c r="AF29" s="96"/>
      <c r="AG29" s="72"/>
      <c r="AH29" s="72"/>
      <c r="AI29" s="72"/>
      <c r="AJ29" s="73" t="str">
        <f t="shared" si="25"/>
        <v/>
      </c>
      <c r="AK29" s="101"/>
      <c r="AL29" s="48"/>
      <c r="AM29" s="104"/>
      <c r="AN29" s="74">
        <f t="shared" si="26"/>
        <v>46131</v>
      </c>
      <c r="AO29" s="108">
        <f t="shared" si="27"/>
        <v>-76</v>
      </c>
      <c r="AP29" s="48"/>
      <c r="AQ29" s="110"/>
      <c r="AR29" s="75">
        <f t="shared" si="28"/>
        <v>46131</v>
      </c>
      <c r="AS29" s="108">
        <f t="shared" si="29"/>
        <v>-76</v>
      </c>
      <c r="AT29" s="48"/>
      <c r="AU29" s="114">
        <f t="shared" si="30"/>
        <v>46207</v>
      </c>
      <c r="AV29" s="120" t="str" cm="1">
        <f t="array" ref="AV29">IF(OR(G29&gt;$C$6,G29=""),$F$8,INDEX($E$8:$Z$8,MATCH(TRUE,(F29:AA29=""),0)))</f>
        <v>1. Tender Docs &amp; BOQ</v>
      </c>
      <c r="AW29" s="117" t="b">
        <f t="shared" si="31"/>
        <v>0</v>
      </c>
      <c r="AX29" s="76" t="b">
        <f t="shared" si="32"/>
        <v>0</v>
      </c>
      <c r="AY29" s="76" t="b">
        <f t="shared" si="33"/>
        <v>0</v>
      </c>
      <c r="AZ29" s="76" t="b">
        <f t="shared" si="34"/>
        <v>0</v>
      </c>
      <c r="BA29" s="76" t="b">
        <f t="shared" si="35"/>
        <v>0</v>
      </c>
      <c r="BB29" s="76" t="b">
        <f t="shared" si="36"/>
        <v>0</v>
      </c>
      <c r="BC29" s="76" t="b">
        <f t="shared" si="37"/>
        <v>0</v>
      </c>
      <c r="BD29" s="76" t="b">
        <f t="shared" si="38"/>
        <v>0</v>
      </c>
      <c r="BE29" s="76" t="b">
        <f t="shared" si="39"/>
        <v>0</v>
      </c>
      <c r="BF29" s="76" t="b">
        <f t="shared" si="40"/>
        <v>0</v>
      </c>
      <c r="BG29" s="90" t="b">
        <f t="shared" si="41"/>
        <v>0</v>
      </c>
      <c r="BH29" s="146"/>
    </row>
    <row r="30" spans="1:60" ht="26.25" x14ac:dyDescent="0.25">
      <c r="A30" s="56" cm="1">
        <f t="array" ref="A30">SUMPRODUCT(($AV$10:$AV$55&lt;&gt;"")*(ROW($AV$10:$AV$55)&lt;=ROW()))</f>
        <v>16</v>
      </c>
      <c r="B30" s="57"/>
      <c r="C30" s="58"/>
      <c r="D30" s="93"/>
      <c r="E30" s="16"/>
      <c r="F30" s="29">
        <f t="shared" si="12"/>
        <v>46036</v>
      </c>
      <c r="G30" s="42"/>
      <c r="H30" s="29">
        <f t="shared" si="13"/>
        <v>46043</v>
      </c>
      <c r="I30" s="42"/>
      <c r="J30" s="29">
        <f t="shared" si="14"/>
        <v>46049</v>
      </c>
      <c r="K30" s="42"/>
      <c r="L30" s="29">
        <f t="shared" si="15"/>
        <v>46052</v>
      </c>
      <c r="M30" s="42"/>
      <c r="N30" s="29">
        <f t="shared" si="16"/>
        <v>46082</v>
      </c>
      <c r="O30" s="42"/>
      <c r="P30" s="29">
        <f t="shared" si="17"/>
        <v>46092</v>
      </c>
      <c r="Q30" s="42"/>
      <c r="R30" s="29">
        <f t="shared" si="18"/>
        <v>46112</v>
      </c>
      <c r="S30" s="42"/>
      <c r="T30" s="29">
        <f t="shared" si="19"/>
        <v>46119</v>
      </c>
      <c r="U30" s="42"/>
      <c r="V30" s="29">
        <f t="shared" si="20"/>
        <v>46126</v>
      </c>
      <c r="W30" s="42"/>
      <c r="X30" s="29">
        <f t="shared" si="21"/>
        <v>46131</v>
      </c>
      <c r="Y30" s="42"/>
      <c r="Z30" s="30">
        <f t="shared" si="22"/>
        <v>46141</v>
      </c>
      <c r="AA30" s="42"/>
      <c r="AB30" s="31">
        <f t="shared" si="23"/>
        <v>19</v>
      </c>
      <c r="AC30" s="16"/>
      <c r="AD30" s="131">
        <f t="shared" si="24"/>
        <v>95</v>
      </c>
      <c r="AE30" s="16"/>
      <c r="AF30" s="95"/>
      <c r="AG30" s="67"/>
      <c r="AH30" s="67"/>
      <c r="AI30" s="67"/>
      <c r="AJ30" s="68" t="str">
        <f t="shared" si="25"/>
        <v/>
      </c>
      <c r="AK30" s="102"/>
      <c r="AL30" s="48"/>
      <c r="AM30" s="105"/>
      <c r="AN30" s="69">
        <f t="shared" si="26"/>
        <v>46131</v>
      </c>
      <c r="AO30" s="107">
        <f t="shared" si="27"/>
        <v>-76</v>
      </c>
      <c r="AP30" s="48"/>
      <c r="AQ30" s="111"/>
      <c r="AR30" s="70">
        <f t="shared" si="28"/>
        <v>46131</v>
      </c>
      <c r="AS30" s="107">
        <f t="shared" si="29"/>
        <v>-76</v>
      </c>
      <c r="AT30" s="48"/>
      <c r="AU30" s="113">
        <f t="shared" si="30"/>
        <v>46207</v>
      </c>
      <c r="AV30" s="119" t="str" cm="1">
        <f t="array" ref="AV30">IF(OR(G30&gt;$C$6,G30=""),$F$8,INDEX($E$8:$Z$8,MATCH(TRUE,(F30:AA30=""),0)))</f>
        <v>1. Tender Docs &amp; BOQ</v>
      </c>
      <c r="AW30" s="116" t="b">
        <f t="shared" si="31"/>
        <v>0</v>
      </c>
      <c r="AX30" s="71" t="b">
        <f t="shared" si="32"/>
        <v>0</v>
      </c>
      <c r="AY30" s="71" t="b">
        <f t="shared" si="33"/>
        <v>0</v>
      </c>
      <c r="AZ30" s="71" t="b">
        <f t="shared" si="34"/>
        <v>0</v>
      </c>
      <c r="BA30" s="71" t="b">
        <f t="shared" si="35"/>
        <v>0</v>
      </c>
      <c r="BB30" s="71" t="b">
        <f t="shared" si="36"/>
        <v>0</v>
      </c>
      <c r="BC30" s="71" t="b">
        <f t="shared" si="37"/>
        <v>0</v>
      </c>
      <c r="BD30" s="71" t="b">
        <f t="shared" si="38"/>
        <v>0</v>
      </c>
      <c r="BE30" s="71" t="b">
        <f t="shared" si="39"/>
        <v>0</v>
      </c>
      <c r="BF30" s="71" t="b">
        <f t="shared" si="40"/>
        <v>0</v>
      </c>
      <c r="BG30" s="89" t="b">
        <f t="shared" si="41"/>
        <v>0</v>
      </c>
      <c r="BH30" s="146"/>
    </row>
    <row r="31" spans="1:60" ht="26.25" x14ac:dyDescent="0.25">
      <c r="A31" s="56" cm="1">
        <f t="array" ref="A31">SUMPRODUCT(($AV$10:$AV$55&lt;&gt;"")*(ROW($AV$10:$AV$55)&lt;=ROW()))</f>
        <v>17</v>
      </c>
      <c r="B31" s="59"/>
      <c r="C31" s="60"/>
      <c r="D31" s="59"/>
      <c r="E31" s="43"/>
      <c r="F31" s="44">
        <f t="shared" si="12"/>
        <v>46036</v>
      </c>
      <c r="G31" s="45"/>
      <c r="H31" s="44">
        <f t="shared" si="13"/>
        <v>46043</v>
      </c>
      <c r="I31" s="45"/>
      <c r="J31" s="44">
        <f t="shared" si="14"/>
        <v>46049</v>
      </c>
      <c r="K31" s="45"/>
      <c r="L31" s="44">
        <f t="shared" si="15"/>
        <v>46052</v>
      </c>
      <c r="M31" s="45"/>
      <c r="N31" s="44">
        <f t="shared" si="16"/>
        <v>46082</v>
      </c>
      <c r="O31" s="45"/>
      <c r="P31" s="44">
        <f t="shared" si="17"/>
        <v>46092</v>
      </c>
      <c r="Q31" s="45"/>
      <c r="R31" s="44">
        <f t="shared" si="18"/>
        <v>46112</v>
      </c>
      <c r="S31" s="45"/>
      <c r="T31" s="44">
        <f t="shared" si="19"/>
        <v>46119</v>
      </c>
      <c r="U31" s="45"/>
      <c r="V31" s="44">
        <f t="shared" si="20"/>
        <v>46126</v>
      </c>
      <c r="W31" s="45"/>
      <c r="X31" s="44">
        <f t="shared" si="21"/>
        <v>46131</v>
      </c>
      <c r="Y31" s="45"/>
      <c r="Z31" s="46">
        <f t="shared" si="22"/>
        <v>46141</v>
      </c>
      <c r="AA31" s="45"/>
      <c r="AB31" s="32">
        <f t="shared" si="23"/>
        <v>19</v>
      </c>
      <c r="AC31" s="16"/>
      <c r="AD31" s="131">
        <f t="shared" si="24"/>
        <v>95</v>
      </c>
      <c r="AE31" s="16"/>
      <c r="AF31" s="96"/>
      <c r="AG31" s="72"/>
      <c r="AH31" s="72"/>
      <c r="AI31" s="72"/>
      <c r="AJ31" s="73" t="str">
        <f t="shared" si="25"/>
        <v/>
      </c>
      <c r="AK31" s="101"/>
      <c r="AL31" s="48"/>
      <c r="AM31" s="104"/>
      <c r="AN31" s="74">
        <f t="shared" si="26"/>
        <v>46131</v>
      </c>
      <c r="AO31" s="108">
        <f t="shared" si="27"/>
        <v>-76</v>
      </c>
      <c r="AP31" s="48"/>
      <c r="AQ31" s="110"/>
      <c r="AR31" s="75">
        <f t="shared" si="28"/>
        <v>46131</v>
      </c>
      <c r="AS31" s="108">
        <f t="shared" si="29"/>
        <v>-76</v>
      </c>
      <c r="AT31" s="48"/>
      <c r="AU31" s="114">
        <f t="shared" si="30"/>
        <v>46207</v>
      </c>
      <c r="AV31" s="120" t="str" cm="1">
        <f t="array" ref="AV31">IF(OR(G31&gt;$C$6,G31=""),$F$8,INDEX($E$8:$Z$8,MATCH(TRUE,(F31:AA31=""),0)))</f>
        <v>1. Tender Docs &amp; BOQ</v>
      </c>
      <c r="AW31" s="117" t="b">
        <f t="shared" si="31"/>
        <v>0</v>
      </c>
      <c r="AX31" s="76" t="b">
        <f t="shared" si="32"/>
        <v>0</v>
      </c>
      <c r="AY31" s="76" t="b">
        <f t="shared" si="33"/>
        <v>0</v>
      </c>
      <c r="AZ31" s="76" t="b">
        <f t="shared" si="34"/>
        <v>0</v>
      </c>
      <c r="BA31" s="76" t="b">
        <f t="shared" si="35"/>
        <v>0</v>
      </c>
      <c r="BB31" s="76" t="b">
        <f t="shared" si="36"/>
        <v>0</v>
      </c>
      <c r="BC31" s="76" t="b">
        <f t="shared" si="37"/>
        <v>0</v>
      </c>
      <c r="BD31" s="76" t="b">
        <f t="shared" si="38"/>
        <v>0</v>
      </c>
      <c r="BE31" s="76" t="b">
        <f t="shared" si="39"/>
        <v>0</v>
      </c>
      <c r="BF31" s="76" t="b">
        <f t="shared" si="40"/>
        <v>0</v>
      </c>
      <c r="BG31" s="90" t="b">
        <f t="shared" si="41"/>
        <v>0</v>
      </c>
      <c r="BH31" s="146"/>
    </row>
    <row r="32" spans="1:60" ht="26.25" x14ac:dyDescent="0.25">
      <c r="A32" s="56" cm="1">
        <f t="array" ref="A32">SUMPRODUCT(($AV$10:$AV$55&lt;&gt;"")*(ROW($AV$10:$AV$55)&lt;=ROW()))</f>
        <v>18</v>
      </c>
      <c r="B32" s="57"/>
      <c r="C32" s="58"/>
      <c r="D32" s="93"/>
      <c r="E32" s="16"/>
      <c r="F32" s="29">
        <f t="shared" si="12"/>
        <v>46036</v>
      </c>
      <c r="G32" s="42"/>
      <c r="H32" s="29">
        <f t="shared" si="13"/>
        <v>46043</v>
      </c>
      <c r="I32" s="42"/>
      <c r="J32" s="29">
        <f t="shared" si="14"/>
        <v>46049</v>
      </c>
      <c r="K32" s="42"/>
      <c r="L32" s="29">
        <f t="shared" si="15"/>
        <v>46052</v>
      </c>
      <c r="M32" s="42"/>
      <c r="N32" s="29">
        <f t="shared" si="16"/>
        <v>46082</v>
      </c>
      <c r="O32" s="42"/>
      <c r="P32" s="29">
        <f t="shared" si="17"/>
        <v>46092</v>
      </c>
      <c r="Q32" s="42"/>
      <c r="R32" s="29">
        <f t="shared" si="18"/>
        <v>46112</v>
      </c>
      <c r="S32" s="42"/>
      <c r="T32" s="29">
        <f t="shared" si="19"/>
        <v>46119</v>
      </c>
      <c r="U32" s="42"/>
      <c r="V32" s="29">
        <f t="shared" si="20"/>
        <v>46126</v>
      </c>
      <c r="W32" s="42"/>
      <c r="X32" s="29">
        <f t="shared" si="21"/>
        <v>46131</v>
      </c>
      <c r="Y32" s="42"/>
      <c r="Z32" s="30">
        <f t="shared" si="22"/>
        <v>46141</v>
      </c>
      <c r="AA32" s="42"/>
      <c r="AB32" s="31">
        <f t="shared" si="23"/>
        <v>19</v>
      </c>
      <c r="AC32" s="16"/>
      <c r="AD32" s="131">
        <f t="shared" si="24"/>
        <v>95</v>
      </c>
      <c r="AE32" s="16"/>
      <c r="AF32" s="95"/>
      <c r="AG32" s="67"/>
      <c r="AH32" s="67"/>
      <c r="AI32" s="67"/>
      <c r="AJ32" s="68" t="str">
        <f t="shared" si="25"/>
        <v/>
      </c>
      <c r="AK32" s="102"/>
      <c r="AL32" s="48"/>
      <c r="AM32" s="105"/>
      <c r="AN32" s="69">
        <f t="shared" si="26"/>
        <v>46131</v>
      </c>
      <c r="AO32" s="107">
        <f t="shared" si="27"/>
        <v>-76</v>
      </c>
      <c r="AP32" s="48"/>
      <c r="AQ32" s="111"/>
      <c r="AR32" s="70">
        <f t="shared" si="28"/>
        <v>46131</v>
      </c>
      <c r="AS32" s="107">
        <f t="shared" si="29"/>
        <v>-76</v>
      </c>
      <c r="AT32" s="48"/>
      <c r="AU32" s="113">
        <f t="shared" si="30"/>
        <v>46207</v>
      </c>
      <c r="AV32" s="119" t="str" cm="1">
        <f t="array" ref="AV32">IF(OR(G32&gt;$C$6,G32=""),$F$8,INDEX($E$8:$Z$8,MATCH(TRUE,(F32:AA32=""),0)))</f>
        <v>1. Tender Docs &amp; BOQ</v>
      </c>
      <c r="AW32" s="116" t="b">
        <f t="shared" si="31"/>
        <v>0</v>
      </c>
      <c r="AX32" s="71" t="b">
        <f t="shared" si="32"/>
        <v>0</v>
      </c>
      <c r="AY32" s="71" t="b">
        <f t="shared" si="33"/>
        <v>0</v>
      </c>
      <c r="AZ32" s="71" t="b">
        <f t="shared" si="34"/>
        <v>0</v>
      </c>
      <c r="BA32" s="71" t="b">
        <f t="shared" si="35"/>
        <v>0</v>
      </c>
      <c r="BB32" s="71" t="b">
        <f t="shared" si="36"/>
        <v>0</v>
      </c>
      <c r="BC32" s="71" t="b">
        <f t="shared" si="37"/>
        <v>0</v>
      </c>
      <c r="BD32" s="71" t="b">
        <f t="shared" si="38"/>
        <v>0</v>
      </c>
      <c r="BE32" s="71" t="b">
        <f t="shared" si="39"/>
        <v>0</v>
      </c>
      <c r="BF32" s="71" t="b">
        <f t="shared" si="40"/>
        <v>0</v>
      </c>
      <c r="BG32" s="89" t="b">
        <f t="shared" si="41"/>
        <v>0</v>
      </c>
      <c r="BH32" s="146"/>
    </row>
    <row r="33" spans="1:60" ht="26.25" x14ac:dyDescent="0.25">
      <c r="A33" s="56" cm="1">
        <f t="array" ref="A33">SUMPRODUCT(($AV$10:$AV$55&lt;&gt;"")*(ROW($AV$10:$AV$55)&lt;=ROW()))</f>
        <v>19</v>
      </c>
      <c r="B33" s="59"/>
      <c r="C33" s="60"/>
      <c r="D33" s="59"/>
      <c r="E33" s="43"/>
      <c r="F33" s="44">
        <f t="shared" si="12"/>
        <v>46036</v>
      </c>
      <c r="G33" s="45"/>
      <c r="H33" s="44">
        <f t="shared" si="13"/>
        <v>46043</v>
      </c>
      <c r="I33" s="45"/>
      <c r="J33" s="44">
        <f t="shared" si="14"/>
        <v>46049</v>
      </c>
      <c r="K33" s="45"/>
      <c r="L33" s="44">
        <f t="shared" si="15"/>
        <v>46052</v>
      </c>
      <c r="M33" s="45"/>
      <c r="N33" s="44">
        <f t="shared" si="16"/>
        <v>46082</v>
      </c>
      <c r="O33" s="45"/>
      <c r="P33" s="44">
        <f t="shared" si="17"/>
        <v>46092</v>
      </c>
      <c r="Q33" s="45"/>
      <c r="R33" s="44">
        <f t="shared" si="18"/>
        <v>46112</v>
      </c>
      <c r="S33" s="45"/>
      <c r="T33" s="44">
        <f t="shared" si="19"/>
        <v>46119</v>
      </c>
      <c r="U33" s="45"/>
      <c r="V33" s="44">
        <f t="shared" si="20"/>
        <v>46126</v>
      </c>
      <c r="W33" s="45"/>
      <c r="X33" s="44">
        <f t="shared" si="21"/>
        <v>46131</v>
      </c>
      <c r="Y33" s="45"/>
      <c r="Z33" s="46">
        <f t="shared" si="22"/>
        <v>46141</v>
      </c>
      <c r="AA33" s="45"/>
      <c r="AB33" s="32">
        <f t="shared" si="23"/>
        <v>19</v>
      </c>
      <c r="AC33" s="16"/>
      <c r="AD33" s="131">
        <f t="shared" si="24"/>
        <v>95</v>
      </c>
      <c r="AE33" s="16"/>
      <c r="AF33" s="96"/>
      <c r="AG33" s="72"/>
      <c r="AH33" s="72"/>
      <c r="AI33" s="72"/>
      <c r="AJ33" s="73" t="str">
        <f t="shared" si="25"/>
        <v/>
      </c>
      <c r="AK33" s="101"/>
      <c r="AL33" s="48"/>
      <c r="AM33" s="104"/>
      <c r="AN33" s="74">
        <f t="shared" si="26"/>
        <v>46131</v>
      </c>
      <c r="AO33" s="108">
        <f t="shared" si="27"/>
        <v>-76</v>
      </c>
      <c r="AP33" s="48"/>
      <c r="AQ33" s="110"/>
      <c r="AR33" s="75">
        <f t="shared" si="28"/>
        <v>46131</v>
      </c>
      <c r="AS33" s="108">
        <f t="shared" si="29"/>
        <v>-76</v>
      </c>
      <c r="AT33" s="48"/>
      <c r="AU33" s="114">
        <f t="shared" si="30"/>
        <v>46207</v>
      </c>
      <c r="AV33" s="120" t="str" cm="1">
        <f t="array" ref="AV33">IF(OR(G33&gt;$C$6,G33=""),$F$8,INDEX($E$8:$Z$8,MATCH(TRUE,(F33:AA33=""),0)))</f>
        <v>1. Tender Docs &amp; BOQ</v>
      </c>
      <c r="AW33" s="117" t="b">
        <f t="shared" si="31"/>
        <v>0</v>
      </c>
      <c r="AX33" s="76" t="b">
        <f t="shared" si="32"/>
        <v>0</v>
      </c>
      <c r="AY33" s="76" t="b">
        <f t="shared" si="33"/>
        <v>0</v>
      </c>
      <c r="AZ33" s="76" t="b">
        <f t="shared" si="34"/>
        <v>0</v>
      </c>
      <c r="BA33" s="76" t="b">
        <f t="shared" si="35"/>
        <v>0</v>
      </c>
      <c r="BB33" s="76" t="b">
        <f t="shared" si="36"/>
        <v>0</v>
      </c>
      <c r="BC33" s="76" t="b">
        <f t="shared" si="37"/>
        <v>0</v>
      </c>
      <c r="BD33" s="76" t="b">
        <f t="shared" si="38"/>
        <v>0</v>
      </c>
      <c r="BE33" s="76" t="b">
        <f t="shared" si="39"/>
        <v>0</v>
      </c>
      <c r="BF33" s="76" t="b">
        <f t="shared" si="40"/>
        <v>0</v>
      </c>
      <c r="BG33" s="90" t="b">
        <f t="shared" si="41"/>
        <v>0</v>
      </c>
      <c r="BH33" s="146"/>
    </row>
    <row r="34" spans="1:60" ht="26.25" x14ac:dyDescent="0.25">
      <c r="A34" s="56" cm="1">
        <f t="array" ref="A34">SUMPRODUCT(($AV$10:$AV$55&lt;&gt;"")*(ROW($AV$10:$AV$55)&lt;=ROW()))</f>
        <v>20</v>
      </c>
      <c r="B34" s="57"/>
      <c r="C34" s="58"/>
      <c r="D34" s="93"/>
      <c r="E34" s="16"/>
      <c r="F34" s="29">
        <f t="shared" si="12"/>
        <v>46036</v>
      </c>
      <c r="G34" s="42"/>
      <c r="H34" s="29">
        <f t="shared" si="13"/>
        <v>46043</v>
      </c>
      <c r="I34" s="42"/>
      <c r="J34" s="29">
        <f t="shared" si="14"/>
        <v>46049</v>
      </c>
      <c r="K34" s="42"/>
      <c r="L34" s="29">
        <f t="shared" si="15"/>
        <v>46052</v>
      </c>
      <c r="M34" s="42"/>
      <c r="N34" s="29">
        <f t="shared" si="16"/>
        <v>46082</v>
      </c>
      <c r="O34" s="42"/>
      <c r="P34" s="29">
        <f t="shared" si="17"/>
        <v>46092</v>
      </c>
      <c r="Q34" s="42"/>
      <c r="R34" s="29">
        <f t="shared" si="18"/>
        <v>46112</v>
      </c>
      <c r="S34" s="42"/>
      <c r="T34" s="29">
        <f t="shared" si="19"/>
        <v>46119</v>
      </c>
      <c r="U34" s="42"/>
      <c r="V34" s="29">
        <f t="shared" si="20"/>
        <v>46126</v>
      </c>
      <c r="W34" s="42"/>
      <c r="X34" s="29">
        <f t="shared" si="21"/>
        <v>46131</v>
      </c>
      <c r="Y34" s="42"/>
      <c r="Z34" s="30">
        <f t="shared" si="22"/>
        <v>46141</v>
      </c>
      <c r="AA34" s="42"/>
      <c r="AB34" s="31">
        <f t="shared" si="23"/>
        <v>19</v>
      </c>
      <c r="AC34" s="16"/>
      <c r="AD34" s="131">
        <f t="shared" si="24"/>
        <v>95</v>
      </c>
      <c r="AE34" s="16"/>
      <c r="AF34" s="95"/>
      <c r="AG34" s="67"/>
      <c r="AH34" s="67"/>
      <c r="AI34" s="67"/>
      <c r="AJ34" s="68" t="str">
        <f t="shared" si="25"/>
        <v/>
      </c>
      <c r="AK34" s="102"/>
      <c r="AL34" s="48"/>
      <c r="AM34" s="105"/>
      <c r="AN34" s="69">
        <f t="shared" si="26"/>
        <v>46131</v>
      </c>
      <c r="AO34" s="107">
        <f t="shared" si="27"/>
        <v>-76</v>
      </c>
      <c r="AP34" s="48"/>
      <c r="AQ34" s="111"/>
      <c r="AR34" s="70">
        <f t="shared" si="28"/>
        <v>46131</v>
      </c>
      <c r="AS34" s="107">
        <f t="shared" si="29"/>
        <v>-76</v>
      </c>
      <c r="AT34" s="48"/>
      <c r="AU34" s="113">
        <f t="shared" si="30"/>
        <v>46207</v>
      </c>
      <c r="AV34" s="119" t="str" cm="1">
        <f t="array" ref="AV34">IF(OR(G34&gt;$C$6,G34=""),$F$8,INDEX($E$8:$Z$8,MATCH(TRUE,(F34:AA34=""),0)))</f>
        <v>1. Tender Docs &amp; BOQ</v>
      </c>
      <c r="AW34" s="116" t="b">
        <f t="shared" si="31"/>
        <v>0</v>
      </c>
      <c r="AX34" s="71" t="b">
        <f t="shared" si="32"/>
        <v>0</v>
      </c>
      <c r="AY34" s="71" t="b">
        <f t="shared" si="33"/>
        <v>0</v>
      </c>
      <c r="AZ34" s="71" t="b">
        <f t="shared" si="34"/>
        <v>0</v>
      </c>
      <c r="BA34" s="71" t="b">
        <f t="shared" si="35"/>
        <v>0</v>
      </c>
      <c r="BB34" s="71" t="b">
        <f t="shared" si="36"/>
        <v>0</v>
      </c>
      <c r="BC34" s="71" t="b">
        <f t="shared" si="37"/>
        <v>0</v>
      </c>
      <c r="BD34" s="71" t="b">
        <f t="shared" si="38"/>
        <v>0</v>
      </c>
      <c r="BE34" s="71" t="b">
        <f t="shared" si="39"/>
        <v>0</v>
      </c>
      <c r="BF34" s="71" t="b">
        <f t="shared" si="40"/>
        <v>0</v>
      </c>
      <c r="BG34" s="89" t="b">
        <f t="shared" si="41"/>
        <v>0</v>
      </c>
      <c r="BH34" s="146"/>
    </row>
    <row r="35" spans="1:60" ht="26.25" x14ac:dyDescent="0.25">
      <c r="A35" s="56" cm="1">
        <f t="array" ref="A35">SUMPRODUCT(($AV$10:$AV$55&lt;&gt;"")*(ROW($AV$10:$AV$55)&lt;=ROW()))</f>
        <v>21</v>
      </c>
      <c r="B35" s="59"/>
      <c r="C35" s="60"/>
      <c r="D35" s="59"/>
      <c r="E35" s="43"/>
      <c r="F35" s="44">
        <f t="shared" si="12"/>
        <v>46036</v>
      </c>
      <c r="G35" s="45"/>
      <c r="H35" s="44">
        <f t="shared" si="13"/>
        <v>46043</v>
      </c>
      <c r="I35" s="45"/>
      <c r="J35" s="44">
        <f t="shared" si="14"/>
        <v>46049</v>
      </c>
      <c r="K35" s="45"/>
      <c r="L35" s="44">
        <f t="shared" si="15"/>
        <v>46052</v>
      </c>
      <c r="M35" s="45"/>
      <c r="N35" s="44">
        <f t="shared" si="16"/>
        <v>46082</v>
      </c>
      <c r="O35" s="45"/>
      <c r="P35" s="44">
        <f t="shared" si="17"/>
        <v>46092</v>
      </c>
      <c r="Q35" s="45"/>
      <c r="R35" s="44">
        <f t="shared" si="18"/>
        <v>46112</v>
      </c>
      <c r="S35" s="45"/>
      <c r="T35" s="44">
        <f t="shared" si="19"/>
        <v>46119</v>
      </c>
      <c r="U35" s="45"/>
      <c r="V35" s="44">
        <f t="shared" si="20"/>
        <v>46126</v>
      </c>
      <c r="W35" s="45"/>
      <c r="X35" s="44">
        <f t="shared" si="21"/>
        <v>46131</v>
      </c>
      <c r="Y35" s="45"/>
      <c r="Z35" s="46">
        <f t="shared" si="22"/>
        <v>46141</v>
      </c>
      <c r="AA35" s="45"/>
      <c r="AB35" s="32">
        <f t="shared" si="23"/>
        <v>19</v>
      </c>
      <c r="AC35" s="16"/>
      <c r="AD35" s="131">
        <f t="shared" si="24"/>
        <v>95</v>
      </c>
      <c r="AE35" s="16"/>
      <c r="AF35" s="96"/>
      <c r="AG35" s="72"/>
      <c r="AH35" s="72"/>
      <c r="AI35" s="72"/>
      <c r="AJ35" s="73" t="str">
        <f t="shared" si="25"/>
        <v/>
      </c>
      <c r="AK35" s="101"/>
      <c r="AL35" s="48"/>
      <c r="AM35" s="104"/>
      <c r="AN35" s="74">
        <f t="shared" si="26"/>
        <v>46131</v>
      </c>
      <c r="AO35" s="108">
        <f t="shared" si="27"/>
        <v>-76</v>
      </c>
      <c r="AP35" s="48"/>
      <c r="AQ35" s="110"/>
      <c r="AR35" s="75">
        <f t="shared" si="28"/>
        <v>46131</v>
      </c>
      <c r="AS35" s="108">
        <f t="shared" si="29"/>
        <v>-76</v>
      </c>
      <c r="AT35" s="48"/>
      <c r="AU35" s="114">
        <f t="shared" si="30"/>
        <v>46207</v>
      </c>
      <c r="AV35" s="120" t="str" cm="1">
        <f t="array" ref="AV35">IF(OR(G35&gt;$C$6,G35=""),$F$8,INDEX($E$8:$Z$8,MATCH(TRUE,(F35:AA35=""),0)))</f>
        <v>1. Tender Docs &amp; BOQ</v>
      </c>
      <c r="AW35" s="117" t="b">
        <f t="shared" si="31"/>
        <v>0</v>
      </c>
      <c r="AX35" s="76" t="b">
        <f t="shared" si="32"/>
        <v>0</v>
      </c>
      <c r="AY35" s="76" t="b">
        <f t="shared" si="33"/>
        <v>0</v>
      </c>
      <c r="AZ35" s="76" t="b">
        <f t="shared" si="34"/>
        <v>0</v>
      </c>
      <c r="BA35" s="76" t="b">
        <f t="shared" si="35"/>
        <v>0</v>
      </c>
      <c r="BB35" s="76" t="b">
        <f t="shared" si="36"/>
        <v>0</v>
      </c>
      <c r="BC35" s="76" t="b">
        <f t="shared" si="37"/>
        <v>0</v>
      </c>
      <c r="BD35" s="76" t="b">
        <f t="shared" si="38"/>
        <v>0</v>
      </c>
      <c r="BE35" s="76" t="b">
        <f t="shared" si="39"/>
        <v>0</v>
      </c>
      <c r="BF35" s="76" t="b">
        <f t="shared" si="40"/>
        <v>0</v>
      </c>
      <c r="BG35" s="90" t="b">
        <f t="shared" si="41"/>
        <v>0</v>
      </c>
      <c r="BH35" s="146"/>
    </row>
    <row r="36" spans="1:60" ht="26.25" x14ac:dyDescent="0.25">
      <c r="A36" s="56" cm="1">
        <f t="array" ref="A36">SUMPRODUCT(($AV$10:$AV$55&lt;&gt;"")*(ROW($AV$10:$AV$55)&lt;=ROW()))</f>
        <v>22</v>
      </c>
      <c r="B36" s="57"/>
      <c r="C36" s="58"/>
      <c r="D36" s="93"/>
      <c r="E36" s="16"/>
      <c r="F36" s="29">
        <f t="shared" si="12"/>
        <v>46036</v>
      </c>
      <c r="G36" s="42"/>
      <c r="H36" s="29">
        <f t="shared" si="13"/>
        <v>46043</v>
      </c>
      <c r="I36" s="42"/>
      <c r="J36" s="29">
        <f t="shared" si="14"/>
        <v>46049</v>
      </c>
      <c r="K36" s="42"/>
      <c r="L36" s="29">
        <f t="shared" si="15"/>
        <v>46052</v>
      </c>
      <c r="M36" s="42"/>
      <c r="N36" s="29">
        <f t="shared" si="16"/>
        <v>46082</v>
      </c>
      <c r="O36" s="42"/>
      <c r="P36" s="29">
        <f t="shared" si="17"/>
        <v>46092</v>
      </c>
      <c r="Q36" s="42"/>
      <c r="R36" s="29">
        <f t="shared" si="18"/>
        <v>46112</v>
      </c>
      <c r="S36" s="42"/>
      <c r="T36" s="29">
        <f t="shared" si="19"/>
        <v>46119</v>
      </c>
      <c r="U36" s="42"/>
      <c r="V36" s="29">
        <f t="shared" si="20"/>
        <v>46126</v>
      </c>
      <c r="W36" s="42"/>
      <c r="X36" s="29">
        <f t="shared" si="21"/>
        <v>46131</v>
      </c>
      <c r="Y36" s="42"/>
      <c r="Z36" s="30">
        <f t="shared" si="22"/>
        <v>46141</v>
      </c>
      <c r="AA36" s="42"/>
      <c r="AB36" s="31">
        <f t="shared" si="23"/>
        <v>19</v>
      </c>
      <c r="AC36" s="16"/>
      <c r="AD36" s="131">
        <f t="shared" si="24"/>
        <v>95</v>
      </c>
      <c r="AE36" s="16"/>
      <c r="AF36" s="95"/>
      <c r="AG36" s="67"/>
      <c r="AH36" s="67"/>
      <c r="AI36" s="67"/>
      <c r="AJ36" s="68" t="str">
        <f t="shared" si="25"/>
        <v/>
      </c>
      <c r="AK36" s="102"/>
      <c r="AL36" s="48"/>
      <c r="AM36" s="105"/>
      <c r="AN36" s="69">
        <f t="shared" si="26"/>
        <v>46131</v>
      </c>
      <c r="AO36" s="107">
        <f t="shared" si="27"/>
        <v>-76</v>
      </c>
      <c r="AP36" s="48"/>
      <c r="AQ36" s="111"/>
      <c r="AR36" s="70">
        <f t="shared" si="28"/>
        <v>46131</v>
      </c>
      <c r="AS36" s="107">
        <f t="shared" si="29"/>
        <v>-76</v>
      </c>
      <c r="AT36" s="48"/>
      <c r="AU36" s="113">
        <f t="shared" si="30"/>
        <v>46207</v>
      </c>
      <c r="AV36" s="119" t="str" cm="1">
        <f t="array" ref="AV36">IF(OR(G36&gt;$C$6,G36=""),$F$8,INDEX($E$8:$Z$8,MATCH(TRUE,(F36:AA36=""),0)))</f>
        <v>1. Tender Docs &amp; BOQ</v>
      </c>
      <c r="AW36" s="116" t="b">
        <f t="shared" si="31"/>
        <v>0</v>
      </c>
      <c r="AX36" s="71" t="b">
        <f t="shared" si="32"/>
        <v>0</v>
      </c>
      <c r="AY36" s="71" t="b">
        <f t="shared" si="33"/>
        <v>0</v>
      </c>
      <c r="AZ36" s="71" t="b">
        <f t="shared" si="34"/>
        <v>0</v>
      </c>
      <c r="BA36" s="71" t="b">
        <f t="shared" si="35"/>
        <v>0</v>
      </c>
      <c r="BB36" s="71" t="b">
        <f t="shared" si="36"/>
        <v>0</v>
      </c>
      <c r="BC36" s="71" t="b">
        <f t="shared" si="37"/>
        <v>0</v>
      </c>
      <c r="BD36" s="71" t="b">
        <f t="shared" si="38"/>
        <v>0</v>
      </c>
      <c r="BE36" s="71" t="b">
        <f t="shared" si="39"/>
        <v>0</v>
      </c>
      <c r="BF36" s="71" t="b">
        <f t="shared" si="40"/>
        <v>0</v>
      </c>
      <c r="BG36" s="89" t="b">
        <f t="shared" si="41"/>
        <v>0</v>
      </c>
      <c r="BH36" s="146"/>
    </row>
    <row r="37" spans="1:60" ht="26.25" x14ac:dyDescent="0.25">
      <c r="A37" s="56" cm="1">
        <f t="array" ref="A37">SUMPRODUCT(($AV$10:$AV$55&lt;&gt;"")*(ROW($AV$10:$AV$55)&lt;=ROW()))</f>
        <v>23</v>
      </c>
      <c r="B37" s="59"/>
      <c r="C37" s="60"/>
      <c r="D37" s="59"/>
      <c r="E37" s="43"/>
      <c r="F37" s="44">
        <f t="shared" si="12"/>
        <v>46036</v>
      </c>
      <c r="G37" s="45"/>
      <c r="H37" s="44">
        <f t="shared" si="13"/>
        <v>46043</v>
      </c>
      <c r="I37" s="45"/>
      <c r="J37" s="44">
        <f t="shared" si="14"/>
        <v>46049</v>
      </c>
      <c r="K37" s="45"/>
      <c r="L37" s="44">
        <f t="shared" si="15"/>
        <v>46052</v>
      </c>
      <c r="M37" s="45"/>
      <c r="N37" s="44">
        <f t="shared" si="16"/>
        <v>46082</v>
      </c>
      <c r="O37" s="45"/>
      <c r="P37" s="44">
        <f t="shared" si="17"/>
        <v>46092</v>
      </c>
      <c r="Q37" s="45"/>
      <c r="R37" s="44">
        <f t="shared" si="18"/>
        <v>46112</v>
      </c>
      <c r="S37" s="45"/>
      <c r="T37" s="44">
        <f t="shared" si="19"/>
        <v>46119</v>
      </c>
      <c r="U37" s="45"/>
      <c r="V37" s="44">
        <f t="shared" si="20"/>
        <v>46126</v>
      </c>
      <c r="W37" s="45"/>
      <c r="X37" s="44">
        <f t="shared" si="21"/>
        <v>46131</v>
      </c>
      <c r="Y37" s="45"/>
      <c r="Z37" s="46">
        <f t="shared" si="22"/>
        <v>46141</v>
      </c>
      <c r="AA37" s="45"/>
      <c r="AB37" s="32">
        <f t="shared" si="23"/>
        <v>19</v>
      </c>
      <c r="AC37" s="16"/>
      <c r="AD37" s="131">
        <f t="shared" si="24"/>
        <v>95</v>
      </c>
      <c r="AE37" s="16"/>
      <c r="AF37" s="96"/>
      <c r="AG37" s="72"/>
      <c r="AH37" s="72"/>
      <c r="AI37" s="72"/>
      <c r="AJ37" s="73" t="str">
        <f t="shared" si="25"/>
        <v/>
      </c>
      <c r="AK37" s="101"/>
      <c r="AL37" s="48"/>
      <c r="AM37" s="104"/>
      <c r="AN37" s="74">
        <f t="shared" si="26"/>
        <v>46131</v>
      </c>
      <c r="AO37" s="108">
        <f t="shared" si="27"/>
        <v>-76</v>
      </c>
      <c r="AP37" s="48"/>
      <c r="AQ37" s="110"/>
      <c r="AR37" s="75">
        <f t="shared" si="28"/>
        <v>46131</v>
      </c>
      <c r="AS37" s="108">
        <f t="shared" si="29"/>
        <v>-76</v>
      </c>
      <c r="AT37" s="48"/>
      <c r="AU37" s="114">
        <f t="shared" si="30"/>
        <v>46207</v>
      </c>
      <c r="AV37" s="120" t="str" cm="1">
        <f t="array" ref="AV37">IF(OR(G37&gt;$C$6,G37=""),$F$8,INDEX($E$8:$Z$8,MATCH(TRUE,(F37:AA37=""),0)))</f>
        <v>1. Tender Docs &amp; BOQ</v>
      </c>
      <c r="AW37" s="117" t="b">
        <f t="shared" si="31"/>
        <v>0</v>
      </c>
      <c r="AX37" s="76" t="b">
        <f t="shared" si="32"/>
        <v>0</v>
      </c>
      <c r="AY37" s="76" t="b">
        <f t="shared" si="33"/>
        <v>0</v>
      </c>
      <c r="AZ37" s="76" t="b">
        <f t="shared" si="34"/>
        <v>0</v>
      </c>
      <c r="BA37" s="76" t="b">
        <f t="shared" si="35"/>
        <v>0</v>
      </c>
      <c r="BB37" s="76" t="b">
        <f t="shared" si="36"/>
        <v>0</v>
      </c>
      <c r="BC37" s="76" t="b">
        <f t="shared" si="37"/>
        <v>0</v>
      </c>
      <c r="BD37" s="76" t="b">
        <f t="shared" si="38"/>
        <v>0</v>
      </c>
      <c r="BE37" s="76" t="b">
        <f t="shared" si="39"/>
        <v>0</v>
      </c>
      <c r="BF37" s="76" t="b">
        <f t="shared" si="40"/>
        <v>0</v>
      </c>
      <c r="BG37" s="90" t="b">
        <f t="shared" si="41"/>
        <v>0</v>
      </c>
      <c r="BH37" s="146"/>
    </row>
    <row r="38" spans="1:60" ht="26.25" x14ac:dyDescent="0.25">
      <c r="A38" s="56" cm="1">
        <f t="array" ref="A38">SUMPRODUCT(($AV$10:$AV$55&lt;&gt;"")*(ROW($AV$10:$AV$55)&lt;=ROW()))</f>
        <v>24</v>
      </c>
      <c r="B38" s="57"/>
      <c r="C38" s="58"/>
      <c r="D38" s="93"/>
      <c r="E38" s="16"/>
      <c r="F38" s="29">
        <f t="shared" si="12"/>
        <v>46036</v>
      </c>
      <c r="G38" s="42"/>
      <c r="H38" s="29">
        <f t="shared" si="13"/>
        <v>46043</v>
      </c>
      <c r="I38" s="42"/>
      <c r="J38" s="29">
        <f t="shared" si="14"/>
        <v>46049</v>
      </c>
      <c r="K38" s="42"/>
      <c r="L38" s="29">
        <f t="shared" si="15"/>
        <v>46052</v>
      </c>
      <c r="M38" s="42"/>
      <c r="N38" s="29">
        <f t="shared" si="16"/>
        <v>46082</v>
      </c>
      <c r="O38" s="42"/>
      <c r="P38" s="29">
        <f t="shared" si="17"/>
        <v>46092</v>
      </c>
      <c r="Q38" s="42"/>
      <c r="R38" s="29">
        <f t="shared" si="18"/>
        <v>46112</v>
      </c>
      <c r="S38" s="42"/>
      <c r="T38" s="29">
        <f t="shared" si="19"/>
        <v>46119</v>
      </c>
      <c r="U38" s="42"/>
      <c r="V38" s="29">
        <f t="shared" si="20"/>
        <v>46126</v>
      </c>
      <c r="W38" s="42"/>
      <c r="X38" s="29">
        <f t="shared" si="21"/>
        <v>46131</v>
      </c>
      <c r="Y38" s="42"/>
      <c r="Z38" s="30">
        <f t="shared" si="22"/>
        <v>46141</v>
      </c>
      <c r="AA38" s="42"/>
      <c r="AB38" s="31">
        <f t="shared" si="23"/>
        <v>19</v>
      </c>
      <c r="AC38" s="16"/>
      <c r="AD38" s="131">
        <f t="shared" si="24"/>
        <v>95</v>
      </c>
      <c r="AE38" s="16"/>
      <c r="AF38" s="95"/>
      <c r="AG38" s="67"/>
      <c r="AH38" s="67"/>
      <c r="AI38" s="67"/>
      <c r="AJ38" s="68" t="str">
        <f t="shared" si="25"/>
        <v/>
      </c>
      <c r="AK38" s="102"/>
      <c r="AL38" s="48"/>
      <c r="AM38" s="105"/>
      <c r="AN38" s="69">
        <f t="shared" si="26"/>
        <v>46131</v>
      </c>
      <c r="AO38" s="107">
        <f t="shared" si="27"/>
        <v>-76</v>
      </c>
      <c r="AP38" s="48"/>
      <c r="AQ38" s="111"/>
      <c r="AR38" s="70">
        <f t="shared" si="28"/>
        <v>46131</v>
      </c>
      <c r="AS38" s="107">
        <f t="shared" si="29"/>
        <v>-76</v>
      </c>
      <c r="AT38" s="48"/>
      <c r="AU38" s="113">
        <f t="shared" si="30"/>
        <v>46207</v>
      </c>
      <c r="AV38" s="119" t="str" cm="1">
        <f t="array" ref="AV38">IF(OR(G38&gt;$C$6,G38=""),$F$8,INDEX($E$8:$Z$8,MATCH(TRUE,(F38:AA38=""),0)))</f>
        <v>1. Tender Docs &amp; BOQ</v>
      </c>
      <c r="AW38" s="116" t="b">
        <f t="shared" si="31"/>
        <v>0</v>
      </c>
      <c r="AX38" s="71" t="b">
        <f t="shared" si="32"/>
        <v>0</v>
      </c>
      <c r="AY38" s="71" t="b">
        <f t="shared" si="33"/>
        <v>0</v>
      </c>
      <c r="AZ38" s="71" t="b">
        <f t="shared" si="34"/>
        <v>0</v>
      </c>
      <c r="BA38" s="71" t="b">
        <f t="shared" si="35"/>
        <v>0</v>
      </c>
      <c r="BB38" s="71" t="b">
        <f t="shared" si="36"/>
        <v>0</v>
      </c>
      <c r="BC38" s="71" t="b">
        <f t="shared" si="37"/>
        <v>0</v>
      </c>
      <c r="BD38" s="71" t="b">
        <f t="shared" si="38"/>
        <v>0</v>
      </c>
      <c r="BE38" s="71" t="b">
        <f t="shared" si="39"/>
        <v>0</v>
      </c>
      <c r="BF38" s="71" t="b">
        <f t="shared" si="40"/>
        <v>0</v>
      </c>
      <c r="BG38" s="89" t="b">
        <f t="shared" si="41"/>
        <v>0</v>
      </c>
      <c r="BH38" s="146"/>
    </row>
    <row r="39" spans="1:60" ht="26.25" x14ac:dyDescent="0.25">
      <c r="A39" s="56" cm="1">
        <f t="array" ref="A39">SUMPRODUCT(($AV$10:$AV$55&lt;&gt;"")*(ROW($AV$10:$AV$55)&lt;=ROW()))</f>
        <v>25</v>
      </c>
      <c r="B39" s="59"/>
      <c r="C39" s="60"/>
      <c r="D39" s="59"/>
      <c r="E39" s="43"/>
      <c r="F39" s="44">
        <f t="shared" si="12"/>
        <v>46036</v>
      </c>
      <c r="G39" s="45"/>
      <c r="H39" s="44">
        <f t="shared" si="13"/>
        <v>46043</v>
      </c>
      <c r="I39" s="45"/>
      <c r="J39" s="44">
        <f t="shared" si="14"/>
        <v>46049</v>
      </c>
      <c r="K39" s="45"/>
      <c r="L39" s="44">
        <f t="shared" si="15"/>
        <v>46052</v>
      </c>
      <c r="M39" s="45"/>
      <c r="N39" s="44">
        <f t="shared" si="16"/>
        <v>46082</v>
      </c>
      <c r="O39" s="45"/>
      <c r="P39" s="44">
        <f t="shared" si="17"/>
        <v>46092</v>
      </c>
      <c r="Q39" s="45"/>
      <c r="R39" s="44">
        <f t="shared" si="18"/>
        <v>46112</v>
      </c>
      <c r="S39" s="45"/>
      <c r="T39" s="44">
        <f t="shared" si="19"/>
        <v>46119</v>
      </c>
      <c r="U39" s="45"/>
      <c r="V39" s="44">
        <f t="shared" si="20"/>
        <v>46126</v>
      </c>
      <c r="W39" s="45"/>
      <c r="X39" s="44">
        <f t="shared" si="21"/>
        <v>46131</v>
      </c>
      <c r="Y39" s="45"/>
      <c r="Z39" s="46">
        <f t="shared" si="22"/>
        <v>46141</v>
      </c>
      <c r="AA39" s="45"/>
      <c r="AB39" s="32">
        <f t="shared" si="23"/>
        <v>19</v>
      </c>
      <c r="AC39" s="16"/>
      <c r="AD39" s="131">
        <f t="shared" si="24"/>
        <v>95</v>
      </c>
      <c r="AE39" s="16"/>
      <c r="AF39" s="96"/>
      <c r="AG39" s="72"/>
      <c r="AH39" s="72"/>
      <c r="AI39" s="72"/>
      <c r="AJ39" s="73" t="str">
        <f t="shared" si="25"/>
        <v/>
      </c>
      <c r="AK39" s="101"/>
      <c r="AL39" s="48"/>
      <c r="AM39" s="104"/>
      <c r="AN39" s="74">
        <f t="shared" si="26"/>
        <v>46131</v>
      </c>
      <c r="AO39" s="108">
        <f t="shared" si="27"/>
        <v>-76</v>
      </c>
      <c r="AP39" s="48"/>
      <c r="AQ39" s="110"/>
      <c r="AR39" s="75">
        <f t="shared" si="28"/>
        <v>46131</v>
      </c>
      <c r="AS39" s="108">
        <f t="shared" si="29"/>
        <v>-76</v>
      </c>
      <c r="AT39" s="48"/>
      <c r="AU39" s="114">
        <f t="shared" si="30"/>
        <v>46207</v>
      </c>
      <c r="AV39" s="120" t="str" cm="1">
        <f t="array" ref="AV39">IF(OR(G39&gt;$C$6,G39=""),$F$8,INDEX($E$8:$Z$8,MATCH(TRUE,(F39:AA39=""),0)))</f>
        <v>1. Tender Docs &amp; BOQ</v>
      </c>
      <c r="AW39" s="117" t="b">
        <f t="shared" si="31"/>
        <v>0</v>
      </c>
      <c r="AX39" s="76" t="b">
        <f t="shared" si="32"/>
        <v>0</v>
      </c>
      <c r="AY39" s="76" t="b">
        <f t="shared" si="33"/>
        <v>0</v>
      </c>
      <c r="AZ39" s="76" t="b">
        <f t="shared" si="34"/>
        <v>0</v>
      </c>
      <c r="BA39" s="76" t="b">
        <f t="shared" si="35"/>
        <v>0</v>
      </c>
      <c r="BB39" s="76" t="b">
        <f t="shared" si="36"/>
        <v>0</v>
      </c>
      <c r="BC39" s="76" t="b">
        <f t="shared" si="37"/>
        <v>0</v>
      </c>
      <c r="BD39" s="76" t="b">
        <f t="shared" si="38"/>
        <v>0</v>
      </c>
      <c r="BE39" s="76" t="b">
        <f t="shared" si="39"/>
        <v>0</v>
      </c>
      <c r="BF39" s="76" t="b">
        <f t="shared" si="40"/>
        <v>0</v>
      </c>
      <c r="BG39" s="90" t="b">
        <f t="shared" si="41"/>
        <v>0</v>
      </c>
      <c r="BH39" s="146"/>
    </row>
    <row r="40" spans="1:60" ht="23.25" x14ac:dyDescent="0.25">
      <c r="A40" s="54"/>
      <c r="B40" s="49"/>
      <c r="C40" s="50" t="s">
        <v>156</v>
      </c>
      <c r="D40" s="51"/>
      <c r="E40" s="51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1"/>
      <c r="AC40" s="51"/>
      <c r="AD40" s="132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88"/>
      <c r="BH40" s="146"/>
    </row>
    <row r="41" spans="1:60" ht="26.25" x14ac:dyDescent="0.25">
      <c r="A41" s="56" cm="1">
        <f t="array" ref="A41">SUMPRODUCT(($AV$10:$AV$55&lt;&gt;"")*(ROW($AV$10:$AV$55)&lt;=ROW()))</f>
        <v>26</v>
      </c>
      <c r="B41" s="59"/>
      <c r="C41" s="60"/>
      <c r="D41" s="59"/>
      <c r="E41" s="43"/>
      <c r="F41" s="44">
        <f>H41-$H$7</f>
        <v>46036</v>
      </c>
      <c r="G41" s="45"/>
      <c r="H41" s="44">
        <f>J41-$J$7</f>
        <v>46043</v>
      </c>
      <c r="I41" s="45"/>
      <c r="J41" s="44">
        <f>L41-$L$7</f>
        <v>46049</v>
      </c>
      <c r="K41" s="45"/>
      <c r="L41" s="44">
        <f>N41-$N$7</f>
        <v>46052</v>
      </c>
      <c r="M41" s="45"/>
      <c r="N41" s="44">
        <f>P41-$P$7</f>
        <v>46082</v>
      </c>
      <c r="O41" s="45"/>
      <c r="P41" s="44">
        <f>R41-$R$7</f>
        <v>46092</v>
      </c>
      <c r="Q41" s="45"/>
      <c r="R41" s="44">
        <f>T41-$T$7</f>
        <v>46112</v>
      </c>
      <c r="S41" s="45"/>
      <c r="T41" s="44">
        <f>V41-$V$7</f>
        <v>46119</v>
      </c>
      <c r="U41" s="45"/>
      <c r="V41" s="44">
        <f>X41-$X$7</f>
        <v>46126</v>
      </c>
      <c r="W41" s="45"/>
      <c r="X41" s="44">
        <f t="shared" ref="X41:X42" si="42">AN41</f>
        <v>46131</v>
      </c>
      <c r="Y41" s="45"/>
      <c r="Z41" s="46">
        <f>X41+$Z$7</f>
        <v>46141</v>
      </c>
      <c r="AA41" s="45"/>
      <c r="AB41" s="32">
        <f>IF(AV41="10. Issued to Contractor","-",IF(AV41="11. Subcontract Agreement signed","-",MAX(AN41,AR41)-$C$6))</f>
        <v>19</v>
      </c>
      <c r="AC41" s="16"/>
      <c r="AD41" s="131">
        <f t="shared" ref="AD41:AD42" si="43">SUM($H$7:$Y$7)</f>
        <v>95</v>
      </c>
      <c r="AE41" s="16"/>
      <c r="AF41" s="96"/>
      <c r="AG41" s="72"/>
      <c r="AH41" s="72"/>
      <c r="AI41" s="72"/>
      <c r="AJ41" s="73" t="str">
        <f>IF(AI41&gt;0,SUM(AH41)-SUM(AI41),"")</f>
        <v/>
      </c>
      <c r="AK41" s="101"/>
      <c r="AL41" s="48"/>
      <c r="AM41" s="104"/>
      <c r="AN41" s="74">
        <f>$M$3+AM41-1</f>
        <v>46131</v>
      </c>
      <c r="AO41" s="108">
        <f>AN41-AU41</f>
        <v>-76</v>
      </c>
      <c r="AP41" s="48"/>
      <c r="AQ41" s="110"/>
      <c r="AR41" s="75">
        <f>IFERROR(WORKDAY.INTL(AN41,AQ41,11),"")</f>
        <v>46131</v>
      </c>
      <c r="AS41" s="108">
        <f>AR41-AU41</f>
        <v>-76</v>
      </c>
      <c r="AT41" s="48"/>
      <c r="AU41" s="114">
        <f t="shared" ref="AU41:AU42" si="44">IF(Y41&gt;0,Y41,IFERROR(MAX(_xlfn.XLOOKUP($AV41,$H$8:$Z$8,$G41:$Y41),$C$6)+(AN41-_xlfn.XLOOKUP($AV41,$H$8:$Z$8,$F41:$X41))*AD41/SUM($H$7:$Y$7),$C$6+SUM(AD41)))</f>
        <v>46207</v>
      </c>
      <c r="AV41" s="120" t="str" cm="1">
        <f t="array" ref="AV41">IF(OR(G41&gt;$C$6,G41=""),$F$8,INDEX($E$8:$Z$8,MATCH(TRUE,(F41:AA41=""),0)))</f>
        <v>1. Tender Docs &amp; BOQ</v>
      </c>
      <c r="AW41" s="117" t="b">
        <f>IF(AND(G41&gt;0,G41&lt;$C$6),TRUE,FALSE)</f>
        <v>0</v>
      </c>
      <c r="AX41" s="76" t="b">
        <f>IF(AND(I41&gt;0,I41&lt;$C$6),TRUE,FALSE)</f>
        <v>0</v>
      </c>
      <c r="AY41" s="76" t="b">
        <f>IF(AND(K41&gt;0,K41&lt;$C$6),TRUE,FALSE)</f>
        <v>0</v>
      </c>
      <c r="AZ41" s="76" t="b">
        <f>IF(AND(M41&gt;0,M41&lt;$C$6),TRUE,FALSE)</f>
        <v>0</v>
      </c>
      <c r="BA41" s="76" t="b">
        <f>IF(AND(O41&gt;0,O41&lt;$C$6),TRUE,FALSE)</f>
        <v>0</v>
      </c>
      <c r="BB41" s="76" t="b">
        <f>IF(AND(Q41&gt;0,Q41&lt;$C$6),TRUE,FALSE)</f>
        <v>0</v>
      </c>
      <c r="BC41" s="76" t="b">
        <f>IF(AND(S41&gt;0,S41&lt;$C$6),TRUE,FALSE)</f>
        <v>0</v>
      </c>
      <c r="BD41" s="76" t="b">
        <f>IF(AND(U41&gt;0,U41&lt;$C$6),TRUE,FALSE)</f>
        <v>0</v>
      </c>
      <c r="BE41" s="76" t="b">
        <f>IF(AND(W41&gt;0,W41&lt;$C$6),TRUE,FALSE)</f>
        <v>0</v>
      </c>
      <c r="BF41" s="76" t="b">
        <f>IF(AND(Y41&gt;0,Y41&lt;$C$6),TRUE,FALSE)</f>
        <v>0</v>
      </c>
      <c r="BG41" s="90" t="b">
        <f>IF(AND(AA41&gt;0,AA41&lt;$C$6),TRUE,FALSE)</f>
        <v>0</v>
      </c>
      <c r="BH41" s="48"/>
    </row>
    <row r="42" spans="1:60" ht="26.25" x14ac:dyDescent="0.25">
      <c r="A42" s="56" cm="1">
        <f t="array" ref="A42">SUMPRODUCT(($AV$10:$AV$55&lt;&gt;"")*(ROW($AV$10:$AV$55)&lt;=ROW()))</f>
        <v>27</v>
      </c>
      <c r="B42" s="57"/>
      <c r="C42" s="58"/>
      <c r="D42" s="93"/>
      <c r="E42" s="16"/>
      <c r="F42" s="29">
        <f>H42-$H$7</f>
        <v>46036</v>
      </c>
      <c r="G42" s="42"/>
      <c r="H42" s="29">
        <f>J42-$J$7</f>
        <v>46043</v>
      </c>
      <c r="I42" s="42"/>
      <c r="J42" s="29">
        <f>L42-$L$7</f>
        <v>46049</v>
      </c>
      <c r="K42" s="42"/>
      <c r="L42" s="29">
        <f>N42-$N$7</f>
        <v>46052</v>
      </c>
      <c r="M42" s="42"/>
      <c r="N42" s="29">
        <f>P42-$P$7</f>
        <v>46082</v>
      </c>
      <c r="O42" s="42"/>
      <c r="P42" s="29">
        <f>R42-$R$7</f>
        <v>46092</v>
      </c>
      <c r="Q42" s="42"/>
      <c r="R42" s="29">
        <f>T42-$T$7</f>
        <v>46112</v>
      </c>
      <c r="S42" s="42"/>
      <c r="T42" s="29">
        <f>V42-$V$7</f>
        <v>46119</v>
      </c>
      <c r="U42" s="42"/>
      <c r="V42" s="29">
        <f>X42-$X$7</f>
        <v>46126</v>
      </c>
      <c r="W42" s="42"/>
      <c r="X42" s="29">
        <f t="shared" si="42"/>
        <v>46131</v>
      </c>
      <c r="Y42" s="42"/>
      <c r="Z42" s="30">
        <f>X42+$Z$7</f>
        <v>46141</v>
      </c>
      <c r="AA42" s="42"/>
      <c r="AB42" s="31">
        <f>IF(AV42="10. Issued to Contractor","-",IF(AV42="11. Subcontract Agreement signed","-",MAX(AN42,AR42)-$C$6))</f>
        <v>19</v>
      </c>
      <c r="AC42" s="16"/>
      <c r="AD42" s="131">
        <f t="shared" si="43"/>
        <v>95</v>
      </c>
      <c r="AE42" s="16"/>
      <c r="AF42" s="95"/>
      <c r="AG42" s="67"/>
      <c r="AH42" s="67"/>
      <c r="AI42" s="67"/>
      <c r="AJ42" s="68" t="str">
        <f>IF(AI42&gt;0,SUM(AH42)-SUM(AI42),"")</f>
        <v/>
      </c>
      <c r="AK42" s="102"/>
      <c r="AL42" s="48"/>
      <c r="AM42" s="105"/>
      <c r="AN42" s="69">
        <f>$M$3+AM42-1</f>
        <v>46131</v>
      </c>
      <c r="AO42" s="107">
        <f>AN42-AU42</f>
        <v>-76</v>
      </c>
      <c r="AP42" s="48"/>
      <c r="AQ42" s="111"/>
      <c r="AR42" s="70">
        <f>IFERROR(WORKDAY.INTL(AN42,AQ42,11),"")</f>
        <v>46131</v>
      </c>
      <c r="AS42" s="107">
        <f>AR42-AU42</f>
        <v>-76</v>
      </c>
      <c r="AT42" s="48"/>
      <c r="AU42" s="113">
        <f t="shared" si="44"/>
        <v>46207</v>
      </c>
      <c r="AV42" s="119" t="str" cm="1">
        <f t="array" ref="AV42">IF(OR(G42&gt;$C$6,G42=""),$F$8,INDEX($E$8:$Z$8,MATCH(TRUE,(F42:AA42=""),0)))</f>
        <v>1. Tender Docs &amp; BOQ</v>
      </c>
      <c r="AW42" s="116" t="b">
        <f>IF(AND(G42&gt;0,G42&lt;$C$6),TRUE,FALSE)</f>
        <v>0</v>
      </c>
      <c r="AX42" s="71" t="b">
        <f>IF(AND(I42&gt;0,I42&lt;$C$6),TRUE,FALSE)</f>
        <v>0</v>
      </c>
      <c r="AY42" s="71" t="b">
        <f>IF(AND(K42&gt;0,K42&lt;$C$6),TRUE,FALSE)</f>
        <v>0</v>
      </c>
      <c r="AZ42" s="71" t="b">
        <f>IF(AND(M42&gt;0,M42&lt;$C$6),TRUE,FALSE)</f>
        <v>0</v>
      </c>
      <c r="BA42" s="71" t="b">
        <f>IF(AND(O42&gt;0,O42&lt;$C$6),TRUE,FALSE)</f>
        <v>0</v>
      </c>
      <c r="BB42" s="71" t="b">
        <f>IF(AND(Q42&gt;0,Q42&lt;$C$6),TRUE,FALSE)</f>
        <v>0</v>
      </c>
      <c r="BC42" s="71" t="b">
        <f>IF(AND(S42&gt;0,S42&lt;$C$6),TRUE,FALSE)</f>
        <v>0</v>
      </c>
      <c r="BD42" s="71" t="b">
        <f>IF(AND(U42&gt;0,U42&lt;$C$6),TRUE,FALSE)</f>
        <v>0</v>
      </c>
      <c r="BE42" s="71" t="b">
        <f>IF(AND(W42&gt;0,W42&lt;$C$6),TRUE,FALSE)</f>
        <v>0</v>
      </c>
      <c r="BF42" s="71" t="b">
        <f>IF(AND(Y42&gt;0,Y42&lt;$C$6),TRUE,FALSE)</f>
        <v>0</v>
      </c>
      <c r="BG42" s="89" t="b">
        <f>IF(AND(AA42&gt;0,AA42&lt;$C$6),TRUE,FALSE)</f>
        <v>0</v>
      </c>
      <c r="BH42" s="48"/>
    </row>
    <row r="43" spans="1:60" ht="26.25" x14ac:dyDescent="0.25">
      <c r="A43" s="54"/>
      <c r="B43" s="49"/>
      <c r="C43" s="50" t="s">
        <v>163</v>
      </c>
      <c r="D43" s="51"/>
      <c r="E43" s="51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1"/>
      <c r="AC43" s="51"/>
      <c r="AD43" s="132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88"/>
      <c r="BH43" s="48"/>
    </row>
    <row r="44" spans="1:60" ht="26.25" x14ac:dyDescent="0.25">
      <c r="A44" s="56" cm="1">
        <f t="array" ref="A44">SUMPRODUCT(($AV$10:$AV$55&lt;&gt;"")*(ROW($AV$10:$AV$55)&lt;=ROW()))</f>
        <v>28</v>
      </c>
      <c r="B44" s="59"/>
      <c r="C44" s="60"/>
      <c r="D44" s="59"/>
      <c r="E44" s="43"/>
      <c r="F44" s="44">
        <f t="shared" ref="F44:F55" si="45">H44-$H$7</f>
        <v>46036</v>
      </c>
      <c r="G44" s="45"/>
      <c r="H44" s="44">
        <f t="shared" ref="H44:H55" si="46">J44-$J$7</f>
        <v>46043</v>
      </c>
      <c r="I44" s="45"/>
      <c r="J44" s="44">
        <f t="shared" ref="J44:J55" si="47">L44-$L$7</f>
        <v>46049</v>
      </c>
      <c r="K44" s="45"/>
      <c r="L44" s="44">
        <f t="shared" ref="L44:L55" si="48">N44-$N$7</f>
        <v>46052</v>
      </c>
      <c r="M44" s="45"/>
      <c r="N44" s="44">
        <f t="shared" ref="N44:N55" si="49">P44-$P$7</f>
        <v>46082</v>
      </c>
      <c r="O44" s="45"/>
      <c r="P44" s="44">
        <f t="shared" ref="P44:P55" si="50">R44-$R$7</f>
        <v>46092</v>
      </c>
      <c r="Q44" s="45"/>
      <c r="R44" s="44">
        <f t="shared" ref="R44:R55" si="51">T44-$T$7</f>
        <v>46112</v>
      </c>
      <c r="S44" s="45"/>
      <c r="T44" s="44">
        <f t="shared" ref="T44:T55" si="52">V44-$V$7</f>
        <v>46119</v>
      </c>
      <c r="U44" s="45"/>
      <c r="V44" s="44">
        <f t="shared" ref="V44:V55" si="53">X44-$X$7</f>
        <v>46126</v>
      </c>
      <c r="W44" s="45"/>
      <c r="X44" s="44">
        <f t="shared" ref="X44:X55" si="54">AN44</f>
        <v>46131</v>
      </c>
      <c r="Y44" s="45"/>
      <c r="Z44" s="46">
        <f t="shared" ref="Z44:Z55" si="55">X44+$Z$7</f>
        <v>46141</v>
      </c>
      <c r="AA44" s="45"/>
      <c r="AB44" s="32">
        <f t="shared" ref="AB44:AB55" si="56">IF(AV44="10. Issued to Contractor","-",IF(AV44="11. Subcontract Agreement signed","-",MAX(AN44,AR44)-$C$6))</f>
        <v>19</v>
      </c>
      <c r="AC44" s="16"/>
      <c r="AD44" s="131">
        <f t="shared" ref="AD44:AD55" si="57">SUM($H$7:$Y$7)</f>
        <v>95</v>
      </c>
      <c r="AE44" s="16"/>
      <c r="AF44" s="96"/>
      <c r="AG44" s="72"/>
      <c r="AH44" s="72"/>
      <c r="AI44" s="72"/>
      <c r="AJ44" s="73" t="str">
        <f t="shared" ref="AJ44:AJ55" si="58">IF(AI44&gt;0,SUM(AH44)-SUM(AI44),"")</f>
        <v/>
      </c>
      <c r="AK44" s="101"/>
      <c r="AL44" s="48"/>
      <c r="AM44" s="104"/>
      <c r="AN44" s="74">
        <f t="shared" ref="AN44:AN55" si="59">$M$3+AM44-1</f>
        <v>46131</v>
      </c>
      <c r="AO44" s="108">
        <f t="shared" ref="AO44:AO46" si="60">AN44-AU44</f>
        <v>-76</v>
      </c>
      <c r="AP44" s="48"/>
      <c r="AQ44" s="110"/>
      <c r="AR44" s="75">
        <f t="shared" ref="AR44:AR46" si="61">IFERROR(WORKDAY.INTL(AN44,AQ44,11),"")</f>
        <v>46131</v>
      </c>
      <c r="AS44" s="108">
        <f t="shared" ref="AS44:AS46" si="62">AR44-AU44</f>
        <v>-76</v>
      </c>
      <c r="AT44" s="48"/>
      <c r="AU44" s="114">
        <f t="shared" ref="AU44:AU55" si="63">IF(Y44&gt;0,Y44,IFERROR(MAX(_xlfn.XLOOKUP($AV44,$H$8:$Z$8,$G44:$Y44),$C$6)+(AN44-_xlfn.XLOOKUP($AV44,$H$8:$Z$8,$F44:$X44))*AD44/SUM($H$7:$Y$7),$C$6+SUM(AD44)))</f>
        <v>46207</v>
      </c>
      <c r="AV44" s="120" t="str" cm="1">
        <f t="array" ref="AV44">IF(OR(G44&gt;$C$6,G44=""),$F$8,INDEX($E$8:$Z$8,MATCH(TRUE,(F44:AA44=""),0)))</f>
        <v>1. Tender Docs &amp; BOQ</v>
      </c>
      <c r="AW44" s="117" t="b">
        <f t="shared" ref="AW44:AW55" si="64">IF(AND(G44&gt;0,G44&lt;$C$6),TRUE,FALSE)</f>
        <v>0</v>
      </c>
      <c r="AX44" s="76" t="b">
        <f t="shared" ref="AX44:AX55" si="65">IF(AND(I44&gt;0,I44&lt;$C$6),TRUE,FALSE)</f>
        <v>0</v>
      </c>
      <c r="AY44" s="76" t="b">
        <f t="shared" ref="AY44:AY55" si="66">IF(AND(K44&gt;0,K44&lt;$C$6),TRUE,FALSE)</f>
        <v>0</v>
      </c>
      <c r="AZ44" s="76" t="b">
        <f t="shared" ref="AZ44:AZ55" si="67">IF(AND(M44&gt;0,M44&lt;$C$6),TRUE,FALSE)</f>
        <v>0</v>
      </c>
      <c r="BA44" s="76" t="b">
        <f t="shared" ref="BA44:BA55" si="68">IF(AND(O44&gt;0,O44&lt;$C$6),TRUE,FALSE)</f>
        <v>0</v>
      </c>
      <c r="BB44" s="76" t="b">
        <f t="shared" ref="BB44:BB55" si="69">IF(AND(Q44&gt;0,Q44&lt;$C$6),TRUE,FALSE)</f>
        <v>0</v>
      </c>
      <c r="BC44" s="76" t="b">
        <f t="shared" ref="BC44:BC55" si="70">IF(AND(S44&gt;0,S44&lt;$C$6),TRUE,FALSE)</f>
        <v>0</v>
      </c>
      <c r="BD44" s="76" t="b">
        <f t="shared" ref="BD44:BD55" si="71">IF(AND(U44&gt;0,U44&lt;$C$6),TRUE,FALSE)</f>
        <v>0</v>
      </c>
      <c r="BE44" s="76" t="b">
        <f t="shared" ref="BE44:BE55" si="72">IF(AND(W44&gt;0,W44&lt;$C$6),TRUE,FALSE)</f>
        <v>0</v>
      </c>
      <c r="BF44" s="76" t="b">
        <f t="shared" ref="BF44:BF55" si="73">IF(AND(Y44&gt;0,Y44&lt;$C$6),TRUE,FALSE)</f>
        <v>0</v>
      </c>
      <c r="BG44" s="90" t="b">
        <f t="shared" ref="BG44:BG55" si="74">IF(AND(AA44&gt;0,AA44&lt;$C$6),TRUE,FALSE)</f>
        <v>0</v>
      </c>
      <c r="BH44" s="48"/>
    </row>
    <row r="45" spans="1:60" ht="26.25" x14ac:dyDescent="0.25">
      <c r="A45" s="56" cm="1">
        <f t="array" ref="A45">SUMPRODUCT(($AV$10:$AV$55&lt;&gt;"")*(ROW($AV$10:$AV$55)&lt;=ROW()))</f>
        <v>29</v>
      </c>
      <c r="B45" s="57"/>
      <c r="C45" s="58"/>
      <c r="D45" s="93"/>
      <c r="E45" s="16"/>
      <c r="F45" s="29">
        <f t="shared" si="45"/>
        <v>46036</v>
      </c>
      <c r="G45" s="42"/>
      <c r="H45" s="29">
        <f t="shared" si="46"/>
        <v>46043</v>
      </c>
      <c r="I45" s="42"/>
      <c r="J45" s="29">
        <f t="shared" si="47"/>
        <v>46049</v>
      </c>
      <c r="K45" s="42"/>
      <c r="L45" s="29">
        <f t="shared" si="48"/>
        <v>46052</v>
      </c>
      <c r="M45" s="42"/>
      <c r="N45" s="29">
        <f t="shared" si="49"/>
        <v>46082</v>
      </c>
      <c r="O45" s="42"/>
      <c r="P45" s="29">
        <f t="shared" si="50"/>
        <v>46092</v>
      </c>
      <c r="Q45" s="42"/>
      <c r="R45" s="29">
        <f t="shared" si="51"/>
        <v>46112</v>
      </c>
      <c r="S45" s="42"/>
      <c r="T45" s="29">
        <f t="shared" si="52"/>
        <v>46119</v>
      </c>
      <c r="U45" s="42"/>
      <c r="V45" s="29">
        <f t="shared" si="53"/>
        <v>46126</v>
      </c>
      <c r="W45" s="42"/>
      <c r="X45" s="29">
        <f t="shared" si="54"/>
        <v>46131</v>
      </c>
      <c r="Y45" s="42"/>
      <c r="Z45" s="30">
        <f t="shared" si="55"/>
        <v>46141</v>
      </c>
      <c r="AA45" s="42"/>
      <c r="AB45" s="31">
        <f t="shared" si="56"/>
        <v>19</v>
      </c>
      <c r="AC45" s="16"/>
      <c r="AD45" s="131">
        <f t="shared" si="57"/>
        <v>95</v>
      </c>
      <c r="AE45" s="16"/>
      <c r="AF45" s="95"/>
      <c r="AG45" s="67"/>
      <c r="AH45" s="67"/>
      <c r="AI45" s="67"/>
      <c r="AJ45" s="68" t="str">
        <f t="shared" si="58"/>
        <v/>
      </c>
      <c r="AK45" s="102"/>
      <c r="AL45" s="48"/>
      <c r="AM45" s="105"/>
      <c r="AN45" s="69">
        <f t="shared" si="59"/>
        <v>46131</v>
      </c>
      <c r="AO45" s="107">
        <f t="shared" si="60"/>
        <v>-76</v>
      </c>
      <c r="AP45" s="48"/>
      <c r="AQ45" s="111"/>
      <c r="AR45" s="70">
        <f t="shared" si="61"/>
        <v>46131</v>
      </c>
      <c r="AS45" s="107">
        <f t="shared" si="62"/>
        <v>-76</v>
      </c>
      <c r="AT45" s="48"/>
      <c r="AU45" s="113">
        <f t="shared" si="63"/>
        <v>46207</v>
      </c>
      <c r="AV45" s="119" t="str" cm="1">
        <f t="array" ref="AV45">IF(OR(G45&gt;$C$6,G45=""),$F$8,INDEX($E$8:$Z$8,MATCH(TRUE,(F45:AA45=""),0)))</f>
        <v>1. Tender Docs &amp; BOQ</v>
      </c>
      <c r="AW45" s="116" t="b">
        <f t="shared" si="64"/>
        <v>0</v>
      </c>
      <c r="AX45" s="71" t="b">
        <f t="shared" si="65"/>
        <v>0</v>
      </c>
      <c r="AY45" s="71" t="b">
        <f t="shared" si="66"/>
        <v>0</v>
      </c>
      <c r="AZ45" s="71" t="b">
        <f t="shared" si="67"/>
        <v>0</v>
      </c>
      <c r="BA45" s="71" t="b">
        <f t="shared" si="68"/>
        <v>0</v>
      </c>
      <c r="BB45" s="71" t="b">
        <f t="shared" si="69"/>
        <v>0</v>
      </c>
      <c r="BC45" s="71" t="b">
        <f t="shared" si="70"/>
        <v>0</v>
      </c>
      <c r="BD45" s="71" t="b">
        <f t="shared" si="71"/>
        <v>0</v>
      </c>
      <c r="BE45" s="71" t="b">
        <f t="shared" si="72"/>
        <v>0</v>
      </c>
      <c r="BF45" s="71" t="b">
        <f t="shared" si="73"/>
        <v>0</v>
      </c>
      <c r="BG45" s="89" t="b">
        <f t="shared" si="74"/>
        <v>0</v>
      </c>
      <c r="BH45" s="48"/>
    </row>
    <row r="46" spans="1:60" ht="26.25" x14ac:dyDescent="0.25">
      <c r="A46" s="56" cm="1">
        <f t="array" ref="A46">SUMPRODUCT(($AV$10:$AV$55&lt;&gt;"")*(ROW($AV$10:$AV$55)&lt;=ROW()))</f>
        <v>30</v>
      </c>
      <c r="B46" s="59"/>
      <c r="C46" s="60"/>
      <c r="D46" s="59"/>
      <c r="E46" s="43"/>
      <c r="F46" s="44">
        <f t="shared" si="45"/>
        <v>46036</v>
      </c>
      <c r="G46" s="45"/>
      <c r="H46" s="44">
        <f t="shared" si="46"/>
        <v>46043</v>
      </c>
      <c r="I46" s="45"/>
      <c r="J46" s="44">
        <f t="shared" si="47"/>
        <v>46049</v>
      </c>
      <c r="K46" s="45"/>
      <c r="L46" s="44">
        <f t="shared" si="48"/>
        <v>46052</v>
      </c>
      <c r="M46" s="45"/>
      <c r="N46" s="44">
        <f t="shared" si="49"/>
        <v>46082</v>
      </c>
      <c r="O46" s="45"/>
      <c r="P46" s="44">
        <f t="shared" si="50"/>
        <v>46092</v>
      </c>
      <c r="Q46" s="45"/>
      <c r="R46" s="44">
        <f t="shared" si="51"/>
        <v>46112</v>
      </c>
      <c r="S46" s="45"/>
      <c r="T46" s="44">
        <f t="shared" si="52"/>
        <v>46119</v>
      </c>
      <c r="U46" s="45"/>
      <c r="V46" s="44">
        <f t="shared" si="53"/>
        <v>46126</v>
      </c>
      <c r="W46" s="45"/>
      <c r="X46" s="44">
        <f t="shared" si="54"/>
        <v>46131</v>
      </c>
      <c r="Y46" s="45"/>
      <c r="Z46" s="46">
        <f t="shared" si="55"/>
        <v>46141</v>
      </c>
      <c r="AA46" s="45"/>
      <c r="AB46" s="32">
        <f t="shared" si="56"/>
        <v>19</v>
      </c>
      <c r="AC46" s="16"/>
      <c r="AD46" s="131">
        <f t="shared" si="57"/>
        <v>95</v>
      </c>
      <c r="AE46" s="16"/>
      <c r="AF46" s="96"/>
      <c r="AG46" s="72"/>
      <c r="AH46" s="72"/>
      <c r="AI46" s="72"/>
      <c r="AJ46" s="73" t="str">
        <f t="shared" si="58"/>
        <v/>
      </c>
      <c r="AK46" s="101"/>
      <c r="AL46" s="48"/>
      <c r="AM46" s="104"/>
      <c r="AN46" s="74">
        <f t="shared" si="59"/>
        <v>46131</v>
      </c>
      <c r="AO46" s="108">
        <f t="shared" si="60"/>
        <v>-76</v>
      </c>
      <c r="AP46" s="48"/>
      <c r="AQ46" s="110"/>
      <c r="AR46" s="75">
        <f t="shared" si="61"/>
        <v>46131</v>
      </c>
      <c r="AS46" s="108">
        <f t="shared" si="62"/>
        <v>-76</v>
      </c>
      <c r="AT46" s="48"/>
      <c r="AU46" s="114">
        <f t="shared" si="63"/>
        <v>46207</v>
      </c>
      <c r="AV46" s="120" t="str" cm="1">
        <f t="array" ref="AV46">IF(OR(G46&gt;$C$6,G46=""),$F$8,INDEX($E$8:$Z$8,MATCH(TRUE,(F46:AA46=""),0)))</f>
        <v>1. Tender Docs &amp; BOQ</v>
      </c>
      <c r="AW46" s="117" t="b">
        <f t="shared" si="64"/>
        <v>0</v>
      </c>
      <c r="AX46" s="76" t="b">
        <f t="shared" si="65"/>
        <v>0</v>
      </c>
      <c r="AY46" s="76" t="b">
        <f t="shared" si="66"/>
        <v>0</v>
      </c>
      <c r="AZ46" s="76" t="b">
        <f t="shared" si="67"/>
        <v>0</v>
      </c>
      <c r="BA46" s="76" t="b">
        <f t="shared" si="68"/>
        <v>0</v>
      </c>
      <c r="BB46" s="76" t="b">
        <f t="shared" si="69"/>
        <v>0</v>
      </c>
      <c r="BC46" s="76" t="b">
        <f t="shared" si="70"/>
        <v>0</v>
      </c>
      <c r="BD46" s="76" t="b">
        <f t="shared" si="71"/>
        <v>0</v>
      </c>
      <c r="BE46" s="76" t="b">
        <f t="shared" si="72"/>
        <v>0</v>
      </c>
      <c r="BF46" s="76" t="b">
        <f t="shared" si="73"/>
        <v>0</v>
      </c>
      <c r="BG46" s="90" t="b">
        <f t="shared" si="74"/>
        <v>0</v>
      </c>
      <c r="BH46" s="48"/>
    </row>
    <row r="47" spans="1:60" ht="26.25" x14ac:dyDescent="0.25">
      <c r="A47" s="56" cm="1">
        <f t="array" ref="A47">SUMPRODUCT(($AV$10:$AV$55&lt;&gt;"")*(ROW($AV$10:$AV$55)&lt;=ROW()))</f>
        <v>31</v>
      </c>
      <c r="B47" s="57"/>
      <c r="C47" s="58"/>
      <c r="D47" s="93"/>
      <c r="E47" s="16"/>
      <c r="F47" s="29">
        <f t="shared" si="45"/>
        <v>46036</v>
      </c>
      <c r="G47" s="42"/>
      <c r="H47" s="29">
        <f t="shared" si="46"/>
        <v>46043</v>
      </c>
      <c r="I47" s="42"/>
      <c r="J47" s="29">
        <f t="shared" si="47"/>
        <v>46049</v>
      </c>
      <c r="K47" s="42"/>
      <c r="L47" s="29">
        <f t="shared" si="48"/>
        <v>46052</v>
      </c>
      <c r="M47" s="42"/>
      <c r="N47" s="29">
        <f t="shared" si="49"/>
        <v>46082</v>
      </c>
      <c r="O47" s="42"/>
      <c r="P47" s="29">
        <f t="shared" si="50"/>
        <v>46092</v>
      </c>
      <c r="Q47" s="42"/>
      <c r="R47" s="29">
        <f t="shared" si="51"/>
        <v>46112</v>
      </c>
      <c r="S47" s="42"/>
      <c r="T47" s="29">
        <f t="shared" si="52"/>
        <v>46119</v>
      </c>
      <c r="U47" s="42"/>
      <c r="V47" s="29">
        <f t="shared" si="53"/>
        <v>46126</v>
      </c>
      <c r="W47" s="42"/>
      <c r="X47" s="29">
        <f t="shared" si="54"/>
        <v>46131</v>
      </c>
      <c r="Y47" s="42"/>
      <c r="Z47" s="30">
        <f t="shared" si="55"/>
        <v>46141</v>
      </c>
      <c r="AA47" s="42"/>
      <c r="AB47" s="31">
        <f t="shared" si="56"/>
        <v>19</v>
      </c>
      <c r="AC47" s="16"/>
      <c r="AD47" s="131">
        <f t="shared" si="57"/>
        <v>95</v>
      </c>
      <c r="AE47" s="16"/>
      <c r="AF47" s="95"/>
      <c r="AG47" s="67"/>
      <c r="AH47" s="67"/>
      <c r="AI47" s="67"/>
      <c r="AJ47" s="68" t="str">
        <f t="shared" si="58"/>
        <v/>
      </c>
      <c r="AK47" s="102"/>
      <c r="AL47" s="48"/>
      <c r="AM47" s="105"/>
      <c r="AN47" s="69">
        <f t="shared" si="59"/>
        <v>46131</v>
      </c>
      <c r="AO47" s="107">
        <f>AN47-AU47</f>
        <v>-76</v>
      </c>
      <c r="AP47" s="48"/>
      <c r="AQ47" s="111"/>
      <c r="AR47" s="70">
        <f>IFERROR(WORKDAY.INTL(AN47,AQ47,11),"")</f>
        <v>46131</v>
      </c>
      <c r="AS47" s="107">
        <f>AR47-AU47</f>
        <v>-76</v>
      </c>
      <c r="AT47" s="48"/>
      <c r="AU47" s="113">
        <f t="shared" si="63"/>
        <v>46207</v>
      </c>
      <c r="AV47" s="119" t="str" cm="1">
        <f t="array" ref="AV47">IF(OR(G47&gt;$C$6,G47=""),$F$8,INDEX($E$8:$Z$8,MATCH(TRUE,(F47:AA47=""),0)))</f>
        <v>1. Tender Docs &amp; BOQ</v>
      </c>
      <c r="AW47" s="116" t="b">
        <f t="shared" si="64"/>
        <v>0</v>
      </c>
      <c r="AX47" s="71" t="b">
        <f t="shared" si="65"/>
        <v>0</v>
      </c>
      <c r="AY47" s="71" t="b">
        <f t="shared" si="66"/>
        <v>0</v>
      </c>
      <c r="AZ47" s="71" t="b">
        <f t="shared" si="67"/>
        <v>0</v>
      </c>
      <c r="BA47" s="71" t="b">
        <f t="shared" si="68"/>
        <v>0</v>
      </c>
      <c r="BB47" s="71" t="b">
        <f t="shared" si="69"/>
        <v>0</v>
      </c>
      <c r="BC47" s="71" t="b">
        <f t="shared" si="70"/>
        <v>0</v>
      </c>
      <c r="BD47" s="71" t="b">
        <f t="shared" si="71"/>
        <v>0</v>
      </c>
      <c r="BE47" s="71" t="b">
        <f t="shared" si="72"/>
        <v>0</v>
      </c>
      <c r="BF47" s="71" t="b">
        <f t="shared" si="73"/>
        <v>0</v>
      </c>
      <c r="BG47" s="89" t="b">
        <f t="shared" si="74"/>
        <v>0</v>
      </c>
      <c r="BH47" s="48"/>
    </row>
    <row r="48" spans="1:60" ht="26.25" x14ac:dyDescent="0.25">
      <c r="A48" s="56" cm="1">
        <f t="array" ref="A48">SUMPRODUCT(($AV$10:$AV$55&lt;&gt;"")*(ROW($AV$10:$AV$55)&lt;=ROW()))</f>
        <v>32</v>
      </c>
      <c r="B48" s="59"/>
      <c r="C48" s="60"/>
      <c r="D48" s="59"/>
      <c r="E48" s="43"/>
      <c r="F48" s="44">
        <f t="shared" si="45"/>
        <v>46036</v>
      </c>
      <c r="G48" s="45"/>
      <c r="H48" s="44">
        <f t="shared" si="46"/>
        <v>46043</v>
      </c>
      <c r="I48" s="45"/>
      <c r="J48" s="44">
        <f t="shared" si="47"/>
        <v>46049</v>
      </c>
      <c r="K48" s="45"/>
      <c r="L48" s="44">
        <f t="shared" si="48"/>
        <v>46052</v>
      </c>
      <c r="M48" s="45"/>
      <c r="N48" s="44">
        <f t="shared" si="49"/>
        <v>46082</v>
      </c>
      <c r="O48" s="45"/>
      <c r="P48" s="44">
        <f t="shared" si="50"/>
        <v>46092</v>
      </c>
      <c r="Q48" s="45"/>
      <c r="R48" s="44">
        <f t="shared" si="51"/>
        <v>46112</v>
      </c>
      <c r="S48" s="45"/>
      <c r="T48" s="44">
        <f t="shared" si="52"/>
        <v>46119</v>
      </c>
      <c r="U48" s="45"/>
      <c r="V48" s="44">
        <f t="shared" si="53"/>
        <v>46126</v>
      </c>
      <c r="W48" s="45"/>
      <c r="X48" s="44">
        <f t="shared" si="54"/>
        <v>46131</v>
      </c>
      <c r="Y48" s="45"/>
      <c r="Z48" s="46">
        <f t="shared" si="55"/>
        <v>46141</v>
      </c>
      <c r="AA48" s="45"/>
      <c r="AB48" s="32">
        <f t="shared" si="56"/>
        <v>19</v>
      </c>
      <c r="AC48" s="16"/>
      <c r="AD48" s="131">
        <f t="shared" si="57"/>
        <v>95</v>
      </c>
      <c r="AE48" s="16"/>
      <c r="AF48" s="96"/>
      <c r="AG48" s="72"/>
      <c r="AH48" s="72"/>
      <c r="AI48" s="72"/>
      <c r="AJ48" s="73" t="str">
        <f t="shared" si="58"/>
        <v/>
      </c>
      <c r="AK48" s="101"/>
      <c r="AL48" s="48"/>
      <c r="AM48" s="104"/>
      <c r="AN48" s="74">
        <f t="shared" si="59"/>
        <v>46131</v>
      </c>
      <c r="AO48" s="108">
        <f t="shared" ref="AO48:AO55" si="75">AN48-AU48</f>
        <v>-76</v>
      </c>
      <c r="AP48" s="48"/>
      <c r="AQ48" s="110"/>
      <c r="AR48" s="75">
        <f t="shared" ref="AR48:AR55" si="76">IFERROR(WORKDAY.INTL(AN48,AQ48,11),"")</f>
        <v>46131</v>
      </c>
      <c r="AS48" s="108">
        <f t="shared" ref="AS48:AS55" si="77">AR48-AU48</f>
        <v>-76</v>
      </c>
      <c r="AT48" s="48"/>
      <c r="AU48" s="114">
        <f t="shared" si="63"/>
        <v>46207</v>
      </c>
      <c r="AV48" s="120" t="str" cm="1">
        <f t="array" ref="AV48">IF(OR(G48&gt;$C$6,G48=""),$F$8,INDEX($E$8:$Z$8,MATCH(TRUE,(F48:AA48=""),0)))</f>
        <v>1. Tender Docs &amp; BOQ</v>
      </c>
      <c r="AW48" s="117" t="b">
        <f t="shared" si="64"/>
        <v>0</v>
      </c>
      <c r="AX48" s="76" t="b">
        <f t="shared" si="65"/>
        <v>0</v>
      </c>
      <c r="AY48" s="76" t="b">
        <f t="shared" si="66"/>
        <v>0</v>
      </c>
      <c r="AZ48" s="76" t="b">
        <f t="shared" si="67"/>
        <v>0</v>
      </c>
      <c r="BA48" s="76" t="b">
        <f t="shared" si="68"/>
        <v>0</v>
      </c>
      <c r="BB48" s="76" t="b">
        <f t="shared" si="69"/>
        <v>0</v>
      </c>
      <c r="BC48" s="76" t="b">
        <f t="shared" si="70"/>
        <v>0</v>
      </c>
      <c r="BD48" s="76" t="b">
        <f t="shared" si="71"/>
        <v>0</v>
      </c>
      <c r="BE48" s="76" t="b">
        <f t="shared" si="72"/>
        <v>0</v>
      </c>
      <c r="BF48" s="76" t="b">
        <f t="shared" si="73"/>
        <v>0</v>
      </c>
      <c r="BG48" s="90" t="b">
        <f t="shared" si="74"/>
        <v>0</v>
      </c>
      <c r="BH48" s="48"/>
    </row>
    <row r="49" spans="1:60" ht="26.25" x14ac:dyDescent="0.25">
      <c r="A49" s="56" cm="1">
        <f t="array" ref="A49">SUMPRODUCT(($AV$10:$AV$55&lt;&gt;"")*(ROW($AV$10:$AV$55)&lt;=ROW()))</f>
        <v>33</v>
      </c>
      <c r="B49" s="57"/>
      <c r="C49" s="58"/>
      <c r="D49" s="93"/>
      <c r="E49" s="16"/>
      <c r="F49" s="29">
        <f t="shared" si="45"/>
        <v>46036</v>
      </c>
      <c r="G49" s="42"/>
      <c r="H49" s="29">
        <f t="shared" si="46"/>
        <v>46043</v>
      </c>
      <c r="I49" s="42"/>
      <c r="J49" s="29">
        <f t="shared" si="47"/>
        <v>46049</v>
      </c>
      <c r="K49" s="42"/>
      <c r="L49" s="29">
        <f t="shared" si="48"/>
        <v>46052</v>
      </c>
      <c r="M49" s="42"/>
      <c r="N49" s="29">
        <f t="shared" si="49"/>
        <v>46082</v>
      </c>
      <c r="O49" s="42"/>
      <c r="P49" s="29">
        <f t="shared" si="50"/>
        <v>46092</v>
      </c>
      <c r="Q49" s="42"/>
      <c r="R49" s="29">
        <f t="shared" si="51"/>
        <v>46112</v>
      </c>
      <c r="S49" s="42"/>
      <c r="T49" s="29">
        <f t="shared" si="52"/>
        <v>46119</v>
      </c>
      <c r="U49" s="42"/>
      <c r="V49" s="29">
        <f t="shared" si="53"/>
        <v>46126</v>
      </c>
      <c r="W49" s="42"/>
      <c r="X49" s="29">
        <f t="shared" si="54"/>
        <v>46131</v>
      </c>
      <c r="Y49" s="42"/>
      <c r="Z49" s="30">
        <f t="shared" si="55"/>
        <v>46141</v>
      </c>
      <c r="AA49" s="42"/>
      <c r="AB49" s="31">
        <f t="shared" si="56"/>
        <v>19</v>
      </c>
      <c r="AC49" s="16"/>
      <c r="AD49" s="131">
        <f t="shared" si="57"/>
        <v>95</v>
      </c>
      <c r="AE49" s="16"/>
      <c r="AF49" s="95"/>
      <c r="AG49" s="67"/>
      <c r="AH49" s="67"/>
      <c r="AI49" s="67"/>
      <c r="AJ49" s="68" t="str">
        <f t="shared" si="58"/>
        <v/>
      </c>
      <c r="AK49" s="102"/>
      <c r="AL49" s="48"/>
      <c r="AM49" s="105"/>
      <c r="AN49" s="69">
        <f t="shared" si="59"/>
        <v>46131</v>
      </c>
      <c r="AO49" s="107">
        <f t="shared" si="75"/>
        <v>-76</v>
      </c>
      <c r="AP49" s="48"/>
      <c r="AQ49" s="111"/>
      <c r="AR49" s="70">
        <f t="shared" si="76"/>
        <v>46131</v>
      </c>
      <c r="AS49" s="107">
        <f t="shared" si="77"/>
        <v>-76</v>
      </c>
      <c r="AT49" s="48"/>
      <c r="AU49" s="113">
        <f t="shared" si="63"/>
        <v>46207</v>
      </c>
      <c r="AV49" s="119" t="str" cm="1">
        <f t="array" ref="AV49">IF(OR(G49&gt;$C$6,G49=""),$F$8,INDEX($E$8:$Z$8,MATCH(TRUE,(F49:AA49=""),0)))</f>
        <v>1. Tender Docs &amp; BOQ</v>
      </c>
      <c r="AW49" s="116" t="b">
        <f t="shared" si="64"/>
        <v>0</v>
      </c>
      <c r="AX49" s="71" t="b">
        <f t="shared" si="65"/>
        <v>0</v>
      </c>
      <c r="AY49" s="71" t="b">
        <f t="shared" si="66"/>
        <v>0</v>
      </c>
      <c r="AZ49" s="71" t="b">
        <f t="shared" si="67"/>
        <v>0</v>
      </c>
      <c r="BA49" s="71" t="b">
        <f t="shared" si="68"/>
        <v>0</v>
      </c>
      <c r="BB49" s="71" t="b">
        <f t="shared" si="69"/>
        <v>0</v>
      </c>
      <c r="BC49" s="71" t="b">
        <f t="shared" si="70"/>
        <v>0</v>
      </c>
      <c r="BD49" s="71" t="b">
        <f t="shared" si="71"/>
        <v>0</v>
      </c>
      <c r="BE49" s="71" t="b">
        <f t="shared" si="72"/>
        <v>0</v>
      </c>
      <c r="BF49" s="71" t="b">
        <f t="shared" si="73"/>
        <v>0</v>
      </c>
      <c r="BG49" s="89" t="b">
        <f t="shared" si="74"/>
        <v>0</v>
      </c>
      <c r="BH49" s="48"/>
    </row>
    <row r="50" spans="1:60" ht="26.25" x14ac:dyDescent="0.25">
      <c r="A50" s="56" cm="1">
        <f t="array" ref="A50">SUMPRODUCT(($AV$10:$AV$55&lt;&gt;"")*(ROW($AV$10:$AV$55)&lt;=ROW()))</f>
        <v>34</v>
      </c>
      <c r="B50" s="59"/>
      <c r="C50" s="60"/>
      <c r="D50" s="59"/>
      <c r="E50" s="43"/>
      <c r="F50" s="44">
        <f t="shared" si="45"/>
        <v>46036</v>
      </c>
      <c r="G50" s="45"/>
      <c r="H50" s="44">
        <f t="shared" si="46"/>
        <v>46043</v>
      </c>
      <c r="I50" s="45"/>
      <c r="J50" s="44">
        <f t="shared" si="47"/>
        <v>46049</v>
      </c>
      <c r="K50" s="45"/>
      <c r="L50" s="44">
        <f t="shared" si="48"/>
        <v>46052</v>
      </c>
      <c r="M50" s="45"/>
      <c r="N50" s="44">
        <f t="shared" si="49"/>
        <v>46082</v>
      </c>
      <c r="O50" s="45"/>
      <c r="P50" s="44">
        <f t="shared" si="50"/>
        <v>46092</v>
      </c>
      <c r="Q50" s="45"/>
      <c r="R50" s="44">
        <f t="shared" si="51"/>
        <v>46112</v>
      </c>
      <c r="S50" s="45"/>
      <c r="T50" s="44">
        <f t="shared" si="52"/>
        <v>46119</v>
      </c>
      <c r="U50" s="45"/>
      <c r="V50" s="44">
        <f t="shared" si="53"/>
        <v>46126</v>
      </c>
      <c r="W50" s="45"/>
      <c r="X50" s="44">
        <f t="shared" si="54"/>
        <v>46131</v>
      </c>
      <c r="Y50" s="45"/>
      <c r="Z50" s="46">
        <f t="shared" si="55"/>
        <v>46141</v>
      </c>
      <c r="AA50" s="45"/>
      <c r="AB50" s="32">
        <f t="shared" si="56"/>
        <v>19</v>
      </c>
      <c r="AC50" s="16"/>
      <c r="AD50" s="131">
        <f t="shared" si="57"/>
        <v>95</v>
      </c>
      <c r="AE50" s="16"/>
      <c r="AF50" s="96"/>
      <c r="AG50" s="72"/>
      <c r="AH50" s="72"/>
      <c r="AI50" s="72"/>
      <c r="AJ50" s="73" t="str">
        <f t="shared" si="58"/>
        <v/>
      </c>
      <c r="AK50" s="101"/>
      <c r="AL50" s="48"/>
      <c r="AM50" s="104"/>
      <c r="AN50" s="74">
        <f t="shared" si="59"/>
        <v>46131</v>
      </c>
      <c r="AO50" s="108">
        <f t="shared" si="75"/>
        <v>-76</v>
      </c>
      <c r="AP50" s="48"/>
      <c r="AQ50" s="110"/>
      <c r="AR50" s="75">
        <f t="shared" si="76"/>
        <v>46131</v>
      </c>
      <c r="AS50" s="108">
        <f t="shared" si="77"/>
        <v>-76</v>
      </c>
      <c r="AT50" s="48"/>
      <c r="AU50" s="114">
        <f t="shared" si="63"/>
        <v>46207</v>
      </c>
      <c r="AV50" s="120" t="str" cm="1">
        <f t="array" ref="AV50">IF(OR(G50&gt;$C$6,G50=""),$F$8,INDEX($E$8:$Z$8,MATCH(TRUE,(F50:AA50=""),0)))</f>
        <v>1. Tender Docs &amp; BOQ</v>
      </c>
      <c r="AW50" s="117" t="b">
        <f t="shared" si="64"/>
        <v>0</v>
      </c>
      <c r="AX50" s="76" t="b">
        <f t="shared" si="65"/>
        <v>0</v>
      </c>
      <c r="AY50" s="76" t="b">
        <f t="shared" si="66"/>
        <v>0</v>
      </c>
      <c r="AZ50" s="76" t="b">
        <f t="shared" si="67"/>
        <v>0</v>
      </c>
      <c r="BA50" s="76" t="b">
        <f t="shared" si="68"/>
        <v>0</v>
      </c>
      <c r="BB50" s="76" t="b">
        <f t="shared" si="69"/>
        <v>0</v>
      </c>
      <c r="BC50" s="76" t="b">
        <f t="shared" si="70"/>
        <v>0</v>
      </c>
      <c r="BD50" s="76" t="b">
        <f t="shared" si="71"/>
        <v>0</v>
      </c>
      <c r="BE50" s="76" t="b">
        <f t="shared" si="72"/>
        <v>0</v>
      </c>
      <c r="BF50" s="76" t="b">
        <f t="shared" si="73"/>
        <v>0</v>
      </c>
      <c r="BG50" s="90" t="b">
        <f t="shared" si="74"/>
        <v>0</v>
      </c>
      <c r="BH50" s="48"/>
    </row>
    <row r="51" spans="1:60" ht="26.25" x14ac:dyDescent="0.25">
      <c r="A51" s="56" cm="1">
        <f t="array" ref="A51">SUMPRODUCT(($AV$10:$AV$55&lt;&gt;"")*(ROW($AV$10:$AV$55)&lt;=ROW()))</f>
        <v>35</v>
      </c>
      <c r="B51" s="57"/>
      <c r="C51" s="58"/>
      <c r="D51" s="93"/>
      <c r="E51" s="16"/>
      <c r="F51" s="29">
        <f t="shared" si="45"/>
        <v>46036</v>
      </c>
      <c r="G51" s="42"/>
      <c r="H51" s="29">
        <f t="shared" si="46"/>
        <v>46043</v>
      </c>
      <c r="I51" s="42"/>
      <c r="J51" s="29">
        <f t="shared" si="47"/>
        <v>46049</v>
      </c>
      <c r="K51" s="42"/>
      <c r="L51" s="29">
        <f t="shared" si="48"/>
        <v>46052</v>
      </c>
      <c r="M51" s="42"/>
      <c r="N51" s="29">
        <f t="shared" si="49"/>
        <v>46082</v>
      </c>
      <c r="O51" s="42"/>
      <c r="P51" s="29">
        <f t="shared" si="50"/>
        <v>46092</v>
      </c>
      <c r="Q51" s="42"/>
      <c r="R51" s="29">
        <f t="shared" si="51"/>
        <v>46112</v>
      </c>
      <c r="S51" s="42"/>
      <c r="T51" s="29">
        <f t="shared" si="52"/>
        <v>46119</v>
      </c>
      <c r="U51" s="42"/>
      <c r="V51" s="29">
        <f t="shared" si="53"/>
        <v>46126</v>
      </c>
      <c r="W51" s="42"/>
      <c r="X51" s="29">
        <f t="shared" si="54"/>
        <v>46131</v>
      </c>
      <c r="Y51" s="42"/>
      <c r="Z51" s="30">
        <f t="shared" si="55"/>
        <v>46141</v>
      </c>
      <c r="AA51" s="42"/>
      <c r="AB51" s="31">
        <f t="shared" si="56"/>
        <v>19</v>
      </c>
      <c r="AC51" s="16"/>
      <c r="AD51" s="131">
        <f t="shared" si="57"/>
        <v>95</v>
      </c>
      <c r="AE51" s="16"/>
      <c r="AF51" s="97"/>
      <c r="AG51" s="67"/>
      <c r="AH51" s="67"/>
      <c r="AI51" s="67"/>
      <c r="AJ51" s="68" t="str">
        <f t="shared" si="58"/>
        <v/>
      </c>
      <c r="AK51" s="102"/>
      <c r="AL51" s="48"/>
      <c r="AM51" s="105"/>
      <c r="AN51" s="69">
        <f t="shared" si="59"/>
        <v>46131</v>
      </c>
      <c r="AO51" s="107">
        <f t="shared" si="75"/>
        <v>-76</v>
      </c>
      <c r="AP51" s="48"/>
      <c r="AQ51" s="111"/>
      <c r="AR51" s="70">
        <f t="shared" si="76"/>
        <v>46131</v>
      </c>
      <c r="AS51" s="107">
        <f t="shared" si="77"/>
        <v>-76</v>
      </c>
      <c r="AT51" s="48"/>
      <c r="AU51" s="113">
        <f t="shared" si="63"/>
        <v>46207</v>
      </c>
      <c r="AV51" s="119" t="str" cm="1">
        <f t="array" ref="AV51">IF(OR(G51&gt;$C$6,G51=""),$F$8,INDEX($E$8:$Z$8,MATCH(TRUE,(F51:AA51=""),0)))</f>
        <v>1. Tender Docs &amp; BOQ</v>
      </c>
      <c r="AW51" s="116" t="b">
        <f t="shared" si="64"/>
        <v>0</v>
      </c>
      <c r="AX51" s="71" t="b">
        <f t="shared" si="65"/>
        <v>0</v>
      </c>
      <c r="AY51" s="71" t="b">
        <f t="shared" si="66"/>
        <v>0</v>
      </c>
      <c r="AZ51" s="71" t="b">
        <f t="shared" si="67"/>
        <v>0</v>
      </c>
      <c r="BA51" s="71" t="b">
        <f t="shared" si="68"/>
        <v>0</v>
      </c>
      <c r="BB51" s="71" t="b">
        <f t="shared" si="69"/>
        <v>0</v>
      </c>
      <c r="BC51" s="71" t="b">
        <f t="shared" si="70"/>
        <v>0</v>
      </c>
      <c r="BD51" s="71" t="b">
        <f t="shared" si="71"/>
        <v>0</v>
      </c>
      <c r="BE51" s="71" t="b">
        <f t="shared" si="72"/>
        <v>0</v>
      </c>
      <c r="BF51" s="71" t="b">
        <f t="shared" si="73"/>
        <v>0</v>
      </c>
      <c r="BG51" s="89" t="b">
        <f t="shared" si="74"/>
        <v>0</v>
      </c>
      <c r="BH51" s="48"/>
    </row>
    <row r="52" spans="1:60" ht="26.25" x14ac:dyDescent="0.25">
      <c r="A52" s="56" cm="1">
        <f t="array" ref="A52">SUMPRODUCT(($AV$10:$AV$55&lt;&gt;"")*(ROW($AV$10:$AV$55)&lt;=ROW()))</f>
        <v>36</v>
      </c>
      <c r="B52" s="59"/>
      <c r="C52" s="60"/>
      <c r="D52" s="59"/>
      <c r="E52" s="43"/>
      <c r="F52" s="44">
        <f t="shared" si="45"/>
        <v>46036</v>
      </c>
      <c r="G52" s="45"/>
      <c r="H52" s="44">
        <f t="shared" si="46"/>
        <v>46043</v>
      </c>
      <c r="I52" s="45"/>
      <c r="J52" s="44">
        <f t="shared" si="47"/>
        <v>46049</v>
      </c>
      <c r="K52" s="45"/>
      <c r="L52" s="44">
        <f t="shared" si="48"/>
        <v>46052</v>
      </c>
      <c r="M52" s="45"/>
      <c r="N52" s="44">
        <f t="shared" si="49"/>
        <v>46082</v>
      </c>
      <c r="O52" s="45"/>
      <c r="P52" s="44">
        <f t="shared" si="50"/>
        <v>46092</v>
      </c>
      <c r="Q52" s="45"/>
      <c r="R52" s="44">
        <f t="shared" si="51"/>
        <v>46112</v>
      </c>
      <c r="S52" s="45"/>
      <c r="T52" s="44">
        <f t="shared" si="52"/>
        <v>46119</v>
      </c>
      <c r="U52" s="45"/>
      <c r="V52" s="44">
        <f t="shared" si="53"/>
        <v>46126</v>
      </c>
      <c r="W52" s="45"/>
      <c r="X52" s="44">
        <f t="shared" si="54"/>
        <v>46131</v>
      </c>
      <c r="Y52" s="45"/>
      <c r="Z52" s="46">
        <f t="shared" si="55"/>
        <v>46141</v>
      </c>
      <c r="AA52" s="45"/>
      <c r="AB52" s="32">
        <f t="shared" si="56"/>
        <v>19</v>
      </c>
      <c r="AC52" s="16"/>
      <c r="AD52" s="131">
        <f t="shared" si="57"/>
        <v>95</v>
      </c>
      <c r="AE52" s="16"/>
      <c r="AF52" s="96"/>
      <c r="AG52" s="72"/>
      <c r="AH52" s="72"/>
      <c r="AI52" s="72"/>
      <c r="AJ52" s="73" t="str">
        <f t="shared" si="58"/>
        <v/>
      </c>
      <c r="AK52" s="101"/>
      <c r="AL52" s="48"/>
      <c r="AM52" s="104"/>
      <c r="AN52" s="74">
        <f t="shared" si="59"/>
        <v>46131</v>
      </c>
      <c r="AO52" s="108">
        <f t="shared" si="75"/>
        <v>-76</v>
      </c>
      <c r="AP52" s="48"/>
      <c r="AQ52" s="110"/>
      <c r="AR52" s="75">
        <f t="shared" si="76"/>
        <v>46131</v>
      </c>
      <c r="AS52" s="108">
        <f t="shared" si="77"/>
        <v>-76</v>
      </c>
      <c r="AT52" s="48"/>
      <c r="AU52" s="114">
        <f t="shared" si="63"/>
        <v>46207</v>
      </c>
      <c r="AV52" s="120" t="str" cm="1">
        <f t="array" ref="AV52">IF(OR(G52&gt;$C$6,G52=""),$F$8,INDEX($E$8:$Z$8,MATCH(TRUE,(F52:AA52=""),0)))</f>
        <v>1. Tender Docs &amp; BOQ</v>
      </c>
      <c r="AW52" s="117" t="b">
        <f t="shared" si="64"/>
        <v>0</v>
      </c>
      <c r="AX52" s="76" t="b">
        <f t="shared" si="65"/>
        <v>0</v>
      </c>
      <c r="AY52" s="76" t="b">
        <f t="shared" si="66"/>
        <v>0</v>
      </c>
      <c r="AZ52" s="76" t="b">
        <f t="shared" si="67"/>
        <v>0</v>
      </c>
      <c r="BA52" s="76" t="b">
        <f t="shared" si="68"/>
        <v>0</v>
      </c>
      <c r="BB52" s="76" t="b">
        <f t="shared" si="69"/>
        <v>0</v>
      </c>
      <c r="BC52" s="76" t="b">
        <f t="shared" si="70"/>
        <v>0</v>
      </c>
      <c r="BD52" s="76" t="b">
        <f t="shared" si="71"/>
        <v>0</v>
      </c>
      <c r="BE52" s="76" t="b">
        <f t="shared" si="72"/>
        <v>0</v>
      </c>
      <c r="BF52" s="76" t="b">
        <f t="shared" si="73"/>
        <v>0</v>
      </c>
      <c r="BG52" s="90" t="b">
        <f t="shared" si="74"/>
        <v>0</v>
      </c>
      <c r="BH52" s="48"/>
    </row>
    <row r="53" spans="1:60" ht="26.25" x14ac:dyDescent="0.25">
      <c r="A53" s="56" cm="1">
        <f t="array" ref="A53">SUMPRODUCT(($AV$10:$AV$55&lt;&gt;"")*(ROW($AV$10:$AV$55)&lt;=ROW()))</f>
        <v>37</v>
      </c>
      <c r="B53" s="57"/>
      <c r="C53" s="58"/>
      <c r="D53" s="93"/>
      <c r="E53" s="16"/>
      <c r="F53" s="29">
        <f t="shared" si="45"/>
        <v>46036</v>
      </c>
      <c r="G53" s="42"/>
      <c r="H53" s="29">
        <f t="shared" si="46"/>
        <v>46043</v>
      </c>
      <c r="I53" s="42"/>
      <c r="J53" s="29">
        <f t="shared" si="47"/>
        <v>46049</v>
      </c>
      <c r="K53" s="42"/>
      <c r="L53" s="29">
        <f t="shared" si="48"/>
        <v>46052</v>
      </c>
      <c r="M53" s="42"/>
      <c r="N53" s="29">
        <f t="shared" si="49"/>
        <v>46082</v>
      </c>
      <c r="O53" s="42"/>
      <c r="P53" s="29">
        <f t="shared" si="50"/>
        <v>46092</v>
      </c>
      <c r="Q53" s="42"/>
      <c r="R53" s="29">
        <f t="shared" si="51"/>
        <v>46112</v>
      </c>
      <c r="S53" s="42"/>
      <c r="T53" s="29">
        <f t="shared" si="52"/>
        <v>46119</v>
      </c>
      <c r="U53" s="42"/>
      <c r="V53" s="29">
        <f t="shared" si="53"/>
        <v>46126</v>
      </c>
      <c r="W53" s="42"/>
      <c r="X53" s="29">
        <f t="shared" si="54"/>
        <v>46131</v>
      </c>
      <c r="Y53" s="42"/>
      <c r="Z53" s="30">
        <f t="shared" si="55"/>
        <v>46141</v>
      </c>
      <c r="AA53" s="42"/>
      <c r="AB53" s="31">
        <f t="shared" si="56"/>
        <v>19</v>
      </c>
      <c r="AC53" s="16"/>
      <c r="AD53" s="131">
        <f t="shared" si="57"/>
        <v>95</v>
      </c>
      <c r="AE53" s="16"/>
      <c r="AF53" s="95"/>
      <c r="AG53" s="67"/>
      <c r="AH53" s="67"/>
      <c r="AI53" s="67"/>
      <c r="AJ53" s="68" t="str">
        <f t="shared" si="58"/>
        <v/>
      </c>
      <c r="AK53" s="102"/>
      <c r="AL53" s="48"/>
      <c r="AM53" s="105"/>
      <c r="AN53" s="69">
        <f t="shared" si="59"/>
        <v>46131</v>
      </c>
      <c r="AO53" s="107">
        <f t="shared" si="75"/>
        <v>-76</v>
      </c>
      <c r="AP53" s="48"/>
      <c r="AQ53" s="111"/>
      <c r="AR53" s="70">
        <f t="shared" si="76"/>
        <v>46131</v>
      </c>
      <c r="AS53" s="107">
        <f t="shared" si="77"/>
        <v>-76</v>
      </c>
      <c r="AT53" s="48"/>
      <c r="AU53" s="113">
        <f t="shared" si="63"/>
        <v>46207</v>
      </c>
      <c r="AV53" s="119" t="str" cm="1">
        <f t="array" ref="AV53">IF(OR(G53&gt;$C$6,G53=""),$F$8,INDEX($E$8:$Z$8,MATCH(TRUE,(F53:AA53=""),0)))</f>
        <v>1. Tender Docs &amp; BOQ</v>
      </c>
      <c r="AW53" s="116" t="b">
        <f t="shared" si="64"/>
        <v>0</v>
      </c>
      <c r="AX53" s="71" t="b">
        <f t="shared" si="65"/>
        <v>0</v>
      </c>
      <c r="AY53" s="71" t="b">
        <f t="shared" si="66"/>
        <v>0</v>
      </c>
      <c r="AZ53" s="71" t="b">
        <f t="shared" si="67"/>
        <v>0</v>
      </c>
      <c r="BA53" s="71" t="b">
        <f t="shared" si="68"/>
        <v>0</v>
      </c>
      <c r="BB53" s="71" t="b">
        <f t="shared" si="69"/>
        <v>0</v>
      </c>
      <c r="BC53" s="71" t="b">
        <f t="shared" si="70"/>
        <v>0</v>
      </c>
      <c r="BD53" s="71" t="b">
        <f t="shared" si="71"/>
        <v>0</v>
      </c>
      <c r="BE53" s="71" t="b">
        <f t="shared" si="72"/>
        <v>0</v>
      </c>
      <c r="BF53" s="71" t="b">
        <f t="shared" si="73"/>
        <v>0</v>
      </c>
      <c r="BG53" s="89" t="b">
        <f t="shared" si="74"/>
        <v>0</v>
      </c>
      <c r="BH53" s="48"/>
    </row>
    <row r="54" spans="1:60" ht="26.25" x14ac:dyDescent="0.25">
      <c r="A54" s="56" cm="1">
        <f t="array" ref="A54">SUMPRODUCT(($AV$10:$AV$55&lt;&gt;"")*(ROW($AV$10:$AV$55)&lt;=ROW()))</f>
        <v>38</v>
      </c>
      <c r="B54" s="59"/>
      <c r="C54" s="60"/>
      <c r="D54" s="59"/>
      <c r="E54" s="43"/>
      <c r="F54" s="44">
        <f t="shared" si="45"/>
        <v>46036</v>
      </c>
      <c r="G54" s="45"/>
      <c r="H54" s="44">
        <f t="shared" si="46"/>
        <v>46043</v>
      </c>
      <c r="I54" s="45"/>
      <c r="J54" s="44">
        <f t="shared" si="47"/>
        <v>46049</v>
      </c>
      <c r="K54" s="45"/>
      <c r="L54" s="44">
        <f t="shared" si="48"/>
        <v>46052</v>
      </c>
      <c r="M54" s="45"/>
      <c r="N54" s="44">
        <f t="shared" si="49"/>
        <v>46082</v>
      </c>
      <c r="O54" s="45"/>
      <c r="P54" s="44">
        <f t="shared" si="50"/>
        <v>46092</v>
      </c>
      <c r="Q54" s="45"/>
      <c r="R54" s="44">
        <f t="shared" si="51"/>
        <v>46112</v>
      </c>
      <c r="S54" s="45"/>
      <c r="T54" s="44">
        <f t="shared" si="52"/>
        <v>46119</v>
      </c>
      <c r="U54" s="45"/>
      <c r="V54" s="44">
        <f t="shared" si="53"/>
        <v>46126</v>
      </c>
      <c r="W54" s="45"/>
      <c r="X54" s="44">
        <f t="shared" si="54"/>
        <v>46131</v>
      </c>
      <c r="Y54" s="45"/>
      <c r="Z54" s="46">
        <f t="shared" si="55"/>
        <v>46141</v>
      </c>
      <c r="AA54" s="45"/>
      <c r="AB54" s="32">
        <f t="shared" si="56"/>
        <v>19</v>
      </c>
      <c r="AC54" s="16"/>
      <c r="AD54" s="131">
        <f t="shared" si="57"/>
        <v>95</v>
      </c>
      <c r="AE54" s="16"/>
      <c r="AF54" s="96"/>
      <c r="AG54" s="72"/>
      <c r="AH54" s="72"/>
      <c r="AI54" s="72"/>
      <c r="AJ54" s="73" t="str">
        <f t="shared" si="58"/>
        <v/>
      </c>
      <c r="AK54" s="101"/>
      <c r="AL54" s="48"/>
      <c r="AM54" s="104"/>
      <c r="AN54" s="74">
        <f t="shared" si="59"/>
        <v>46131</v>
      </c>
      <c r="AO54" s="108">
        <f t="shared" si="75"/>
        <v>-76</v>
      </c>
      <c r="AP54" s="48"/>
      <c r="AQ54" s="110"/>
      <c r="AR54" s="75">
        <f t="shared" si="76"/>
        <v>46131</v>
      </c>
      <c r="AS54" s="108">
        <f t="shared" si="77"/>
        <v>-76</v>
      </c>
      <c r="AT54" s="48"/>
      <c r="AU54" s="114">
        <f t="shared" si="63"/>
        <v>46207</v>
      </c>
      <c r="AV54" s="120" t="str" cm="1">
        <f t="array" ref="AV54">IF(OR(G54&gt;$C$6,G54=""),$F$8,INDEX($E$8:$Z$8,MATCH(TRUE,(F54:AA54=""),0)))</f>
        <v>1. Tender Docs &amp; BOQ</v>
      </c>
      <c r="AW54" s="117" t="b">
        <f t="shared" si="64"/>
        <v>0</v>
      </c>
      <c r="AX54" s="76" t="b">
        <f t="shared" si="65"/>
        <v>0</v>
      </c>
      <c r="AY54" s="76" t="b">
        <f t="shared" si="66"/>
        <v>0</v>
      </c>
      <c r="AZ54" s="76" t="b">
        <f t="shared" si="67"/>
        <v>0</v>
      </c>
      <c r="BA54" s="76" t="b">
        <f t="shared" si="68"/>
        <v>0</v>
      </c>
      <c r="BB54" s="76" t="b">
        <f t="shared" si="69"/>
        <v>0</v>
      </c>
      <c r="BC54" s="76" t="b">
        <f t="shared" si="70"/>
        <v>0</v>
      </c>
      <c r="BD54" s="76" t="b">
        <f t="shared" si="71"/>
        <v>0</v>
      </c>
      <c r="BE54" s="76" t="b">
        <f t="shared" si="72"/>
        <v>0</v>
      </c>
      <c r="BF54" s="76" t="b">
        <f t="shared" si="73"/>
        <v>0</v>
      </c>
      <c r="BG54" s="90" t="b">
        <f t="shared" si="74"/>
        <v>0</v>
      </c>
      <c r="BH54" s="48"/>
    </row>
    <row r="55" spans="1:60" ht="26.25" x14ac:dyDescent="0.25">
      <c r="A55" s="62" cm="1">
        <f t="array" ref="A55">SUMPRODUCT(($AV$10:$AV$55&lt;&gt;"")*(ROW($AV$10:$AV$55)&lt;=ROW()))</f>
        <v>39</v>
      </c>
      <c r="B55" s="63"/>
      <c r="C55" s="64"/>
      <c r="D55" s="94"/>
      <c r="E55" s="16"/>
      <c r="F55" s="82">
        <f t="shared" si="45"/>
        <v>46036</v>
      </c>
      <c r="G55" s="83"/>
      <c r="H55" s="82">
        <f t="shared" si="46"/>
        <v>46043</v>
      </c>
      <c r="I55" s="83"/>
      <c r="J55" s="82">
        <f t="shared" si="47"/>
        <v>46049</v>
      </c>
      <c r="K55" s="83"/>
      <c r="L55" s="82">
        <f t="shared" si="48"/>
        <v>46052</v>
      </c>
      <c r="M55" s="83"/>
      <c r="N55" s="82">
        <f t="shared" si="49"/>
        <v>46082</v>
      </c>
      <c r="O55" s="83"/>
      <c r="P55" s="82">
        <f t="shared" si="50"/>
        <v>46092</v>
      </c>
      <c r="Q55" s="83"/>
      <c r="R55" s="82">
        <f t="shared" si="51"/>
        <v>46112</v>
      </c>
      <c r="S55" s="83"/>
      <c r="T55" s="82">
        <f t="shared" si="52"/>
        <v>46119</v>
      </c>
      <c r="U55" s="83"/>
      <c r="V55" s="82">
        <f t="shared" si="53"/>
        <v>46126</v>
      </c>
      <c r="W55" s="83"/>
      <c r="X55" s="82">
        <f t="shared" si="54"/>
        <v>46131</v>
      </c>
      <c r="Y55" s="83"/>
      <c r="Z55" s="84">
        <f t="shared" si="55"/>
        <v>46141</v>
      </c>
      <c r="AA55" s="83"/>
      <c r="AB55" s="85">
        <f t="shared" si="56"/>
        <v>19</v>
      </c>
      <c r="AC55" s="16"/>
      <c r="AD55" s="133">
        <f t="shared" si="57"/>
        <v>95</v>
      </c>
      <c r="AE55" s="16"/>
      <c r="AF55" s="98"/>
      <c r="AG55" s="77"/>
      <c r="AH55" s="77"/>
      <c r="AI55" s="77"/>
      <c r="AJ55" s="78" t="str">
        <f t="shared" si="58"/>
        <v/>
      </c>
      <c r="AK55" s="103"/>
      <c r="AL55" s="48"/>
      <c r="AM55" s="106"/>
      <c r="AN55" s="79">
        <f t="shared" si="59"/>
        <v>46131</v>
      </c>
      <c r="AO55" s="109">
        <f t="shared" si="75"/>
        <v>-76</v>
      </c>
      <c r="AP55" s="48"/>
      <c r="AQ55" s="112"/>
      <c r="AR55" s="80">
        <f t="shared" si="76"/>
        <v>46131</v>
      </c>
      <c r="AS55" s="109">
        <f t="shared" si="77"/>
        <v>-76</v>
      </c>
      <c r="AT55" s="48"/>
      <c r="AU55" s="115">
        <f t="shared" si="63"/>
        <v>46207</v>
      </c>
      <c r="AV55" s="121" t="str" cm="1">
        <f t="array" ref="AV55">IF(OR(G55&gt;$C$6,G55=""),$F$8,INDEX($E$8:$Z$8,MATCH(TRUE,(F55:AA55=""),0)))</f>
        <v>1. Tender Docs &amp; BOQ</v>
      </c>
      <c r="AW55" s="118" t="b">
        <f t="shared" si="64"/>
        <v>0</v>
      </c>
      <c r="AX55" s="81" t="b">
        <f t="shared" si="65"/>
        <v>0</v>
      </c>
      <c r="AY55" s="81" t="b">
        <f t="shared" si="66"/>
        <v>0</v>
      </c>
      <c r="AZ55" s="81" t="b">
        <f t="shared" si="67"/>
        <v>0</v>
      </c>
      <c r="BA55" s="81" t="b">
        <f t="shared" si="68"/>
        <v>0</v>
      </c>
      <c r="BB55" s="81" t="b">
        <f t="shared" si="69"/>
        <v>0</v>
      </c>
      <c r="BC55" s="81" t="b">
        <f t="shared" si="70"/>
        <v>0</v>
      </c>
      <c r="BD55" s="81" t="b">
        <f t="shared" si="71"/>
        <v>0</v>
      </c>
      <c r="BE55" s="81" t="b">
        <f t="shared" si="72"/>
        <v>0</v>
      </c>
      <c r="BF55" s="81" t="b">
        <f t="shared" si="73"/>
        <v>0</v>
      </c>
      <c r="BG55" s="91" t="b">
        <f t="shared" si="74"/>
        <v>0</v>
      </c>
      <c r="BH55" s="48"/>
    </row>
    <row r="56" spans="1:60" ht="26.25" x14ac:dyDescent="0.25">
      <c r="A56" s="8"/>
      <c r="B56" s="8"/>
      <c r="C56" s="34" t="s">
        <v>189</v>
      </c>
      <c r="D56" s="100"/>
      <c r="E56" s="16"/>
      <c r="F56" s="123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124"/>
      <c r="AC56" s="16"/>
      <c r="AD56" s="130"/>
      <c r="AE56" s="16"/>
      <c r="AF56" s="99">
        <f>SUM(AF10:AF55)</f>
        <v>0</v>
      </c>
      <c r="AG56" s="10">
        <f>SUM(AG10:AG55)</f>
        <v>0</v>
      </c>
      <c r="AH56" s="10">
        <f>SUM(AH10:AH55)</f>
        <v>0</v>
      </c>
      <c r="AI56" s="10">
        <f>SUM(AI10:AI55)</f>
        <v>0</v>
      </c>
      <c r="AJ56" s="10">
        <f>SUM(AJ10:AJ55)</f>
        <v>0</v>
      </c>
      <c r="AK56" s="9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92"/>
      <c r="BH56" s="48"/>
    </row>
  </sheetData>
  <sheetProtection formatColumns="0" formatRows="0" autoFilter="0"/>
  <mergeCells count="75">
    <mergeCell ref="AU7:AU9"/>
    <mergeCell ref="AG7:AG9"/>
    <mergeCell ref="AH7:AH9"/>
    <mergeCell ref="AI7:AI9"/>
    <mergeCell ref="AJ7:AJ9"/>
    <mergeCell ref="AK7:AK9"/>
    <mergeCell ref="AN7:AN9"/>
    <mergeCell ref="AO7:AO9"/>
    <mergeCell ref="AQ7:AQ9"/>
    <mergeCell ref="AR7:AR9"/>
    <mergeCell ref="AS7:AS9"/>
    <mergeCell ref="AM7:AM9"/>
    <mergeCell ref="BF7:BF9"/>
    <mergeCell ref="BG7:BG9"/>
    <mergeCell ref="AV7:AV9"/>
    <mergeCell ref="AW7:AW9"/>
    <mergeCell ref="AX7:AX9"/>
    <mergeCell ref="AY7:AY9"/>
    <mergeCell ref="AZ7:AZ9"/>
    <mergeCell ref="BA7:BA9"/>
    <mergeCell ref="BB7:BB9"/>
    <mergeCell ref="BC7:BC9"/>
    <mergeCell ref="BD7:BD9"/>
    <mergeCell ref="BE7:BE9"/>
    <mergeCell ref="AF7:AF9"/>
    <mergeCell ref="V8:W8"/>
    <mergeCell ref="X8:Y8"/>
    <mergeCell ref="Z8:AA8"/>
    <mergeCell ref="T7:U7"/>
    <mergeCell ref="V7:W7"/>
    <mergeCell ref="X7:Y7"/>
    <mergeCell ref="Z7:AA7"/>
    <mergeCell ref="AB7:AB9"/>
    <mergeCell ref="AD7:AD9"/>
    <mergeCell ref="A7:A9"/>
    <mergeCell ref="B7:B9"/>
    <mergeCell ref="C7:C9"/>
    <mergeCell ref="D7:D9"/>
    <mergeCell ref="F7:G7"/>
    <mergeCell ref="H7:I7"/>
    <mergeCell ref="F8:G8"/>
    <mergeCell ref="H8:I8"/>
    <mergeCell ref="J7:K7"/>
    <mergeCell ref="L7:M7"/>
    <mergeCell ref="L8:M8"/>
    <mergeCell ref="N7:O7"/>
    <mergeCell ref="P7:Q7"/>
    <mergeCell ref="R7:S7"/>
    <mergeCell ref="T8:U8"/>
    <mergeCell ref="J8:K8"/>
    <mergeCell ref="N8:O8"/>
    <mergeCell ref="P8:Q8"/>
    <mergeCell ref="R8:S8"/>
    <mergeCell ref="H3:H4"/>
    <mergeCell ref="I3:I4"/>
    <mergeCell ref="J3:J4"/>
    <mergeCell ref="K3:K4"/>
    <mergeCell ref="L3:L4"/>
    <mergeCell ref="M3:N4"/>
    <mergeCell ref="I1:I2"/>
    <mergeCell ref="J1:J2"/>
    <mergeCell ref="K1:K2"/>
    <mergeCell ref="L1:L2"/>
    <mergeCell ref="M1:N2"/>
    <mergeCell ref="A3:B4"/>
    <mergeCell ref="C3:C4"/>
    <mergeCell ref="D3:D4"/>
    <mergeCell ref="F3:F4"/>
    <mergeCell ref="G3:G4"/>
    <mergeCell ref="H1:H2"/>
    <mergeCell ref="A1:B2"/>
    <mergeCell ref="C1:C2"/>
    <mergeCell ref="D1:D2"/>
    <mergeCell ref="F1:F2"/>
    <mergeCell ref="G1:G2"/>
  </mergeCells>
  <conditionalFormatting sqref="G11:G13 I11:I13 K11:K13 M11:M13 O11:O13 Q11:Q13 S11:S13 U11:U13 W11:W13 Y11:Y13 AA11:AA13 G16:G20 I16:I20 K16:K20 M16:M20 O16:O20 Q16:Q20 S16:S20 U16:U20 W16:W20 Y16:Y20 AA16:AA20 G22:G25 I22:I25 K22:K25 M22:M25 O22:O25 Q22:Q25 S22:S25 U22:U25 W22:W25 Y22:Y25 AA22:AA25 G27:G39 I27:I39 K27:K39 M27:M39 O27:O39 Q27:Q39 S27:S39 U27:U39 W27:W39 Y27:Y39 AA27:AA39 G41:G42 I41:I42 K41:K42 M41:M42 O41:O42 Q41:Q42 S41:S42 U41:U42 W41:W42 Y41:Y42 AA41:AA42 G44:G55 I44:I55 K44:K55 M44:M55 O44:O55 Q44:Q55 S44:S55 U44:U55 W44:W55 Y44:Y55 AA44:AA55">
    <cfRule type="cellIs" dxfId="109" priority="6" operator="between">
      <formula>1</formula>
      <formula>$C$6</formula>
    </cfRule>
  </conditionalFormatting>
  <conditionalFormatting sqref="AB10:AB56">
    <cfRule type="cellIs" dxfId="108" priority="10" operator="lessThan">
      <formula>0</formula>
    </cfRule>
  </conditionalFormatting>
  <conditionalFormatting sqref="AO11:AO13 AS11:AS13 AO16:AO20 AS16:AS20 AO22:AO25 AS22:AS25 AO27:AO39 AS27:AS39 AO41:AO42 AS41:AS42 AO44:AO55 AS44:AS55">
    <cfRule type="cellIs" dxfId="107" priority="11" operator="lessThan">
      <formula>0</formula>
    </cfRule>
  </conditionalFormatting>
  <conditionalFormatting sqref="AW11:BG13 BB14:BG15 AW16:BG20 BB21:BG21 AW22:BG25 BB26:BG26 AW27:BG39 BB40:BG40 AW41:BG42 BB43:BG43 AW44:BG55 AL56:BG56">
    <cfRule type="cellIs" dxfId="100" priority="7" operator="equal">
      <formula>TRUE</formula>
    </cfRule>
  </conditionalFormatting>
  <conditionalFormatting sqref="BB10:BG10">
    <cfRule type="cellIs" dxfId="99" priority="5" operator="equal">
      <formula>TRUE</formula>
    </cfRule>
  </conditionalFormatting>
  <pageMargins left="3.937007874015748E-2" right="3.937007874015748E-2" top="0.74803149606299213" bottom="0.74803149606299213" header="0.31496062992125984" footer="0.31496062992125984"/>
  <pageSetup paperSize="8" scale="71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C0F8BDA1-D663-4AEA-BC40-5A03E00BCB6D}">
            <xm:f>AV11=Data!$B$12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8" stopIfTrue="1" id="{CF88FEAA-6318-4CCB-B847-55D1C9B2A54C}">
            <xm:f>AV11=Data!$B$11</xm:f>
            <x14:dxf>
              <fill>
                <patternFill>
                  <bgColor theme="9" tint="0.79998168889431442"/>
                </patternFill>
              </fill>
            </x14:dxf>
          </x14:cfRule>
          <x14:cfRule type="expression" priority="9" id="{62EA3D7D-23DA-44DD-9A92-65D38F393ECD}">
            <xm:f>AV11=Data!$B$2</xm:f>
            <x14:dxf>
              <fill>
                <patternFill>
                  <bgColor rgb="FFFFE5E5"/>
                </patternFill>
              </fill>
            </x14:dxf>
          </x14:cfRule>
          <xm:sqref>AU11:AU57</xm:sqref>
        </x14:conditionalFormatting>
        <x14:conditionalFormatting xmlns:xm="http://schemas.microsoft.com/office/excel/2006/main">
          <x14:cfRule type="cellIs" priority="1" operator="equal" id="{2F3823C4-26CE-4368-883D-2FEDBD86BDEA}">
            <xm:f>Data!$B$12</xm:f>
            <x14:dxf>
              <fill>
                <patternFill>
                  <bgColor theme="9" tint="0.59996337778862885"/>
                </patternFill>
              </fill>
            </x14:dxf>
          </x14:cfRule>
          <x14:cfRule type="cellIs" priority="2" stopIfTrue="1" operator="equal" id="{F60F8932-C721-4B2A-BE51-B2F62C67CB2D}">
            <xm:f>Data!$B$11</xm:f>
            <x14:dxf>
              <fill>
                <patternFill>
                  <bgColor theme="9" tint="0.79998168889431442"/>
                </patternFill>
              </fill>
            </x14:dxf>
          </x14:cfRule>
          <x14:cfRule type="cellIs" priority="3" operator="equal" id="{6B7B67A7-12DE-4DC3-AE55-E0CC622F870B}">
            <xm:f>Data!$B$2</xm:f>
            <x14:dxf>
              <fill>
                <patternFill>
                  <bgColor rgb="FFFFE5E5"/>
                </patternFill>
              </fill>
            </x14:dxf>
          </x14:cfRule>
          <xm:sqref>AV11:AV13 AV16:AV20 AV22:AV25 AV27:AV39 AV41:AV42 AV44:AV55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FBF8193-A70F-4F70-A08D-EE53D7230F4C}">
          <x14:formula1>
            <xm:f>Data!$B$2:$B$13</xm:f>
          </x14:formula1>
          <xm:sqref>AV41:AV42 AV16:AV20 AV11:AV13 AV27:AV39 AV44:AV55 AV22:AV25</xm:sqref>
        </x14:dataValidation>
        <x14:dataValidation type="list" allowBlank="1" showInputMessage="1" showErrorMessage="1" xr:uid="{8EE9368E-8181-4EC3-A02A-DDB48C509FEB}">
          <x14:formula1>
            <xm:f>Data!$C$2:$C$12</xm:f>
          </x14:formula1>
          <xm:sqref>D11:D13 D16:D20 D22:D25 D27:D39 D41:D42 D44:D55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7307C-84BF-4020-9B26-EFC3D73F5516}">
  <sheetPr codeName="Sheet9">
    <tabColor theme="7" tint="0.79998168889431442"/>
    <pageSetUpPr fitToPage="1"/>
  </sheetPr>
  <dimension ref="A1:BH40"/>
  <sheetViews>
    <sheetView showGridLines="0" zoomScale="70" zoomScaleNormal="70" zoomScalePageLayoutView="55" workbookViewId="0">
      <pane xSplit="3" ySplit="9" topLeftCell="D10" activePane="bottomRight" state="frozen"/>
      <selection pane="topRight" activeCell="AI6" sqref="AI6:AI8"/>
      <selection pane="bottomLeft" activeCell="AI6" sqref="AI6:AI8"/>
      <selection pane="bottomRight" activeCell="L3" sqref="L3:L4"/>
    </sheetView>
  </sheetViews>
  <sheetFormatPr defaultColWidth="9.140625" defaultRowHeight="12.75" outlineLevelRow="1" outlineLevelCol="1" x14ac:dyDescent="0.25"/>
  <cols>
    <col min="1" max="2" width="7.42578125" style="3" customWidth="1"/>
    <col min="3" max="3" width="39.140625" style="7" customWidth="1"/>
    <col min="4" max="4" width="14.5703125" style="5" customWidth="1" outlineLevel="1"/>
    <col min="5" max="5" width="1.42578125" style="3" customWidth="1" outlineLevel="1"/>
    <col min="6" max="27" width="11.5703125" style="4" customWidth="1" outlineLevel="1"/>
    <col min="28" max="28" width="11.5703125" style="5" customWidth="1" outlineLevel="1"/>
    <col min="29" max="29" width="1" style="3" customWidth="1" outlineLevel="1"/>
    <col min="30" max="30" width="14.42578125" style="5" customWidth="1" outlineLevel="1"/>
    <col min="31" max="31" width="1.42578125" style="3" customWidth="1" outlineLevel="1"/>
    <col min="32" max="35" width="14.85546875" style="3" customWidth="1"/>
    <col min="36" max="36" width="15.5703125" style="3" hidden="1" customWidth="1" outlineLevel="1"/>
    <col min="37" max="37" width="23.5703125" style="3" customWidth="1" collapsed="1"/>
    <col min="38" max="38" width="0.85546875" style="3" customWidth="1"/>
    <col min="39" max="39" width="7.42578125" style="3" customWidth="1"/>
    <col min="40" max="40" width="13.5703125" style="3" customWidth="1"/>
    <col min="41" max="41" width="7.140625" style="5" customWidth="1"/>
    <col min="42" max="42" width="0.85546875" style="3" customWidth="1"/>
    <col min="43" max="43" width="10.5703125" style="5" customWidth="1"/>
    <col min="44" max="44" width="16.85546875" style="3" customWidth="1"/>
    <col min="45" max="45" width="7.140625" style="5" customWidth="1"/>
    <col min="46" max="46" width="0.85546875" style="3" customWidth="1"/>
    <col min="47" max="47" width="12" style="3" customWidth="1"/>
    <col min="48" max="48" width="35" style="3" bestFit="1" customWidth="1"/>
    <col min="49" max="59" width="4.140625" style="6" customWidth="1"/>
    <col min="60" max="60" width="21.140625" style="3" customWidth="1"/>
    <col min="61" max="16384" width="9.140625" style="3"/>
  </cols>
  <sheetData>
    <row r="1" spans="1:60" s="11" customFormat="1" ht="15" customHeight="1" outlineLevel="1" x14ac:dyDescent="0.25">
      <c r="A1" s="208" t="s">
        <v>57</v>
      </c>
      <c r="B1" s="209"/>
      <c r="C1" s="206" t="s">
        <v>58</v>
      </c>
      <c r="D1" s="211" t="s">
        <v>59</v>
      </c>
      <c r="F1" s="206" t="s">
        <v>60</v>
      </c>
      <c r="G1" s="206" t="s">
        <v>61</v>
      </c>
      <c r="H1" s="206" t="s">
        <v>62</v>
      </c>
      <c r="I1" s="206" t="s">
        <v>63</v>
      </c>
      <c r="J1" s="206" t="s">
        <v>64</v>
      </c>
      <c r="K1" s="206" t="s">
        <v>19</v>
      </c>
      <c r="L1" s="206" t="s">
        <v>65</v>
      </c>
      <c r="M1" s="211" t="s">
        <v>66</v>
      </c>
      <c r="N1" s="224"/>
      <c r="P1" s="27" t="s">
        <v>67</v>
      </c>
      <c r="Q1" s="26"/>
      <c r="R1" s="26"/>
      <c r="S1" s="26"/>
      <c r="U1" s="26" t="s">
        <v>20</v>
      </c>
      <c r="V1" s="26"/>
      <c r="W1" s="26"/>
      <c r="X1" s="26"/>
      <c r="Y1" s="26"/>
      <c r="AA1" s="27" t="s">
        <v>68</v>
      </c>
      <c r="AB1" s="26"/>
      <c r="AC1" s="26"/>
      <c r="AD1" s="28"/>
      <c r="AF1" s="27" t="s">
        <v>33</v>
      </c>
      <c r="AG1" s="26"/>
      <c r="AH1" s="39" t="s">
        <v>34</v>
      </c>
      <c r="AI1" s="40" t="s">
        <v>35</v>
      </c>
      <c r="AY1" s="33"/>
      <c r="AZ1" s="33"/>
      <c r="BA1" s="33"/>
      <c r="BB1" s="33"/>
      <c r="BC1" s="33"/>
      <c r="BD1" s="33"/>
      <c r="BE1" s="33"/>
      <c r="BF1" s="33"/>
      <c r="BG1" s="33"/>
    </row>
    <row r="2" spans="1:60" s="11" customFormat="1" ht="15" outlineLevel="1" x14ac:dyDescent="0.25">
      <c r="A2" s="208"/>
      <c r="B2" s="209"/>
      <c r="C2" s="210"/>
      <c r="D2" s="208"/>
      <c r="E2" s="15"/>
      <c r="F2" s="207"/>
      <c r="G2" s="207"/>
      <c r="H2" s="207"/>
      <c r="I2" s="207"/>
      <c r="J2" s="207"/>
      <c r="K2" s="207"/>
      <c r="L2" s="207"/>
      <c r="M2" s="225"/>
      <c r="N2" s="226"/>
      <c r="P2" s="22" t="s">
        <v>69</v>
      </c>
      <c r="Q2" s="23"/>
      <c r="R2" s="23"/>
      <c r="S2" s="147"/>
      <c r="U2" s="22" t="s">
        <v>25</v>
      </c>
      <c r="V2" s="23"/>
      <c r="W2" s="23"/>
      <c r="X2" s="35">
        <f>AI27</f>
        <v>6077673</v>
      </c>
      <c r="Y2" s="37">
        <f>X2/(SUM(AH10:$AH$26)+SUM(AI10:$AI$26)-SUMIFS(AH10:$AH$26,$AI$10:$AI$26,"&lt;&gt;"))</f>
        <v>9.1184235026853314E-2</v>
      </c>
      <c r="AA2" s="24" t="s">
        <v>70</v>
      </c>
      <c r="AB2" s="25"/>
      <c r="AC2" s="25"/>
      <c r="AD2" s="12" cm="1">
        <f t="array" ref="AD2">SUM(ISNUMBER($AO$10:AO26)*1)</f>
        <v>13</v>
      </c>
      <c r="AF2" s="22" t="s">
        <v>444</v>
      </c>
      <c r="AG2" s="23"/>
      <c r="AH2" s="13">
        <f>COUNTIFS($AB$10:AB26,"&lt;0")</f>
        <v>12</v>
      </c>
      <c r="AI2" s="13">
        <f>MIN(AB10:AB26)</f>
        <v>-94</v>
      </c>
    </row>
    <row r="3" spans="1:60" s="11" customFormat="1" ht="15" customHeight="1" outlineLevel="1" x14ac:dyDescent="0.25">
      <c r="A3" s="212" t="s">
        <v>48</v>
      </c>
      <c r="B3" s="213"/>
      <c r="C3" s="216" t="s">
        <v>331</v>
      </c>
      <c r="D3" s="218" t="s">
        <v>73</v>
      </c>
      <c r="E3" s="122"/>
      <c r="F3" s="269" t="s">
        <v>332</v>
      </c>
      <c r="G3" s="269" t="s">
        <v>75</v>
      </c>
      <c r="H3" s="269" t="s">
        <v>332</v>
      </c>
      <c r="I3" s="269" t="s">
        <v>333</v>
      </c>
      <c r="J3" s="276" t="s">
        <v>334</v>
      </c>
      <c r="K3" s="276" t="s">
        <v>335</v>
      </c>
      <c r="L3" s="269">
        <v>45809</v>
      </c>
      <c r="M3" s="272">
        <v>45839</v>
      </c>
      <c r="N3" s="273"/>
      <c r="P3" s="22" t="s">
        <v>77</v>
      </c>
      <c r="Q3" s="23"/>
      <c r="R3" s="23"/>
      <c r="S3" s="148">
        <f>AF27</f>
        <v>91984309</v>
      </c>
      <c r="U3" s="22" t="s">
        <v>78</v>
      </c>
      <c r="V3" s="23"/>
      <c r="W3" s="23"/>
      <c r="X3" s="36">
        <f>S4-SUMIFS(AH10:$AH$26,$AI$10:$AI$26,"&lt;&gt;")</f>
        <v>60575000</v>
      </c>
      <c r="Y3" s="153">
        <f>X3/(X2+X3)</f>
        <v>0.90881576497314664</v>
      </c>
      <c r="AA3" s="22" t="s">
        <v>79</v>
      </c>
      <c r="AB3" s="23"/>
      <c r="AC3" s="23"/>
      <c r="AD3" s="13">
        <f>COUNTIFS($AV$10:AV26,Z8)</f>
        <v>1</v>
      </c>
      <c r="AF3" s="22" t="s">
        <v>447</v>
      </c>
      <c r="AG3" s="23"/>
      <c r="AH3" s="13">
        <f>COUNTIFS($AO$10:AO26,"&lt;0")</f>
        <v>13</v>
      </c>
      <c r="AI3" s="14">
        <f>MIN(AO10:AO26)</f>
        <v>-159</v>
      </c>
    </row>
    <row r="4" spans="1:60" s="11" customFormat="1" ht="15" outlineLevel="1" x14ac:dyDescent="0.25">
      <c r="A4" s="214"/>
      <c r="B4" s="215"/>
      <c r="C4" s="217"/>
      <c r="D4" s="219"/>
      <c r="E4" s="122"/>
      <c r="F4" s="270"/>
      <c r="G4" s="270"/>
      <c r="H4" s="270"/>
      <c r="I4" s="270"/>
      <c r="J4" s="277"/>
      <c r="K4" s="277"/>
      <c r="L4" s="270"/>
      <c r="M4" s="274"/>
      <c r="N4" s="275"/>
      <c r="P4" s="22" t="s">
        <v>23</v>
      </c>
      <c r="Q4" s="23"/>
      <c r="R4" s="23"/>
      <c r="S4" s="148">
        <f>AH27</f>
        <v>79778000</v>
      </c>
      <c r="U4" s="22" t="s">
        <v>80</v>
      </c>
      <c r="V4" s="23"/>
      <c r="W4" s="23"/>
      <c r="X4" s="36">
        <f>SUMIFS(AF10:$AF$26,$AI$10:$AI$26,"&lt;&gt;")-X2</f>
        <v>15919656</v>
      </c>
      <c r="Y4" s="38" t="e">
        <f>X4/$S$2</f>
        <v>#DIV/0!</v>
      </c>
      <c r="AA4" s="22" t="s">
        <v>81</v>
      </c>
      <c r="AB4" s="23"/>
      <c r="AC4" s="23"/>
      <c r="AD4" s="13">
        <f>C6-L3</f>
        <v>303</v>
      </c>
      <c r="AF4" s="22" t="s">
        <v>448</v>
      </c>
      <c r="AG4" s="23"/>
      <c r="AH4" s="13">
        <f>COUNTIFS($AS$10:AS26,"&lt;0")</f>
        <v>13</v>
      </c>
      <c r="AI4" s="14">
        <f>MIN(AS10:AS26)</f>
        <v>-159</v>
      </c>
    </row>
    <row r="5" spans="1:60" s="11" customFormat="1" ht="15" outlineLevel="1" x14ac:dyDescent="0.25">
      <c r="U5" s="22" t="s">
        <v>82</v>
      </c>
      <c r="V5" s="23"/>
      <c r="W5" s="23"/>
      <c r="X5" s="36">
        <f>SUMIFS(AH10:$AH$26,$AI$10:$AI$26,"&lt;&gt;")-X2</f>
        <v>13125327</v>
      </c>
      <c r="Y5" s="38" t="e">
        <f>X5/$S$2</f>
        <v>#DIV/0!</v>
      </c>
      <c r="Z5" s="160"/>
      <c r="AA5" s="160"/>
      <c r="AB5" s="160"/>
      <c r="AC5" s="160"/>
      <c r="AD5" s="160"/>
      <c r="AE5" s="160"/>
      <c r="AF5" s="160"/>
      <c r="AG5" s="160"/>
      <c r="AH5" s="160"/>
      <c r="AI5" s="160"/>
    </row>
    <row r="6" spans="1:60" ht="23.25" outlineLevel="1" x14ac:dyDescent="0.25">
      <c r="A6" s="127" t="s">
        <v>83</v>
      </c>
      <c r="B6" s="128"/>
      <c r="C6" s="129">
        <v>46112</v>
      </c>
      <c r="D6" s="19"/>
      <c r="E6" s="16"/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5"/>
      <c r="AB6" s="126"/>
      <c r="AC6" s="19"/>
      <c r="AD6" s="19"/>
      <c r="AE6" s="19"/>
      <c r="AF6" s="19"/>
      <c r="AG6" s="19"/>
      <c r="AH6" s="19"/>
      <c r="AI6" s="19"/>
      <c r="AJ6" s="19"/>
      <c r="AK6" s="19"/>
      <c r="AL6" s="16"/>
      <c r="AM6" s="19"/>
      <c r="AN6" s="16"/>
      <c r="AO6" s="16"/>
      <c r="AP6" s="16"/>
      <c r="AQ6" s="16"/>
      <c r="AR6" s="16"/>
      <c r="AS6" s="16"/>
      <c r="AT6" s="16"/>
      <c r="AU6" s="16"/>
      <c r="AV6" s="16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6"/>
    </row>
    <row r="7" spans="1:60" ht="18.75" customHeight="1" x14ac:dyDescent="0.25">
      <c r="A7" s="233" t="s">
        <v>84</v>
      </c>
      <c r="B7" s="236" t="s">
        <v>85</v>
      </c>
      <c r="C7" s="236" t="s">
        <v>86</v>
      </c>
      <c r="D7" s="238" t="s">
        <v>1</v>
      </c>
      <c r="F7" s="229">
        <v>15</v>
      </c>
      <c r="G7" s="230"/>
      <c r="H7" s="229">
        <v>7</v>
      </c>
      <c r="I7" s="230"/>
      <c r="J7" s="229">
        <v>6</v>
      </c>
      <c r="K7" s="230"/>
      <c r="L7" s="229">
        <v>3</v>
      </c>
      <c r="M7" s="230"/>
      <c r="N7" s="229">
        <v>30</v>
      </c>
      <c r="O7" s="230"/>
      <c r="P7" s="229">
        <v>10</v>
      </c>
      <c r="Q7" s="230"/>
      <c r="R7" s="229">
        <v>20</v>
      </c>
      <c r="S7" s="230"/>
      <c r="T7" s="229">
        <v>7</v>
      </c>
      <c r="U7" s="230"/>
      <c r="V7" s="229">
        <v>7</v>
      </c>
      <c r="W7" s="230"/>
      <c r="X7" s="229">
        <v>5</v>
      </c>
      <c r="Y7" s="230"/>
      <c r="Z7" s="229">
        <v>10</v>
      </c>
      <c r="AA7" s="230"/>
      <c r="AB7" s="243" t="s">
        <v>87</v>
      </c>
      <c r="AC7" s="16"/>
      <c r="AD7" s="244" t="s">
        <v>88</v>
      </c>
      <c r="AE7" s="16"/>
      <c r="AF7" s="241" t="s">
        <v>77</v>
      </c>
      <c r="AG7" s="257" t="s">
        <v>89</v>
      </c>
      <c r="AH7" s="257" t="s">
        <v>23</v>
      </c>
      <c r="AI7" s="257" t="s">
        <v>90</v>
      </c>
      <c r="AJ7" s="257" t="s">
        <v>91</v>
      </c>
      <c r="AK7" s="258" t="s">
        <v>92</v>
      </c>
      <c r="AL7" s="86"/>
      <c r="AM7" s="255" t="s">
        <v>93</v>
      </c>
      <c r="AN7" s="257" t="s">
        <v>94</v>
      </c>
      <c r="AO7" s="259" t="s">
        <v>95</v>
      </c>
      <c r="AP7" s="86"/>
      <c r="AQ7" s="261" t="s">
        <v>96</v>
      </c>
      <c r="AR7" s="252" t="s">
        <v>97</v>
      </c>
      <c r="AS7" s="259" t="s">
        <v>95</v>
      </c>
      <c r="AT7" s="86"/>
      <c r="AU7" s="255" t="s">
        <v>98</v>
      </c>
      <c r="AV7" s="252" t="s">
        <v>99</v>
      </c>
      <c r="AW7" s="246" t="s">
        <v>2</v>
      </c>
      <c r="AX7" s="246" t="s">
        <v>4</v>
      </c>
      <c r="AY7" s="246" t="s">
        <v>6</v>
      </c>
      <c r="AZ7" s="246" t="s">
        <v>100</v>
      </c>
      <c r="BA7" s="246" t="s">
        <v>10</v>
      </c>
      <c r="BB7" s="246" t="s">
        <v>12</v>
      </c>
      <c r="BC7" s="246" t="s">
        <v>14</v>
      </c>
      <c r="BD7" s="246" t="s">
        <v>15</v>
      </c>
      <c r="BE7" s="246" t="s">
        <v>16</v>
      </c>
      <c r="BF7" s="246" t="s">
        <v>17</v>
      </c>
      <c r="BG7" s="249" t="s">
        <v>101</v>
      </c>
      <c r="BH7" s="86"/>
    </row>
    <row r="8" spans="1:60" ht="26.25" x14ac:dyDescent="0.25">
      <c r="A8" s="234"/>
      <c r="B8" s="237"/>
      <c r="C8" s="237"/>
      <c r="D8" s="239"/>
      <c r="E8" s="16"/>
      <c r="F8" s="231" t="s">
        <v>2</v>
      </c>
      <c r="G8" s="232"/>
      <c r="H8" s="231" t="s">
        <v>4</v>
      </c>
      <c r="I8" s="232"/>
      <c r="J8" s="231" t="s">
        <v>6</v>
      </c>
      <c r="K8" s="232"/>
      <c r="L8" s="231" t="s">
        <v>8</v>
      </c>
      <c r="M8" s="232"/>
      <c r="N8" s="231" t="s">
        <v>10</v>
      </c>
      <c r="O8" s="232"/>
      <c r="P8" s="231" t="s">
        <v>12</v>
      </c>
      <c r="Q8" s="232"/>
      <c r="R8" s="231" t="s">
        <v>14</v>
      </c>
      <c r="S8" s="232"/>
      <c r="T8" s="231" t="s">
        <v>15</v>
      </c>
      <c r="U8" s="232"/>
      <c r="V8" s="231" t="s">
        <v>16</v>
      </c>
      <c r="W8" s="232"/>
      <c r="X8" s="231" t="s">
        <v>17</v>
      </c>
      <c r="Y8" s="232"/>
      <c r="Z8" s="231" t="s">
        <v>18</v>
      </c>
      <c r="AA8" s="232"/>
      <c r="AB8" s="243"/>
      <c r="AC8" s="16"/>
      <c r="AD8" s="245"/>
      <c r="AE8" s="16"/>
      <c r="AF8" s="242"/>
      <c r="AG8" s="237"/>
      <c r="AH8" s="237"/>
      <c r="AI8" s="237"/>
      <c r="AJ8" s="237"/>
      <c r="AK8" s="239"/>
      <c r="AL8" s="48"/>
      <c r="AM8" s="234"/>
      <c r="AN8" s="237"/>
      <c r="AO8" s="260"/>
      <c r="AP8" s="48"/>
      <c r="AQ8" s="262"/>
      <c r="AR8" s="253"/>
      <c r="AS8" s="260"/>
      <c r="AT8" s="48"/>
      <c r="AU8" s="234"/>
      <c r="AV8" s="253"/>
      <c r="AW8" s="247"/>
      <c r="AX8" s="247"/>
      <c r="AY8" s="247"/>
      <c r="AZ8" s="247"/>
      <c r="BA8" s="247"/>
      <c r="BB8" s="247"/>
      <c r="BC8" s="247"/>
      <c r="BD8" s="247"/>
      <c r="BE8" s="247"/>
      <c r="BF8" s="247"/>
      <c r="BG8" s="250"/>
      <c r="BH8" s="146"/>
    </row>
    <row r="9" spans="1:60" s="7" customFormat="1" ht="22.5" x14ac:dyDescent="0.25">
      <c r="A9" s="235"/>
      <c r="B9" s="237"/>
      <c r="C9" s="237"/>
      <c r="D9" s="240"/>
      <c r="E9" s="20"/>
      <c r="F9" s="65" t="s">
        <v>102</v>
      </c>
      <c r="G9" s="66" t="s">
        <v>103</v>
      </c>
      <c r="H9" s="65" t="s">
        <v>102</v>
      </c>
      <c r="I9" s="66" t="s">
        <v>103</v>
      </c>
      <c r="J9" s="65" t="s">
        <v>102</v>
      </c>
      <c r="K9" s="66" t="s">
        <v>103</v>
      </c>
      <c r="L9" s="65" t="s">
        <v>102</v>
      </c>
      <c r="M9" s="66" t="s">
        <v>103</v>
      </c>
      <c r="N9" s="65" t="s">
        <v>102</v>
      </c>
      <c r="O9" s="66" t="s">
        <v>103</v>
      </c>
      <c r="P9" s="65" t="s">
        <v>102</v>
      </c>
      <c r="Q9" s="66" t="s">
        <v>103</v>
      </c>
      <c r="R9" s="65" t="s">
        <v>102</v>
      </c>
      <c r="S9" s="66" t="s">
        <v>103</v>
      </c>
      <c r="T9" s="65" t="s">
        <v>102</v>
      </c>
      <c r="U9" s="66" t="s">
        <v>103</v>
      </c>
      <c r="V9" s="65" t="s">
        <v>102</v>
      </c>
      <c r="W9" s="66" t="s">
        <v>103</v>
      </c>
      <c r="X9" s="65" t="s">
        <v>102</v>
      </c>
      <c r="Y9" s="66" t="s">
        <v>103</v>
      </c>
      <c r="Z9" s="65" t="s">
        <v>102</v>
      </c>
      <c r="AA9" s="66" t="s">
        <v>103</v>
      </c>
      <c r="AB9" s="243"/>
      <c r="AC9" s="20"/>
      <c r="AD9" s="245"/>
      <c r="AE9" s="20"/>
      <c r="AF9" s="242"/>
      <c r="AG9" s="237"/>
      <c r="AH9" s="237"/>
      <c r="AI9" s="237"/>
      <c r="AJ9" s="237"/>
      <c r="AK9" s="239"/>
      <c r="AL9" s="87"/>
      <c r="AM9" s="234"/>
      <c r="AN9" s="237"/>
      <c r="AO9" s="260"/>
      <c r="AP9" s="87"/>
      <c r="AQ9" s="263"/>
      <c r="AR9" s="254"/>
      <c r="AS9" s="264"/>
      <c r="AT9" s="87"/>
      <c r="AU9" s="256"/>
      <c r="AV9" s="254"/>
      <c r="AW9" s="248"/>
      <c r="AX9" s="248"/>
      <c r="AY9" s="248"/>
      <c r="AZ9" s="248"/>
      <c r="BA9" s="248"/>
      <c r="BB9" s="248"/>
      <c r="BC9" s="248"/>
      <c r="BD9" s="248"/>
      <c r="BE9" s="248"/>
      <c r="BF9" s="248"/>
      <c r="BG9" s="251"/>
      <c r="BH9" s="87"/>
    </row>
    <row r="10" spans="1:60" ht="23.25" x14ac:dyDescent="0.25">
      <c r="A10" s="53"/>
      <c r="B10" s="49"/>
      <c r="C10" s="50" t="s">
        <v>104</v>
      </c>
      <c r="D10" s="61"/>
      <c r="E10" s="51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1"/>
      <c r="BF10" s="51"/>
      <c r="BG10" s="88"/>
      <c r="BH10" s="146"/>
    </row>
    <row r="11" spans="1:60" ht="45" x14ac:dyDescent="0.25">
      <c r="A11" s="56" cm="1">
        <f t="array" ref="A11">SUMPRODUCT(($AV$10:$AV$26&lt;&gt;"")*(ROW($AV$10:$AV$26)&lt;=ROW()))</f>
        <v>1</v>
      </c>
      <c r="B11" s="57"/>
      <c r="C11" s="58" t="s">
        <v>336</v>
      </c>
      <c r="D11" s="93" t="s">
        <v>107</v>
      </c>
      <c r="E11" s="16"/>
      <c r="F11" s="29">
        <f>H11-$H$7</f>
        <v>45923</v>
      </c>
      <c r="G11" s="42">
        <v>45875</v>
      </c>
      <c r="H11" s="29">
        <f>J11-$J$7</f>
        <v>45930</v>
      </c>
      <c r="I11" s="42">
        <v>45881</v>
      </c>
      <c r="J11" s="29">
        <f>L11-$L$7</f>
        <v>45936</v>
      </c>
      <c r="K11" s="42">
        <v>45877</v>
      </c>
      <c r="L11" s="29">
        <f>N11-$N$7</f>
        <v>45939</v>
      </c>
      <c r="M11" s="42">
        <v>45911</v>
      </c>
      <c r="N11" s="29">
        <f>P11-$P$7</f>
        <v>45969</v>
      </c>
      <c r="O11" s="42">
        <v>45911</v>
      </c>
      <c r="P11" s="29">
        <f>R11-$R$7</f>
        <v>45979</v>
      </c>
      <c r="Q11" s="42">
        <v>45911</v>
      </c>
      <c r="R11" s="29">
        <f>T11-$T$7</f>
        <v>45999</v>
      </c>
      <c r="S11" s="42">
        <v>45974</v>
      </c>
      <c r="T11" s="29">
        <f>V11-$V$7</f>
        <v>46006</v>
      </c>
      <c r="U11" s="42">
        <v>45950</v>
      </c>
      <c r="V11" s="29">
        <f>X11-$X$7</f>
        <v>46013</v>
      </c>
      <c r="W11" s="42">
        <v>46021</v>
      </c>
      <c r="X11" s="29">
        <f>AN11</f>
        <v>46018</v>
      </c>
      <c r="Y11" s="42">
        <v>46021</v>
      </c>
      <c r="Z11" s="30">
        <f>X11+$Z$7</f>
        <v>46028</v>
      </c>
      <c r="AA11" s="42"/>
      <c r="AB11" s="31" t="str">
        <f>IF(AV11="10. Issued to Contractor","-",IF(AV11="11. Subcontract Agreement signed","-",MAX(AN11,AR11)-$C$6))</f>
        <v>-</v>
      </c>
      <c r="AC11" s="16"/>
      <c r="AD11" s="131">
        <f>SUM($H$7:$Y$7)</f>
        <v>95</v>
      </c>
      <c r="AE11" s="16"/>
      <c r="AF11" s="95">
        <v>10026777</v>
      </c>
      <c r="AG11" s="67"/>
      <c r="AH11" s="67">
        <v>9213000</v>
      </c>
      <c r="AI11" s="67">
        <v>4355584</v>
      </c>
      <c r="AJ11" s="68">
        <f>IF(AI11&gt;0,SUM(AH11)-SUM(AI11),"")</f>
        <v>4857416</v>
      </c>
      <c r="AK11" s="139" t="s">
        <v>337</v>
      </c>
      <c r="AL11" s="48"/>
      <c r="AM11" s="105">
        <v>180</v>
      </c>
      <c r="AN11" s="69">
        <f>$M$3+AM11-1</f>
        <v>46018</v>
      </c>
      <c r="AO11" s="107">
        <f>AN11-AU11</f>
        <v>-3</v>
      </c>
      <c r="AP11" s="48"/>
      <c r="AQ11" s="111"/>
      <c r="AR11" s="70">
        <f>IFERROR(WORKDAY.INTL(AN11,AQ11,11),"")</f>
        <v>46018</v>
      </c>
      <c r="AS11" s="107">
        <f>AR11-AU11</f>
        <v>-3</v>
      </c>
      <c r="AT11" s="48"/>
      <c r="AU11" s="113">
        <f>IF(Y11&gt;0,Y11,IFERROR(MAX(_xlfn.XLOOKUP($AV11,$H$8:$Z$8,$G11:$Y11),$C$6)+(AN11-_xlfn.XLOOKUP($AV11,$H$8:$Z$8,$F11:$X11))*AD11/SUM($H$7:$Y$7),$C$6+SUM(AD11)))</f>
        <v>46021</v>
      </c>
      <c r="AV11" s="119" t="str" cm="1">
        <f t="array" ref="AV11">IF(OR(G11&gt;$C$6,G11=""),$F$8,INDEX($E$8:$Z$8,MATCH(TRUE,(F11:AA11=""),0)))</f>
        <v>11. Subcontract Agreement signed</v>
      </c>
      <c r="AW11" s="116" t="b">
        <f>IF(AND(G11&gt;0,G11&lt;$C$6),TRUE,FALSE)</f>
        <v>1</v>
      </c>
      <c r="AX11" s="71" t="b">
        <f>IF(AND(I11&gt;0,I11&lt;$C$6),TRUE,FALSE)</f>
        <v>1</v>
      </c>
      <c r="AY11" s="71" t="b">
        <f>IF(AND(K11&gt;0,K11&lt;$C$6),TRUE,FALSE)</f>
        <v>1</v>
      </c>
      <c r="AZ11" s="71" t="b">
        <f>IF(AND(M11&gt;0,M11&lt;$C$6),TRUE,FALSE)</f>
        <v>1</v>
      </c>
      <c r="BA11" s="71" t="b">
        <f>IF(AND(O11&gt;0,O11&lt;$C$6),TRUE,FALSE)</f>
        <v>1</v>
      </c>
      <c r="BB11" s="71" t="b">
        <f>IF(AND(Q11&gt;0,Q11&lt;$C$6),TRUE,FALSE)</f>
        <v>1</v>
      </c>
      <c r="BC11" s="71" t="b">
        <f>IF(AND(S11&gt;0,S11&lt;$C$6),TRUE,FALSE)</f>
        <v>1</v>
      </c>
      <c r="BD11" s="71" t="b">
        <f>IF(AND(U11&gt;0,U11&lt;$C$6),TRUE,FALSE)</f>
        <v>1</v>
      </c>
      <c r="BE11" s="71" t="b">
        <f>IF(AND(W11&gt;0,W11&lt;$C$6),TRUE,FALSE)</f>
        <v>1</v>
      </c>
      <c r="BF11" s="71" t="b">
        <f>IF(AND(Y11&gt;0,Y11&lt;$C$6),TRUE,FALSE)</f>
        <v>1</v>
      </c>
      <c r="BG11" s="89" t="b">
        <f>IF(AND(AA11&gt;0,AA11&lt;$C$6),TRUE,FALSE)</f>
        <v>0</v>
      </c>
      <c r="BH11" s="146"/>
    </row>
    <row r="12" spans="1:60" ht="26.25" x14ac:dyDescent="0.25">
      <c r="A12" s="56" cm="1">
        <f t="array" ref="A12">SUMPRODUCT(($AV$10:$AV$26&lt;&gt;"")*(ROW($AV$10:$AV$26)&lt;=ROW()))</f>
        <v>2</v>
      </c>
      <c r="B12" s="59"/>
      <c r="C12" s="60" t="s">
        <v>338</v>
      </c>
      <c r="D12" s="59" t="s">
        <v>107</v>
      </c>
      <c r="E12" s="43"/>
      <c r="F12" s="44">
        <f>H12-$H$7</f>
        <v>45953</v>
      </c>
      <c r="G12" s="45">
        <v>45900</v>
      </c>
      <c r="H12" s="44">
        <f>J12-$J$7</f>
        <v>45960</v>
      </c>
      <c r="I12" s="45">
        <v>45876</v>
      </c>
      <c r="J12" s="44">
        <f>L12-$L$7</f>
        <v>45966</v>
      </c>
      <c r="K12" s="45">
        <v>45846</v>
      </c>
      <c r="L12" s="44">
        <f>N12-$N$7</f>
        <v>45969</v>
      </c>
      <c r="M12" s="45">
        <v>45900</v>
      </c>
      <c r="N12" s="44">
        <f>P12-$P$7</f>
        <v>45999</v>
      </c>
      <c r="O12" s="45">
        <v>45900</v>
      </c>
      <c r="P12" s="44">
        <f>R12-$R$7</f>
        <v>46009</v>
      </c>
      <c r="Q12" s="45">
        <v>45900</v>
      </c>
      <c r="R12" s="44">
        <f>T12-$T$7</f>
        <v>46029</v>
      </c>
      <c r="S12" s="45">
        <v>45692</v>
      </c>
      <c r="T12" s="44">
        <f>V12-$V$7</f>
        <v>46036</v>
      </c>
      <c r="U12" s="45">
        <v>45699</v>
      </c>
      <c r="V12" s="44">
        <f>X12-$X$7</f>
        <v>46043</v>
      </c>
      <c r="W12" s="45"/>
      <c r="X12" s="44">
        <f t="shared" ref="X12:X13" si="0">AN12</f>
        <v>46048</v>
      </c>
      <c r="Y12" s="45"/>
      <c r="Z12" s="46">
        <f>X12+$Z$7</f>
        <v>46058</v>
      </c>
      <c r="AA12" s="45"/>
      <c r="AB12" s="47">
        <f>IF(AV12="10. Issued to Contractor","-",IF(AV12="11. Subcontract Agreement signed","-",MAX(AN12,AR12)-$C$6))</f>
        <v>-64</v>
      </c>
      <c r="AC12" s="16"/>
      <c r="AD12" s="131">
        <f t="shared" ref="AD12:AD13" si="1">SUM($H$7:$Y$7)</f>
        <v>95</v>
      </c>
      <c r="AE12" s="16"/>
      <c r="AF12" s="96">
        <v>1356425</v>
      </c>
      <c r="AG12" s="72"/>
      <c r="AH12" s="72">
        <v>1110000</v>
      </c>
      <c r="AI12" s="72">
        <v>1722089</v>
      </c>
      <c r="AJ12" s="73">
        <f>IF(AI12&gt;0,SUM(AH12)-SUM(AI12),"")</f>
        <v>-612089</v>
      </c>
      <c r="AK12" s="101" t="s">
        <v>339</v>
      </c>
      <c r="AL12" s="48"/>
      <c r="AM12" s="104">
        <v>210</v>
      </c>
      <c r="AN12" s="74">
        <f>$M$3+AM12-1</f>
        <v>46048</v>
      </c>
      <c r="AO12" s="108">
        <f>AN12-AU12</f>
        <v>-76</v>
      </c>
      <c r="AP12" s="48"/>
      <c r="AQ12" s="110"/>
      <c r="AR12" s="75">
        <f>IFERROR(WORKDAY.INTL(AN12,AQ12,11),"")</f>
        <v>46048</v>
      </c>
      <c r="AS12" s="108">
        <f>AR12-AU12</f>
        <v>-76</v>
      </c>
      <c r="AT12" s="48"/>
      <c r="AU12" s="114">
        <f t="shared" ref="AU12:AU13" si="2">IF(Y12&gt;0,Y12,IFERROR(MAX(_xlfn.XLOOKUP($AV12,$H$8:$Z$8,$G12:$Y12),$C$6)+(AN12-_xlfn.XLOOKUP($AV12,$H$8:$Z$8,$F12:$X12))*AD12/SUM($H$7:$Y$7),$C$6+SUM(AD12)))</f>
        <v>46124</v>
      </c>
      <c r="AV12" s="120" t="str" cm="1">
        <f t="array" ref="AV12">IF(OR(G12&gt;$C$6,G12=""),$F$8,INDEX($E$8:$Z$8,MATCH(TRUE,(F12:AA12=""),0)))</f>
        <v>9. Award Rec. Approval</v>
      </c>
      <c r="AW12" s="117" t="b">
        <f>IF(AND(G12&gt;0,G12&lt;$C$6),TRUE,FALSE)</f>
        <v>1</v>
      </c>
      <c r="AX12" s="76" t="b">
        <f>IF(AND(I12&gt;0,I12&lt;$C$6),TRUE,FALSE)</f>
        <v>1</v>
      </c>
      <c r="AY12" s="76" t="b">
        <f>IF(AND(K12&gt;0,K12&lt;$C$6),TRUE,FALSE)</f>
        <v>1</v>
      </c>
      <c r="AZ12" s="76" t="b">
        <f>IF(AND(M12&gt;0,M12&lt;$C$6),TRUE,FALSE)</f>
        <v>1</v>
      </c>
      <c r="BA12" s="76" t="b">
        <f>IF(AND(O12&gt;0,O12&lt;$C$6),TRUE,FALSE)</f>
        <v>1</v>
      </c>
      <c r="BB12" s="76" t="b">
        <f>IF(AND(Q12&gt;0,Q12&lt;$C$6),TRUE,FALSE)</f>
        <v>1</v>
      </c>
      <c r="BC12" s="76" t="b">
        <f>IF(AND(S12&gt;0,S12&lt;$C$6),TRUE,FALSE)</f>
        <v>1</v>
      </c>
      <c r="BD12" s="76" t="b">
        <f>IF(AND(U12&gt;0,U12&lt;$C$6),TRUE,FALSE)</f>
        <v>1</v>
      </c>
      <c r="BE12" s="76" t="b">
        <f>IF(AND(W12&gt;0,W12&lt;$C$6),TRUE,FALSE)</f>
        <v>0</v>
      </c>
      <c r="BF12" s="76" t="b">
        <f>IF(AND(Y12&gt;0,Y12&lt;$C$6),TRUE,FALSE)</f>
        <v>0</v>
      </c>
      <c r="BG12" s="90" t="b">
        <f>IF(AND(AA12&gt;0,AA12&lt;$C$6),TRUE,FALSE)</f>
        <v>0</v>
      </c>
      <c r="BH12" s="146"/>
    </row>
    <row r="13" spans="1:60" ht="26.25" x14ac:dyDescent="0.25">
      <c r="A13" s="56" cm="1">
        <f t="array" ref="A13">SUMPRODUCT(($AV$10:$AV$26&lt;&gt;"")*(ROW($AV$10:$AV$26)&lt;=ROW()))</f>
        <v>3</v>
      </c>
      <c r="B13" s="57"/>
      <c r="C13" s="58" t="s">
        <v>106</v>
      </c>
      <c r="D13" s="93" t="s">
        <v>107</v>
      </c>
      <c r="E13" s="16"/>
      <c r="F13" s="29">
        <f>H13-$H$7</f>
        <v>45923</v>
      </c>
      <c r="G13" s="42">
        <v>45900</v>
      </c>
      <c r="H13" s="29">
        <f>J13-$J$7</f>
        <v>45930</v>
      </c>
      <c r="I13" s="42">
        <v>45876</v>
      </c>
      <c r="J13" s="29">
        <f>L13-$L$7</f>
        <v>45936</v>
      </c>
      <c r="K13" s="42">
        <v>45846</v>
      </c>
      <c r="L13" s="29">
        <f>N13-$N$7</f>
        <v>45939</v>
      </c>
      <c r="M13" s="42">
        <v>45951</v>
      </c>
      <c r="N13" s="29">
        <f>P13-$P$7</f>
        <v>45969</v>
      </c>
      <c r="O13" s="42">
        <v>45951</v>
      </c>
      <c r="P13" s="29">
        <f>R13-$R$7</f>
        <v>45979</v>
      </c>
      <c r="Q13" s="42">
        <v>45951</v>
      </c>
      <c r="R13" s="29">
        <f>T13-$T$7</f>
        <v>45999</v>
      </c>
      <c r="S13" s="42">
        <v>45692</v>
      </c>
      <c r="T13" s="29">
        <f>V13-$V$7</f>
        <v>46006</v>
      </c>
      <c r="U13" s="42">
        <v>45699</v>
      </c>
      <c r="V13" s="29">
        <f>X13-$X$7</f>
        <v>46013</v>
      </c>
      <c r="W13" s="42"/>
      <c r="X13" s="29">
        <f t="shared" si="0"/>
        <v>46018</v>
      </c>
      <c r="Y13" s="42"/>
      <c r="Z13" s="30">
        <f>X13+$Z$7</f>
        <v>46028</v>
      </c>
      <c r="AA13" s="42"/>
      <c r="AB13" s="31">
        <f>IF(AV13="10. Issued to Contractor","-",IF(AV13="11. Subcontract Agreement signed","-",MAX(AN13,AR13)-$C$6))</f>
        <v>-94</v>
      </c>
      <c r="AC13" s="16"/>
      <c r="AD13" s="131">
        <f t="shared" si="1"/>
        <v>95</v>
      </c>
      <c r="AE13" s="16"/>
      <c r="AF13" s="95">
        <v>10614127</v>
      </c>
      <c r="AG13" s="67"/>
      <c r="AH13" s="67">
        <v>8880000</v>
      </c>
      <c r="AI13" s="67" t="s">
        <v>134</v>
      </c>
      <c r="AJ13" s="68">
        <f>IF(AI13&gt;0,SUM(AH13)-SUM(AI13),"")</f>
        <v>8880000</v>
      </c>
      <c r="AK13" s="102" t="s">
        <v>339</v>
      </c>
      <c r="AL13" s="48"/>
      <c r="AM13" s="105">
        <v>180</v>
      </c>
      <c r="AN13" s="69">
        <f>$M$3+AM13-1</f>
        <v>46018</v>
      </c>
      <c r="AO13" s="107">
        <f>AN13-AU13</f>
        <v>-106</v>
      </c>
      <c r="AP13" s="48"/>
      <c r="AQ13" s="111"/>
      <c r="AR13" s="70">
        <f>IFERROR(WORKDAY.INTL(AN13,AQ13,11),"")</f>
        <v>46018</v>
      </c>
      <c r="AS13" s="107">
        <f>AR13-AU13</f>
        <v>-106</v>
      </c>
      <c r="AT13" s="48"/>
      <c r="AU13" s="113">
        <f t="shared" si="2"/>
        <v>46124</v>
      </c>
      <c r="AV13" s="119" t="str" cm="1">
        <f t="array" ref="AV13">IF(OR(G13&gt;$C$6,G13=""),$F$8,INDEX($E$8:$Z$8,MATCH(TRUE,(F13:AA13=""),0)))</f>
        <v>9. Award Rec. Approval</v>
      </c>
      <c r="AW13" s="116" t="b">
        <f>IF(AND(G13&gt;0,G13&lt;$C$6),TRUE,FALSE)</f>
        <v>1</v>
      </c>
      <c r="AX13" s="71" t="b">
        <f>IF(AND(I13&gt;0,I13&lt;$C$6),TRUE,FALSE)</f>
        <v>1</v>
      </c>
      <c r="AY13" s="71" t="b">
        <f>IF(AND(K13&gt;0,K13&lt;$C$6),TRUE,FALSE)</f>
        <v>1</v>
      </c>
      <c r="AZ13" s="71" t="b">
        <f>IF(AND(M13&gt;0,M13&lt;$C$6),TRUE,FALSE)</f>
        <v>1</v>
      </c>
      <c r="BA13" s="71" t="b">
        <f>IF(AND(O13&gt;0,O13&lt;$C$6),TRUE,FALSE)</f>
        <v>1</v>
      </c>
      <c r="BB13" s="71" t="b">
        <f>IF(AND(Q13&gt;0,Q13&lt;$C$6),TRUE,FALSE)</f>
        <v>1</v>
      </c>
      <c r="BC13" s="71" t="b">
        <f>IF(AND(S13&gt;0,S13&lt;$C$6),TRUE,FALSE)</f>
        <v>1</v>
      </c>
      <c r="BD13" s="71" t="b">
        <f>IF(AND(U13&gt;0,U13&lt;$C$6),TRUE,FALSE)</f>
        <v>1</v>
      </c>
      <c r="BE13" s="71" t="b">
        <f>IF(AND(W13&gt;0,W13&lt;$C$6),TRUE,FALSE)</f>
        <v>0</v>
      </c>
      <c r="BF13" s="71" t="b">
        <f>IF(AND(Y13&gt;0,Y13&lt;$C$6),TRUE,FALSE)</f>
        <v>0</v>
      </c>
      <c r="BG13" s="89" t="b">
        <f>IF(AND(AA13&gt;0,AA13&lt;$C$6),TRUE,FALSE)</f>
        <v>0</v>
      </c>
      <c r="BH13" s="146"/>
    </row>
    <row r="14" spans="1:60" ht="23.25" x14ac:dyDescent="0.25">
      <c r="A14" s="55"/>
      <c r="B14" s="49"/>
      <c r="C14" s="50" t="s">
        <v>115</v>
      </c>
      <c r="D14" s="51"/>
      <c r="E14" s="51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1"/>
      <c r="AC14" s="51"/>
      <c r="AD14" s="132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1"/>
      <c r="BF14" s="51"/>
      <c r="BG14" s="88"/>
      <c r="BH14" s="146"/>
    </row>
    <row r="15" spans="1:60" ht="26.25" x14ac:dyDescent="0.25">
      <c r="A15" s="56" cm="1">
        <f t="array" ref="A15">SUMPRODUCT(($AV$10:$AV$26&lt;&gt;"")*(ROW($AV$10:$AV$26)&lt;=ROW()))</f>
        <v>4</v>
      </c>
      <c r="B15" s="57"/>
      <c r="C15" s="58" t="s">
        <v>340</v>
      </c>
      <c r="D15" s="93"/>
      <c r="E15" s="16"/>
      <c r="F15" s="29">
        <f>H15-$H$7</f>
        <v>45953</v>
      </c>
      <c r="G15" s="42"/>
      <c r="H15" s="29">
        <f>J15-$J$7</f>
        <v>45960</v>
      </c>
      <c r="I15" s="42"/>
      <c r="J15" s="29">
        <f>L15-$L$7</f>
        <v>45966</v>
      </c>
      <c r="K15" s="42"/>
      <c r="L15" s="29">
        <f>N15-$N$7</f>
        <v>45969</v>
      </c>
      <c r="M15" s="42"/>
      <c r="N15" s="29">
        <f>P15-$P$7</f>
        <v>45999</v>
      </c>
      <c r="O15" s="42"/>
      <c r="P15" s="29">
        <f>R15-$R$7</f>
        <v>46009</v>
      </c>
      <c r="Q15" s="42"/>
      <c r="R15" s="29">
        <f>T15-$T$7</f>
        <v>46029</v>
      </c>
      <c r="S15" s="42"/>
      <c r="T15" s="29">
        <f>V15-$V$7</f>
        <v>46036</v>
      </c>
      <c r="U15" s="42"/>
      <c r="V15" s="29">
        <f>X15-$X$7</f>
        <v>46043</v>
      </c>
      <c r="W15" s="42"/>
      <c r="X15" s="29">
        <f t="shared" ref="X15:X20" si="3">AN15</f>
        <v>46048</v>
      </c>
      <c r="Y15" s="42"/>
      <c r="Z15" s="30">
        <f>X15+$Z$7</f>
        <v>46058</v>
      </c>
      <c r="AA15" s="42"/>
      <c r="AB15" s="31">
        <f>IF(AV15="10. Issued to Contractor","-",IF(AV15="11. Subcontract Agreement signed","-",MAX(AN15,AR15)-$C$6))</f>
        <v>-64</v>
      </c>
      <c r="AC15" s="16"/>
      <c r="AD15" s="131">
        <f t="shared" ref="AD15:AD20" si="4">SUM($H$7:$Y$7)</f>
        <v>95</v>
      </c>
      <c r="AE15" s="16"/>
      <c r="AF15" s="95"/>
      <c r="AG15" s="67"/>
      <c r="AH15" s="67">
        <v>2000000</v>
      </c>
      <c r="AI15" s="67"/>
      <c r="AJ15" s="68" t="str">
        <f>IF(AI15&gt;0,SUM(AH15)-SUM(AI15),"")</f>
        <v/>
      </c>
      <c r="AK15" s="102"/>
      <c r="AL15" s="48"/>
      <c r="AM15" s="105">
        <v>210</v>
      </c>
      <c r="AN15" s="69">
        <f>$M$3+AM15-1</f>
        <v>46048</v>
      </c>
      <c r="AO15" s="107">
        <f>AN15-AU15</f>
        <v>-159</v>
      </c>
      <c r="AP15" s="48"/>
      <c r="AQ15" s="111"/>
      <c r="AR15" s="70">
        <f>IFERROR(WORKDAY.INTL(AN15,AQ15,11),"")</f>
        <v>46048</v>
      </c>
      <c r="AS15" s="107">
        <f>AR15-AU15</f>
        <v>-159</v>
      </c>
      <c r="AT15" s="48"/>
      <c r="AU15" s="113">
        <f t="shared" ref="AU15:AU20" si="5">IF(Y15&gt;0,Y15,IFERROR(MAX(_xlfn.XLOOKUP($AV15,$H$8:$Z$8,$G15:$Y15),$C$6)+(AN15-_xlfn.XLOOKUP($AV15,$H$8:$Z$8,$F15:$X15))*AD15/SUM($H$7:$Y$7),$C$6+SUM(AD15)))</f>
        <v>46207</v>
      </c>
      <c r="AV15" s="119" t="str" cm="1">
        <f t="array" ref="AV15">IF(OR(G15&gt;$C$6,G15=""),$F$8,INDEX($E$8:$Z$8,MATCH(TRUE,(F15:AA15=""),0)))</f>
        <v>1. Tender Docs &amp; BOQ</v>
      </c>
      <c r="AW15" s="116" t="b">
        <f>IF(AND(G15&gt;0,G15&lt;$C$6),TRUE,FALSE)</f>
        <v>0</v>
      </c>
      <c r="AX15" s="71" t="b">
        <f>IF(AND(I15&gt;0,I15&lt;$C$6),TRUE,FALSE)</f>
        <v>0</v>
      </c>
      <c r="AY15" s="71" t="b">
        <f>IF(AND(K15&gt;0,K15&lt;$C$6),TRUE,FALSE)</f>
        <v>0</v>
      </c>
      <c r="AZ15" s="71" t="b">
        <f>IF(AND(M15&gt;0,M15&lt;$C$6),TRUE,FALSE)</f>
        <v>0</v>
      </c>
      <c r="BA15" s="71" t="b">
        <f>IF(AND(O15&gt;0,O15&lt;$C$6),TRUE,FALSE)</f>
        <v>0</v>
      </c>
      <c r="BB15" s="71" t="b">
        <f>IF(AND(Q15&gt;0,Q15&lt;$C$6),TRUE,FALSE)</f>
        <v>0</v>
      </c>
      <c r="BC15" s="71" t="b">
        <f>IF(AND(S15&gt;0,S15&lt;$C$6),TRUE,FALSE)</f>
        <v>0</v>
      </c>
      <c r="BD15" s="71" t="b">
        <f>IF(AND(U15&gt;0,U15&lt;$C$6),TRUE,FALSE)</f>
        <v>0</v>
      </c>
      <c r="BE15" s="71" t="b">
        <f>IF(AND(W15&gt;0,W15&lt;$C$6),TRUE,FALSE)</f>
        <v>0</v>
      </c>
      <c r="BF15" s="71" t="b">
        <f>IF(AND(Y15&gt;0,Y15&lt;$C$6),TRUE,FALSE)</f>
        <v>0</v>
      </c>
      <c r="BG15" s="89" t="b">
        <f>IF(AND(AA15&gt;0,AA15&lt;$C$6),TRUE,FALSE)</f>
        <v>0</v>
      </c>
      <c r="BH15" s="146"/>
    </row>
    <row r="16" spans="1:60" ht="23.25" x14ac:dyDescent="0.25">
      <c r="A16" s="53"/>
      <c r="B16" s="49"/>
      <c r="C16" s="50" t="s">
        <v>128</v>
      </c>
      <c r="D16" s="51"/>
      <c r="E16" s="51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1"/>
      <c r="AC16" s="51"/>
      <c r="AD16" s="132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  <c r="BC16" s="51"/>
      <c r="BD16" s="51"/>
      <c r="BE16" s="51"/>
      <c r="BF16" s="51"/>
      <c r="BG16" s="88"/>
      <c r="BH16" s="146"/>
    </row>
    <row r="17" spans="1:60" ht="26.25" x14ac:dyDescent="0.25">
      <c r="A17" s="56" cm="1">
        <f t="array" ref="A17">SUMPRODUCT(($AV$10:$AV$26&lt;&gt;"")*(ROW($AV$10:$AV$26)&lt;=ROW()))</f>
        <v>5</v>
      </c>
      <c r="B17" s="59"/>
      <c r="C17" s="60" t="s">
        <v>234</v>
      </c>
      <c r="D17" s="59" t="s">
        <v>3</v>
      </c>
      <c r="E17" s="43"/>
      <c r="F17" s="44">
        <f t="shared" ref="F17:F22" si="6">H17-$H$7</f>
        <v>45953</v>
      </c>
      <c r="G17" s="45"/>
      <c r="H17" s="44">
        <f t="shared" ref="H17:H22" si="7">J17-$J$7</f>
        <v>45960</v>
      </c>
      <c r="I17" s="45"/>
      <c r="J17" s="44">
        <f t="shared" ref="J17:J22" si="8">L17-$L$7</f>
        <v>45966</v>
      </c>
      <c r="K17" s="45"/>
      <c r="L17" s="44">
        <f t="shared" ref="L17:L22" si="9">N17-$N$7</f>
        <v>45969</v>
      </c>
      <c r="M17" s="45"/>
      <c r="N17" s="44">
        <f t="shared" ref="N17:N22" si="10">P17-$P$7</f>
        <v>45999</v>
      </c>
      <c r="O17" s="45"/>
      <c r="P17" s="44">
        <f t="shared" ref="P17:P22" si="11">R17-$R$7</f>
        <v>46009</v>
      </c>
      <c r="Q17" s="45"/>
      <c r="R17" s="44">
        <f t="shared" ref="R17:R22" si="12">T17-$T$7</f>
        <v>46029</v>
      </c>
      <c r="S17" s="45"/>
      <c r="T17" s="44">
        <f t="shared" ref="T17:T22" si="13">V17-$V$7</f>
        <v>46036</v>
      </c>
      <c r="U17" s="45"/>
      <c r="V17" s="44">
        <f t="shared" ref="V17:V22" si="14">X17-$X$7</f>
        <v>46043</v>
      </c>
      <c r="W17" s="45"/>
      <c r="X17" s="44">
        <f t="shared" si="3"/>
        <v>46048</v>
      </c>
      <c r="Y17" s="45"/>
      <c r="Z17" s="46">
        <f t="shared" ref="Z17:Z22" si="15">X17+$Z$7</f>
        <v>46058</v>
      </c>
      <c r="AA17" s="45"/>
      <c r="AB17" s="32">
        <f t="shared" ref="AB17:AB22" si="16">IF(AV17="10. Issued to Contractor","-",IF(AV17="11. Subcontract Agreement signed","-",MAX(AN17,AR17)-$C$6))</f>
        <v>-64</v>
      </c>
      <c r="AC17" s="16"/>
      <c r="AD17" s="131">
        <f t="shared" si="4"/>
        <v>95</v>
      </c>
      <c r="AE17" s="16"/>
      <c r="AF17" s="96">
        <v>20010091</v>
      </c>
      <c r="AG17" s="72"/>
      <c r="AH17" s="72">
        <v>17760000</v>
      </c>
      <c r="AI17" s="72"/>
      <c r="AJ17" s="73" t="str">
        <f t="shared" ref="AJ17:AJ22" si="17">IF(AI17&gt;0,SUM(AH17)-SUM(AI17),"")</f>
        <v/>
      </c>
      <c r="AK17" s="101"/>
      <c r="AL17" s="48"/>
      <c r="AM17" s="104">
        <v>210</v>
      </c>
      <c r="AN17" s="74">
        <f t="shared" ref="AN17:AN22" si="18">$M$3+AM17-1</f>
        <v>46048</v>
      </c>
      <c r="AO17" s="108">
        <f>AN17-AU17</f>
        <v>-159</v>
      </c>
      <c r="AP17" s="48"/>
      <c r="AQ17" s="110"/>
      <c r="AR17" s="75">
        <f>IFERROR(WORKDAY.INTL(AN17,AQ17,11),"")</f>
        <v>46048</v>
      </c>
      <c r="AS17" s="108">
        <f>AR17-AU17</f>
        <v>-159</v>
      </c>
      <c r="AT17" s="48"/>
      <c r="AU17" s="114">
        <f t="shared" si="5"/>
        <v>46207</v>
      </c>
      <c r="AV17" s="120" t="str" cm="1">
        <f t="array" ref="AV17">IF(OR(G17&gt;$C$6,G17=""),$F$8,INDEX($E$8:$Z$8,MATCH(TRUE,(F17:AA17=""),0)))</f>
        <v>1. Tender Docs &amp; BOQ</v>
      </c>
      <c r="AW17" s="117" t="b">
        <f t="shared" ref="AW17:AW22" si="19">IF(AND(G17&gt;0,G17&lt;$C$6),TRUE,FALSE)</f>
        <v>0</v>
      </c>
      <c r="AX17" s="76" t="b">
        <f t="shared" ref="AX17:AX22" si="20">IF(AND(I17&gt;0,I17&lt;$C$6),TRUE,FALSE)</f>
        <v>0</v>
      </c>
      <c r="AY17" s="76" t="b">
        <f t="shared" ref="AY17:AY22" si="21">IF(AND(K17&gt;0,K17&lt;$C$6),TRUE,FALSE)</f>
        <v>0</v>
      </c>
      <c r="AZ17" s="76" t="b">
        <f t="shared" ref="AZ17:AZ22" si="22">IF(AND(M17&gt;0,M17&lt;$C$6),TRUE,FALSE)</f>
        <v>0</v>
      </c>
      <c r="BA17" s="76" t="b">
        <f t="shared" ref="BA17:BA22" si="23">IF(AND(O17&gt;0,O17&lt;$C$6),TRUE,FALSE)</f>
        <v>0</v>
      </c>
      <c r="BB17" s="76" t="b">
        <f t="shared" ref="BB17:BB22" si="24">IF(AND(Q17&gt;0,Q17&lt;$C$6),TRUE,FALSE)</f>
        <v>0</v>
      </c>
      <c r="BC17" s="76" t="b">
        <f t="shared" ref="BC17:BC22" si="25">IF(AND(S17&gt;0,S17&lt;$C$6),TRUE,FALSE)</f>
        <v>0</v>
      </c>
      <c r="BD17" s="76" t="b">
        <f t="shared" ref="BD17:BD22" si="26">IF(AND(U17&gt;0,U17&lt;$C$6),TRUE,FALSE)</f>
        <v>0</v>
      </c>
      <c r="BE17" s="76" t="b">
        <f t="shared" ref="BE17:BE22" si="27">IF(AND(W17&gt;0,W17&lt;$C$6),TRUE,FALSE)</f>
        <v>0</v>
      </c>
      <c r="BF17" s="76" t="b">
        <f t="shared" ref="BF17:BF22" si="28">IF(AND(Y17&gt;0,Y17&lt;$C$6),TRUE,FALSE)</f>
        <v>0</v>
      </c>
      <c r="BG17" s="90" t="b">
        <f t="shared" ref="BG17:BG22" si="29">IF(AND(AA17&gt;0,AA17&lt;$C$6),TRUE,FALSE)</f>
        <v>0</v>
      </c>
      <c r="BH17" s="146"/>
    </row>
    <row r="18" spans="1:60" ht="26.25" x14ac:dyDescent="0.25">
      <c r="A18" s="56" cm="1">
        <f t="array" ref="A18">SUMPRODUCT(($AV$10:$AV$26&lt;&gt;"")*(ROW($AV$10:$AV$26)&lt;=ROW()))</f>
        <v>6</v>
      </c>
      <c r="B18" s="57"/>
      <c r="C18" s="58" t="s">
        <v>276</v>
      </c>
      <c r="D18" s="93" t="s">
        <v>3</v>
      </c>
      <c r="E18" s="16"/>
      <c r="F18" s="29">
        <f t="shared" si="6"/>
        <v>45983</v>
      </c>
      <c r="G18" s="42"/>
      <c r="H18" s="29">
        <f t="shared" si="7"/>
        <v>45990</v>
      </c>
      <c r="I18" s="42"/>
      <c r="J18" s="29">
        <f t="shared" si="8"/>
        <v>45996</v>
      </c>
      <c r="K18" s="42"/>
      <c r="L18" s="29">
        <f t="shared" si="9"/>
        <v>45999</v>
      </c>
      <c r="M18" s="42"/>
      <c r="N18" s="29">
        <f t="shared" si="10"/>
        <v>46029</v>
      </c>
      <c r="O18" s="42"/>
      <c r="P18" s="29">
        <f t="shared" si="11"/>
        <v>46039</v>
      </c>
      <c r="Q18" s="42"/>
      <c r="R18" s="29">
        <f t="shared" si="12"/>
        <v>46059</v>
      </c>
      <c r="S18" s="42"/>
      <c r="T18" s="29">
        <f t="shared" si="13"/>
        <v>46066</v>
      </c>
      <c r="U18" s="42"/>
      <c r="V18" s="29">
        <f t="shared" si="14"/>
        <v>46073</v>
      </c>
      <c r="W18" s="42"/>
      <c r="X18" s="29">
        <f t="shared" si="3"/>
        <v>46078</v>
      </c>
      <c r="Y18" s="42"/>
      <c r="Z18" s="30">
        <f t="shared" si="15"/>
        <v>46088</v>
      </c>
      <c r="AA18" s="42"/>
      <c r="AB18" s="31">
        <f t="shared" si="16"/>
        <v>-34</v>
      </c>
      <c r="AC18" s="16"/>
      <c r="AD18" s="131">
        <f t="shared" si="4"/>
        <v>95</v>
      </c>
      <c r="AE18" s="16"/>
      <c r="AF18" s="95">
        <v>12902741</v>
      </c>
      <c r="AG18" s="67"/>
      <c r="AH18" s="67">
        <v>11100000</v>
      </c>
      <c r="AI18" s="67"/>
      <c r="AJ18" s="68" t="str">
        <f t="shared" si="17"/>
        <v/>
      </c>
      <c r="AK18" s="102"/>
      <c r="AL18" s="48"/>
      <c r="AM18" s="105">
        <v>240</v>
      </c>
      <c r="AN18" s="69">
        <f t="shared" si="18"/>
        <v>46078</v>
      </c>
      <c r="AO18" s="107">
        <f>AN18-AU18</f>
        <v>-129</v>
      </c>
      <c r="AP18" s="48"/>
      <c r="AQ18" s="111"/>
      <c r="AR18" s="70">
        <f>IFERROR(WORKDAY.INTL(AN18,AQ18,11),"")</f>
        <v>46078</v>
      </c>
      <c r="AS18" s="107">
        <f>AR18-AU18</f>
        <v>-129</v>
      </c>
      <c r="AT18" s="48"/>
      <c r="AU18" s="113">
        <f t="shared" si="5"/>
        <v>46207</v>
      </c>
      <c r="AV18" s="119" t="str" cm="1">
        <f t="array" ref="AV18">IF(OR(G18&gt;$C$6,G18=""),$F$8,INDEX($E$8:$Z$8,MATCH(TRUE,(F18:AA18=""),0)))</f>
        <v>1. Tender Docs &amp; BOQ</v>
      </c>
      <c r="AW18" s="116" t="b">
        <f t="shared" si="19"/>
        <v>0</v>
      </c>
      <c r="AX18" s="71" t="b">
        <f t="shared" si="20"/>
        <v>0</v>
      </c>
      <c r="AY18" s="71" t="b">
        <f t="shared" si="21"/>
        <v>0</v>
      </c>
      <c r="AZ18" s="71" t="b">
        <f t="shared" si="22"/>
        <v>0</v>
      </c>
      <c r="BA18" s="71" t="b">
        <f t="shared" si="23"/>
        <v>0</v>
      </c>
      <c r="BB18" s="71" t="b">
        <f t="shared" si="24"/>
        <v>0</v>
      </c>
      <c r="BC18" s="71" t="b">
        <f t="shared" si="25"/>
        <v>0</v>
      </c>
      <c r="BD18" s="71" t="b">
        <f t="shared" si="26"/>
        <v>0</v>
      </c>
      <c r="BE18" s="71" t="b">
        <f t="shared" si="27"/>
        <v>0</v>
      </c>
      <c r="BF18" s="71" t="b">
        <f t="shared" si="28"/>
        <v>0</v>
      </c>
      <c r="BG18" s="89" t="b">
        <f t="shared" si="29"/>
        <v>0</v>
      </c>
      <c r="BH18" s="146"/>
    </row>
    <row r="19" spans="1:60" ht="26.25" x14ac:dyDescent="0.25">
      <c r="A19" s="56" cm="1">
        <f t="array" ref="A19">SUMPRODUCT(($AV$10:$AV$26&lt;&gt;"")*(ROW($AV$10:$AV$26)&lt;=ROW()))</f>
        <v>7</v>
      </c>
      <c r="B19" s="59"/>
      <c r="C19" s="60" t="s">
        <v>233</v>
      </c>
      <c r="D19" s="59" t="s">
        <v>3</v>
      </c>
      <c r="E19" s="43"/>
      <c r="F19" s="44">
        <f t="shared" si="6"/>
        <v>45983</v>
      </c>
      <c r="G19" s="45"/>
      <c r="H19" s="44">
        <f t="shared" si="7"/>
        <v>45990</v>
      </c>
      <c r="I19" s="45"/>
      <c r="J19" s="44">
        <f t="shared" si="8"/>
        <v>45996</v>
      </c>
      <c r="K19" s="45"/>
      <c r="L19" s="44">
        <f t="shared" si="9"/>
        <v>45999</v>
      </c>
      <c r="M19" s="45"/>
      <c r="N19" s="44">
        <f t="shared" si="10"/>
        <v>46029</v>
      </c>
      <c r="O19" s="45"/>
      <c r="P19" s="44">
        <f t="shared" si="11"/>
        <v>46039</v>
      </c>
      <c r="Q19" s="45"/>
      <c r="R19" s="44">
        <f t="shared" si="12"/>
        <v>46059</v>
      </c>
      <c r="S19" s="45"/>
      <c r="T19" s="44">
        <f t="shared" si="13"/>
        <v>46066</v>
      </c>
      <c r="U19" s="45"/>
      <c r="V19" s="44">
        <f t="shared" si="14"/>
        <v>46073</v>
      </c>
      <c r="W19" s="45"/>
      <c r="X19" s="44">
        <f t="shared" si="3"/>
        <v>46078</v>
      </c>
      <c r="Y19" s="45"/>
      <c r="Z19" s="46">
        <f t="shared" si="15"/>
        <v>46088</v>
      </c>
      <c r="AA19" s="45"/>
      <c r="AB19" s="32">
        <f t="shared" si="16"/>
        <v>-34</v>
      </c>
      <c r="AC19" s="16"/>
      <c r="AD19" s="131">
        <f t="shared" si="4"/>
        <v>95</v>
      </c>
      <c r="AE19" s="16"/>
      <c r="AF19" s="96">
        <v>7884722</v>
      </c>
      <c r="AG19" s="72"/>
      <c r="AH19" s="72">
        <v>6660000</v>
      </c>
      <c r="AI19" s="72"/>
      <c r="AJ19" s="73" t="str">
        <f t="shared" si="17"/>
        <v/>
      </c>
      <c r="AK19" s="101"/>
      <c r="AL19" s="48"/>
      <c r="AM19" s="104">
        <v>240</v>
      </c>
      <c r="AN19" s="74">
        <f t="shared" si="18"/>
        <v>46078</v>
      </c>
      <c r="AO19" s="108">
        <f>AN19-AU19</f>
        <v>-129</v>
      </c>
      <c r="AP19" s="48"/>
      <c r="AQ19" s="110"/>
      <c r="AR19" s="75">
        <f>IFERROR(WORKDAY.INTL(AN19,AQ19,11),"")</f>
        <v>46078</v>
      </c>
      <c r="AS19" s="108">
        <f>AR19-AU19</f>
        <v>-129</v>
      </c>
      <c r="AT19" s="48"/>
      <c r="AU19" s="114">
        <f t="shared" si="5"/>
        <v>46207</v>
      </c>
      <c r="AV19" s="120" t="str" cm="1">
        <f t="array" ref="AV19">IF(OR(G19&gt;$C$6,G19=""),$F$8,INDEX($E$8:$Z$8,MATCH(TRUE,(F19:AA19=""),0)))</f>
        <v>1. Tender Docs &amp; BOQ</v>
      </c>
      <c r="AW19" s="117" t="b">
        <f t="shared" si="19"/>
        <v>0</v>
      </c>
      <c r="AX19" s="76" t="b">
        <f t="shared" si="20"/>
        <v>0</v>
      </c>
      <c r="AY19" s="76" t="b">
        <f t="shared" si="21"/>
        <v>0</v>
      </c>
      <c r="AZ19" s="76" t="b">
        <f t="shared" si="22"/>
        <v>0</v>
      </c>
      <c r="BA19" s="76" t="b">
        <f t="shared" si="23"/>
        <v>0</v>
      </c>
      <c r="BB19" s="76" t="b">
        <f t="shared" si="24"/>
        <v>0</v>
      </c>
      <c r="BC19" s="76" t="b">
        <f t="shared" si="25"/>
        <v>0</v>
      </c>
      <c r="BD19" s="76" t="b">
        <f t="shared" si="26"/>
        <v>0</v>
      </c>
      <c r="BE19" s="76" t="b">
        <f t="shared" si="27"/>
        <v>0</v>
      </c>
      <c r="BF19" s="76" t="b">
        <f t="shared" si="28"/>
        <v>0</v>
      </c>
      <c r="BG19" s="90" t="b">
        <f t="shared" si="29"/>
        <v>0</v>
      </c>
      <c r="BH19" s="146"/>
    </row>
    <row r="20" spans="1:60" ht="26.25" x14ac:dyDescent="0.25">
      <c r="A20" s="56" cm="1">
        <f t="array" ref="A20">SUMPRODUCT(($AV$10:$AV$26&lt;&gt;"")*(ROW($AV$10:$AV$26)&lt;=ROW()))</f>
        <v>8</v>
      </c>
      <c r="B20" s="57"/>
      <c r="C20" s="58" t="s">
        <v>341</v>
      </c>
      <c r="D20" s="93" t="s">
        <v>3</v>
      </c>
      <c r="E20" s="16"/>
      <c r="F20" s="29">
        <f t="shared" si="6"/>
        <v>45983</v>
      </c>
      <c r="G20" s="42"/>
      <c r="H20" s="29">
        <f t="shared" si="7"/>
        <v>45990</v>
      </c>
      <c r="I20" s="42"/>
      <c r="J20" s="29">
        <f t="shared" si="8"/>
        <v>45996</v>
      </c>
      <c r="K20" s="42"/>
      <c r="L20" s="29">
        <f t="shared" si="9"/>
        <v>45999</v>
      </c>
      <c r="M20" s="42"/>
      <c r="N20" s="29">
        <f t="shared" si="10"/>
        <v>46029</v>
      </c>
      <c r="O20" s="42"/>
      <c r="P20" s="29">
        <f t="shared" si="11"/>
        <v>46039</v>
      </c>
      <c r="Q20" s="42"/>
      <c r="R20" s="29">
        <f t="shared" si="12"/>
        <v>46059</v>
      </c>
      <c r="S20" s="42"/>
      <c r="T20" s="29">
        <f t="shared" si="13"/>
        <v>46066</v>
      </c>
      <c r="U20" s="42"/>
      <c r="V20" s="29">
        <f t="shared" si="14"/>
        <v>46073</v>
      </c>
      <c r="W20" s="42"/>
      <c r="X20" s="29">
        <f t="shared" si="3"/>
        <v>46078</v>
      </c>
      <c r="Y20" s="42"/>
      <c r="Z20" s="30">
        <f t="shared" si="15"/>
        <v>46088</v>
      </c>
      <c r="AA20" s="42"/>
      <c r="AB20" s="31">
        <f t="shared" si="16"/>
        <v>-34</v>
      </c>
      <c r="AC20" s="16"/>
      <c r="AD20" s="131">
        <f t="shared" si="4"/>
        <v>95</v>
      </c>
      <c r="AE20" s="16"/>
      <c r="AF20" s="95">
        <v>1043761</v>
      </c>
      <c r="AG20" s="67"/>
      <c r="AH20" s="67">
        <v>888000</v>
      </c>
      <c r="AI20" s="67"/>
      <c r="AJ20" s="68" t="str">
        <f t="shared" si="17"/>
        <v/>
      </c>
      <c r="AK20" s="102"/>
      <c r="AL20" s="48"/>
      <c r="AM20" s="105">
        <v>240</v>
      </c>
      <c r="AN20" s="69">
        <f t="shared" si="18"/>
        <v>46078</v>
      </c>
      <c r="AO20" s="107">
        <f>AN20-AU20</f>
        <v>-129</v>
      </c>
      <c r="AP20" s="48"/>
      <c r="AQ20" s="111"/>
      <c r="AR20" s="70">
        <f>IFERROR(WORKDAY.INTL(AN20,AQ20,11),"")</f>
        <v>46078</v>
      </c>
      <c r="AS20" s="107">
        <f>AR20-AU20</f>
        <v>-129</v>
      </c>
      <c r="AT20" s="48"/>
      <c r="AU20" s="113">
        <f t="shared" si="5"/>
        <v>46207</v>
      </c>
      <c r="AV20" s="119" t="str" cm="1">
        <f t="array" ref="AV20">IF(OR(G20&gt;$C$6,G20=""),$F$8,INDEX($E$8:$Z$8,MATCH(TRUE,(F20:AA20=""),0)))</f>
        <v>1. Tender Docs &amp; BOQ</v>
      </c>
      <c r="AW20" s="116" t="b">
        <f t="shared" si="19"/>
        <v>0</v>
      </c>
      <c r="AX20" s="71" t="b">
        <f t="shared" si="20"/>
        <v>0</v>
      </c>
      <c r="AY20" s="71" t="b">
        <f t="shared" si="21"/>
        <v>0</v>
      </c>
      <c r="AZ20" s="71" t="b">
        <f t="shared" si="22"/>
        <v>0</v>
      </c>
      <c r="BA20" s="71" t="b">
        <f t="shared" si="23"/>
        <v>0</v>
      </c>
      <c r="BB20" s="71" t="b">
        <f t="shared" si="24"/>
        <v>0</v>
      </c>
      <c r="BC20" s="71" t="b">
        <f t="shared" si="25"/>
        <v>0</v>
      </c>
      <c r="BD20" s="71" t="b">
        <f t="shared" si="26"/>
        <v>0</v>
      </c>
      <c r="BE20" s="71" t="b">
        <f t="shared" si="27"/>
        <v>0</v>
      </c>
      <c r="BF20" s="71" t="b">
        <f t="shared" si="28"/>
        <v>0</v>
      </c>
      <c r="BG20" s="89" t="b">
        <f t="shared" si="29"/>
        <v>0</v>
      </c>
      <c r="BH20" s="146"/>
    </row>
    <row r="21" spans="1:60" ht="26.25" x14ac:dyDescent="0.25">
      <c r="A21" s="56" cm="1">
        <f t="array" ref="A21">SUMPRODUCT(($AV$10:$AV$26&lt;&gt;"")*(ROW($AV$10:$AV$26)&lt;=ROW()))</f>
        <v>9</v>
      </c>
      <c r="B21" s="59"/>
      <c r="C21" s="60" t="s">
        <v>342</v>
      </c>
      <c r="D21" s="59" t="s">
        <v>3</v>
      </c>
      <c r="E21" s="43"/>
      <c r="F21" s="44">
        <f t="shared" si="6"/>
        <v>46013</v>
      </c>
      <c r="G21" s="45"/>
      <c r="H21" s="44">
        <f t="shared" si="7"/>
        <v>46020</v>
      </c>
      <c r="I21" s="45"/>
      <c r="J21" s="44">
        <f t="shared" si="8"/>
        <v>46026</v>
      </c>
      <c r="K21" s="45"/>
      <c r="L21" s="44">
        <f t="shared" si="9"/>
        <v>46029</v>
      </c>
      <c r="M21" s="45"/>
      <c r="N21" s="44">
        <f t="shared" si="10"/>
        <v>46059</v>
      </c>
      <c r="O21" s="45"/>
      <c r="P21" s="44">
        <f t="shared" si="11"/>
        <v>46069</v>
      </c>
      <c r="Q21" s="45"/>
      <c r="R21" s="44">
        <f t="shared" si="12"/>
        <v>46089</v>
      </c>
      <c r="S21" s="45"/>
      <c r="T21" s="44">
        <f t="shared" si="13"/>
        <v>46096</v>
      </c>
      <c r="U21" s="45"/>
      <c r="V21" s="44">
        <f t="shared" si="14"/>
        <v>46103</v>
      </c>
      <c r="W21" s="45"/>
      <c r="X21" s="44">
        <f t="shared" ref="X21:X22" si="30">AN21</f>
        <v>46108</v>
      </c>
      <c r="Y21" s="45"/>
      <c r="Z21" s="46">
        <f t="shared" si="15"/>
        <v>46118</v>
      </c>
      <c r="AA21" s="45"/>
      <c r="AB21" s="32">
        <f t="shared" si="16"/>
        <v>-4</v>
      </c>
      <c r="AC21" s="16"/>
      <c r="AD21" s="131">
        <f t="shared" ref="AD21:AD22" si="31">SUM($H$7:$Y$7)</f>
        <v>95</v>
      </c>
      <c r="AE21" s="16"/>
      <c r="AF21" s="96">
        <v>1480740</v>
      </c>
      <c r="AG21" s="72"/>
      <c r="AH21" s="72">
        <v>1200000</v>
      </c>
      <c r="AI21" s="72"/>
      <c r="AJ21" s="73" t="str">
        <f t="shared" si="17"/>
        <v/>
      </c>
      <c r="AK21" s="101"/>
      <c r="AL21" s="48"/>
      <c r="AM21" s="104">
        <v>270</v>
      </c>
      <c r="AN21" s="74">
        <f t="shared" si="18"/>
        <v>46108</v>
      </c>
      <c r="AO21" s="108">
        <f>AN21-AU21</f>
        <v>-99</v>
      </c>
      <c r="AP21" s="48"/>
      <c r="AQ21" s="110"/>
      <c r="AR21" s="75">
        <f>IFERROR(WORKDAY.INTL(AN21,AQ21,11),"")</f>
        <v>46108</v>
      </c>
      <c r="AS21" s="108">
        <f>AR21-AU21</f>
        <v>-99</v>
      </c>
      <c r="AT21" s="48"/>
      <c r="AU21" s="114">
        <f t="shared" ref="AU21:AU22" si="32">IF(Y21&gt;0,Y21,IFERROR(MAX(_xlfn.XLOOKUP($AV21,$H$8:$Z$8,$G21:$Y21),$C$6)+(AN21-_xlfn.XLOOKUP($AV21,$H$8:$Z$8,$F21:$X21))*AD21/SUM($H$7:$Y$7),$C$6+SUM(AD21)))</f>
        <v>46207</v>
      </c>
      <c r="AV21" s="120" t="str" cm="1">
        <f t="array" ref="AV21">IF(OR(G21&gt;$C$6,G21=""),$F$8,INDEX($E$8:$Z$8,MATCH(TRUE,(F21:AA21=""),0)))</f>
        <v>1. Tender Docs &amp; BOQ</v>
      </c>
      <c r="AW21" s="117" t="b">
        <f t="shared" si="19"/>
        <v>0</v>
      </c>
      <c r="AX21" s="76" t="b">
        <f t="shared" si="20"/>
        <v>0</v>
      </c>
      <c r="AY21" s="76" t="b">
        <f t="shared" si="21"/>
        <v>0</v>
      </c>
      <c r="AZ21" s="76" t="b">
        <f t="shared" si="22"/>
        <v>0</v>
      </c>
      <c r="BA21" s="76" t="b">
        <f t="shared" si="23"/>
        <v>0</v>
      </c>
      <c r="BB21" s="76" t="b">
        <f t="shared" si="24"/>
        <v>0</v>
      </c>
      <c r="BC21" s="76" t="b">
        <f t="shared" si="25"/>
        <v>0</v>
      </c>
      <c r="BD21" s="76" t="b">
        <f t="shared" si="26"/>
        <v>0</v>
      </c>
      <c r="BE21" s="76" t="b">
        <f t="shared" si="27"/>
        <v>0</v>
      </c>
      <c r="BF21" s="76" t="b">
        <f t="shared" si="28"/>
        <v>0</v>
      </c>
      <c r="BG21" s="90" t="b">
        <f t="shared" si="29"/>
        <v>0</v>
      </c>
      <c r="BH21" s="146"/>
    </row>
    <row r="22" spans="1:60" ht="26.25" x14ac:dyDescent="0.25">
      <c r="A22" s="56" cm="1">
        <f t="array" ref="A22">SUMPRODUCT(($AV$10:$AV$26&lt;&gt;"")*(ROW($AV$10:$AV$26)&lt;=ROW()))</f>
        <v>10</v>
      </c>
      <c r="B22" s="57"/>
      <c r="C22" s="58" t="s">
        <v>133</v>
      </c>
      <c r="D22" s="93" t="s">
        <v>3</v>
      </c>
      <c r="E22" s="16"/>
      <c r="F22" s="29">
        <f t="shared" si="6"/>
        <v>46013</v>
      </c>
      <c r="G22" s="42"/>
      <c r="H22" s="29">
        <f t="shared" si="7"/>
        <v>46020</v>
      </c>
      <c r="I22" s="42"/>
      <c r="J22" s="29">
        <f t="shared" si="8"/>
        <v>46026</v>
      </c>
      <c r="K22" s="42"/>
      <c r="L22" s="29">
        <f t="shared" si="9"/>
        <v>46029</v>
      </c>
      <c r="M22" s="42"/>
      <c r="N22" s="29">
        <f t="shared" si="10"/>
        <v>46059</v>
      </c>
      <c r="O22" s="42"/>
      <c r="P22" s="29">
        <f t="shared" si="11"/>
        <v>46069</v>
      </c>
      <c r="Q22" s="42"/>
      <c r="R22" s="29">
        <f t="shared" si="12"/>
        <v>46089</v>
      </c>
      <c r="S22" s="42"/>
      <c r="T22" s="29">
        <f t="shared" si="13"/>
        <v>46096</v>
      </c>
      <c r="U22" s="42"/>
      <c r="V22" s="29">
        <f t="shared" si="14"/>
        <v>46103</v>
      </c>
      <c r="W22" s="42"/>
      <c r="X22" s="29">
        <f t="shared" si="30"/>
        <v>46108</v>
      </c>
      <c r="Y22" s="42"/>
      <c r="Z22" s="30">
        <f t="shared" si="15"/>
        <v>46118</v>
      </c>
      <c r="AA22" s="42"/>
      <c r="AB22" s="31">
        <f t="shared" si="16"/>
        <v>-4</v>
      </c>
      <c r="AC22" s="16"/>
      <c r="AD22" s="131">
        <f t="shared" si="31"/>
        <v>95</v>
      </c>
      <c r="AE22" s="16"/>
      <c r="AF22" s="95"/>
      <c r="AG22" s="67"/>
      <c r="AH22" s="67">
        <v>210000</v>
      </c>
      <c r="AI22" s="67"/>
      <c r="AJ22" s="68" t="str">
        <f t="shared" si="17"/>
        <v/>
      </c>
      <c r="AK22" s="102"/>
      <c r="AL22" s="48"/>
      <c r="AM22" s="105">
        <v>270</v>
      </c>
      <c r="AN22" s="69">
        <f t="shared" si="18"/>
        <v>46108</v>
      </c>
      <c r="AO22" s="107">
        <f t="shared" ref="AO22" si="33">AN22-AU22</f>
        <v>-99</v>
      </c>
      <c r="AP22" s="48"/>
      <c r="AQ22" s="111"/>
      <c r="AR22" s="70">
        <f t="shared" ref="AR22" si="34">IFERROR(WORKDAY.INTL(AN22,AQ22,11),"")</f>
        <v>46108</v>
      </c>
      <c r="AS22" s="107">
        <f t="shared" ref="AS22" si="35">AR22-AU22</f>
        <v>-99</v>
      </c>
      <c r="AT22" s="48"/>
      <c r="AU22" s="113">
        <f t="shared" si="32"/>
        <v>46207</v>
      </c>
      <c r="AV22" s="119" t="str" cm="1">
        <f t="array" ref="AV22">IF(OR(G22&gt;$C$6,G22=""),$F$8,INDEX($E$8:$Z$8,MATCH(TRUE,(F22:AA22=""),0)))</f>
        <v>1. Tender Docs &amp; BOQ</v>
      </c>
      <c r="AW22" s="116" t="b">
        <f t="shared" si="19"/>
        <v>0</v>
      </c>
      <c r="AX22" s="71" t="b">
        <f t="shared" si="20"/>
        <v>0</v>
      </c>
      <c r="AY22" s="71" t="b">
        <f t="shared" si="21"/>
        <v>0</v>
      </c>
      <c r="AZ22" s="71" t="b">
        <f t="shared" si="22"/>
        <v>0</v>
      </c>
      <c r="BA22" s="71" t="b">
        <f t="shared" si="23"/>
        <v>0</v>
      </c>
      <c r="BB22" s="71" t="b">
        <f t="shared" si="24"/>
        <v>0</v>
      </c>
      <c r="BC22" s="71" t="b">
        <f t="shared" si="25"/>
        <v>0</v>
      </c>
      <c r="BD22" s="71" t="b">
        <f t="shared" si="26"/>
        <v>0</v>
      </c>
      <c r="BE22" s="71" t="b">
        <f t="shared" si="27"/>
        <v>0</v>
      </c>
      <c r="BF22" s="71" t="b">
        <f t="shared" si="28"/>
        <v>0</v>
      </c>
      <c r="BG22" s="89" t="b">
        <f t="shared" si="29"/>
        <v>0</v>
      </c>
      <c r="BH22" s="146"/>
    </row>
    <row r="23" spans="1:60" ht="23.25" x14ac:dyDescent="0.25">
      <c r="A23" s="54"/>
      <c r="B23" s="49"/>
      <c r="C23" s="50" t="s">
        <v>163</v>
      </c>
      <c r="D23" s="51"/>
      <c r="E23" s="51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1"/>
      <c r="AC23" s="51"/>
      <c r="AD23" s="132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  <c r="BC23" s="51"/>
      <c r="BD23" s="51"/>
      <c r="BE23" s="51"/>
      <c r="BF23" s="51"/>
      <c r="BG23" s="88"/>
      <c r="BH23" s="146"/>
    </row>
    <row r="24" spans="1:60" ht="26.25" x14ac:dyDescent="0.25">
      <c r="A24" s="56" cm="1">
        <f t="array" ref="A24">SUMPRODUCT(($AV$10:$AV$26&lt;&gt;"")*(ROW($AV$10:$AV$26)&lt;=ROW()))</f>
        <v>11</v>
      </c>
      <c r="B24" s="59"/>
      <c r="C24" s="60" t="s">
        <v>168</v>
      </c>
      <c r="D24" s="59" t="s">
        <v>7</v>
      </c>
      <c r="E24" s="43"/>
      <c r="F24" s="44">
        <f t="shared" ref="F24:F26" si="36">H24-$H$7</f>
        <v>45953</v>
      </c>
      <c r="G24" s="45"/>
      <c r="H24" s="44">
        <f t="shared" ref="H24:H26" si="37">J24-$J$7</f>
        <v>45960</v>
      </c>
      <c r="I24" s="45"/>
      <c r="J24" s="44">
        <f t="shared" ref="J24:J26" si="38">L24-$L$7</f>
        <v>45966</v>
      </c>
      <c r="K24" s="45"/>
      <c r="L24" s="44">
        <f t="shared" ref="L24:L26" si="39">N24-$N$7</f>
        <v>45969</v>
      </c>
      <c r="M24" s="45"/>
      <c r="N24" s="44">
        <f t="shared" ref="N24:N26" si="40">P24-$P$7</f>
        <v>45999</v>
      </c>
      <c r="O24" s="45"/>
      <c r="P24" s="44">
        <f t="shared" ref="P24:P26" si="41">R24-$R$7</f>
        <v>46009</v>
      </c>
      <c r="Q24" s="45"/>
      <c r="R24" s="44">
        <f t="shared" ref="R24:R26" si="42">T24-$T$7</f>
        <v>46029</v>
      </c>
      <c r="S24" s="45"/>
      <c r="T24" s="44">
        <f t="shared" ref="T24:T26" si="43">V24-$V$7</f>
        <v>46036</v>
      </c>
      <c r="U24" s="45"/>
      <c r="V24" s="44">
        <f t="shared" ref="V24:V26" si="44">X24-$X$7</f>
        <v>46043</v>
      </c>
      <c r="W24" s="45"/>
      <c r="X24" s="44">
        <f t="shared" ref="X24:X26" si="45">AN24</f>
        <v>46048</v>
      </c>
      <c r="Y24" s="45"/>
      <c r="Z24" s="46">
        <f t="shared" ref="Z24:Z26" si="46">X24+$Z$7</f>
        <v>46058</v>
      </c>
      <c r="AA24" s="45"/>
      <c r="AB24" s="32">
        <f t="shared" ref="AB24:AB26" si="47">IF(AV24="10. Issued to Contractor","-",IF(AV24="11. Subcontract Agreement signed","-",MAX(AN24,AR24)-$C$6))</f>
        <v>-64</v>
      </c>
      <c r="AC24" s="16"/>
      <c r="AD24" s="131">
        <f t="shared" ref="AD24:AD26" si="48">SUM($H$7:$Y$7)</f>
        <v>95</v>
      </c>
      <c r="AE24" s="16"/>
      <c r="AF24" s="96">
        <v>4337607</v>
      </c>
      <c r="AG24" s="72"/>
      <c r="AH24" s="72">
        <v>3330000</v>
      </c>
      <c r="AI24" s="72"/>
      <c r="AJ24" s="73" t="str">
        <f>IF(AI24&gt;0,SUM(AH24)-SUM(AI24),"")</f>
        <v/>
      </c>
      <c r="AK24" s="101"/>
      <c r="AL24" s="48"/>
      <c r="AM24" s="104">
        <v>210</v>
      </c>
      <c r="AN24" s="74">
        <f t="shared" ref="AN24:AN26" si="49">$M$3+AM24-1</f>
        <v>46048</v>
      </c>
      <c r="AO24" s="108">
        <f t="shared" ref="AO24:AO26" si="50">AN24-AU24</f>
        <v>-159</v>
      </c>
      <c r="AP24" s="48"/>
      <c r="AQ24" s="110"/>
      <c r="AR24" s="75">
        <f t="shared" ref="AR24:AR26" si="51">IFERROR(WORKDAY.INTL(AN24,AQ24,11),"")</f>
        <v>46048</v>
      </c>
      <c r="AS24" s="108">
        <f t="shared" ref="AS24:AS26" si="52">AR24-AU24</f>
        <v>-159</v>
      </c>
      <c r="AT24" s="48"/>
      <c r="AU24" s="114">
        <f t="shared" ref="AU24:AU26" si="53">IF(Y24&gt;0,Y24,IFERROR(MAX(_xlfn.XLOOKUP($AV24,$H$8:$Z$8,$G24:$Y24),$C$6)+(AN24-_xlfn.XLOOKUP($AV24,$H$8:$Z$8,$F24:$X24))*AD24/SUM($H$7:$Y$7),$C$6+SUM(AD24)))</f>
        <v>46207</v>
      </c>
      <c r="AV24" s="120" t="str" cm="1">
        <f t="array" ref="AV24">IF(OR(G24&gt;$C$6,G24=""),$F$8,INDEX($E$8:$Z$8,MATCH(TRUE,(F24:AA24=""),0)))</f>
        <v>1. Tender Docs &amp; BOQ</v>
      </c>
      <c r="AW24" s="117" t="b">
        <f t="shared" ref="AW24:AW26" si="54">IF(AND(G24&gt;0,G24&lt;$C$6),TRUE,FALSE)</f>
        <v>0</v>
      </c>
      <c r="AX24" s="76" t="b">
        <f t="shared" ref="AX24:AX26" si="55">IF(AND(I24&gt;0,I24&lt;$C$6),TRUE,FALSE)</f>
        <v>0</v>
      </c>
      <c r="AY24" s="76" t="b">
        <f t="shared" ref="AY24:AY26" si="56">IF(AND(K24&gt;0,K24&lt;$C$6),TRUE,FALSE)</f>
        <v>0</v>
      </c>
      <c r="AZ24" s="76" t="b">
        <f t="shared" ref="AZ24:AZ26" si="57">IF(AND(M24&gt;0,M24&lt;$C$6),TRUE,FALSE)</f>
        <v>0</v>
      </c>
      <c r="BA24" s="76" t="b">
        <f t="shared" ref="BA24:BA26" si="58">IF(AND(O24&gt;0,O24&lt;$C$6),TRUE,FALSE)</f>
        <v>0</v>
      </c>
      <c r="BB24" s="76" t="b">
        <f t="shared" ref="BB24:BB26" si="59">IF(AND(Q24&gt;0,Q24&lt;$C$6),TRUE,FALSE)</f>
        <v>0</v>
      </c>
      <c r="BC24" s="76" t="b">
        <f t="shared" ref="BC24:BC26" si="60">IF(AND(S24&gt;0,S24&lt;$C$6),TRUE,FALSE)</f>
        <v>0</v>
      </c>
      <c r="BD24" s="76" t="b">
        <f t="shared" ref="BD24:BD26" si="61">IF(AND(U24&gt;0,U24&lt;$C$6),TRUE,FALSE)</f>
        <v>0</v>
      </c>
      <c r="BE24" s="76" t="b">
        <f t="shared" ref="BE24:BE26" si="62">IF(AND(W24&gt;0,W24&lt;$C$6),TRUE,FALSE)</f>
        <v>0</v>
      </c>
      <c r="BF24" s="76" t="b">
        <f t="shared" ref="BF24:BF26" si="63">IF(AND(Y24&gt;0,Y24&lt;$C$6),TRUE,FALSE)</f>
        <v>0</v>
      </c>
      <c r="BG24" s="90" t="b">
        <f t="shared" ref="BG24:BG26" si="64">IF(AND(AA24&gt;0,AA24&lt;$C$6),TRUE,FALSE)</f>
        <v>0</v>
      </c>
      <c r="BH24" s="146"/>
    </row>
    <row r="25" spans="1:60" ht="26.25" x14ac:dyDescent="0.25">
      <c r="A25" s="56" cm="1">
        <f t="array" ref="A25">SUMPRODUCT(($AV$10:$AV$26&lt;&gt;"")*(ROW($AV$10:$AV$26)&lt;=ROW()))</f>
        <v>12</v>
      </c>
      <c r="B25" s="57"/>
      <c r="C25" s="58" t="s">
        <v>343</v>
      </c>
      <c r="D25" s="93" t="s">
        <v>13</v>
      </c>
      <c r="E25" s="16"/>
      <c r="F25" s="29">
        <f t="shared" si="36"/>
        <v>45983</v>
      </c>
      <c r="G25" s="42"/>
      <c r="H25" s="29">
        <f t="shared" si="37"/>
        <v>45990</v>
      </c>
      <c r="I25" s="42"/>
      <c r="J25" s="29">
        <f t="shared" si="38"/>
        <v>45996</v>
      </c>
      <c r="K25" s="42"/>
      <c r="L25" s="29">
        <f t="shared" si="39"/>
        <v>45999</v>
      </c>
      <c r="M25" s="42"/>
      <c r="N25" s="29">
        <f t="shared" si="40"/>
        <v>46029</v>
      </c>
      <c r="O25" s="42"/>
      <c r="P25" s="29">
        <f t="shared" si="41"/>
        <v>46039</v>
      </c>
      <c r="Q25" s="42"/>
      <c r="R25" s="29">
        <f t="shared" si="42"/>
        <v>46059</v>
      </c>
      <c r="S25" s="42"/>
      <c r="T25" s="29">
        <f t="shared" si="43"/>
        <v>46066</v>
      </c>
      <c r="U25" s="42"/>
      <c r="V25" s="29">
        <f t="shared" si="44"/>
        <v>46073</v>
      </c>
      <c r="W25" s="42"/>
      <c r="X25" s="29">
        <f t="shared" si="45"/>
        <v>46078</v>
      </c>
      <c r="Y25" s="42"/>
      <c r="Z25" s="30">
        <f t="shared" si="46"/>
        <v>46088</v>
      </c>
      <c r="AA25" s="42"/>
      <c r="AB25" s="31">
        <f t="shared" si="47"/>
        <v>-34</v>
      </c>
      <c r="AC25" s="16"/>
      <c r="AD25" s="131">
        <f t="shared" si="48"/>
        <v>95</v>
      </c>
      <c r="AE25" s="16"/>
      <c r="AF25" s="95">
        <v>15657787</v>
      </c>
      <c r="AG25" s="67"/>
      <c r="AH25" s="67">
        <v>11100000</v>
      </c>
      <c r="AI25" s="67"/>
      <c r="AJ25" s="68" t="str">
        <f>IF(AI25&gt;0,SUM(AH25)-SUM(AI25),"")</f>
        <v/>
      </c>
      <c r="AK25" s="102"/>
      <c r="AL25" s="48"/>
      <c r="AM25" s="105">
        <v>240</v>
      </c>
      <c r="AN25" s="69">
        <f t="shared" si="49"/>
        <v>46078</v>
      </c>
      <c r="AO25" s="107">
        <f t="shared" si="50"/>
        <v>-129</v>
      </c>
      <c r="AP25" s="48"/>
      <c r="AQ25" s="111"/>
      <c r="AR25" s="70">
        <f t="shared" si="51"/>
        <v>46078</v>
      </c>
      <c r="AS25" s="107">
        <f t="shared" si="52"/>
        <v>-129</v>
      </c>
      <c r="AT25" s="48"/>
      <c r="AU25" s="113">
        <f t="shared" si="53"/>
        <v>46207</v>
      </c>
      <c r="AV25" s="119" t="str" cm="1">
        <f t="array" ref="AV25">IF(OR(G25&gt;$C$6,G25=""),$F$8,INDEX($E$8:$Z$8,MATCH(TRUE,(F25:AA25=""),0)))</f>
        <v>1. Tender Docs &amp; BOQ</v>
      </c>
      <c r="AW25" s="116" t="b">
        <f t="shared" si="54"/>
        <v>0</v>
      </c>
      <c r="AX25" s="71" t="b">
        <f t="shared" si="55"/>
        <v>0</v>
      </c>
      <c r="AY25" s="71" t="b">
        <f t="shared" si="56"/>
        <v>0</v>
      </c>
      <c r="AZ25" s="71" t="b">
        <f t="shared" si="57"/>
        <v>0</v>
      </c>
      <c r="BA25" s="71" t="b">
        <f t="shared" si="58"/>
        <v>0</v>
      </c>
      <c r="BB25" s="71" t="b">
        <f t="shared" si="59"/>
        <v>0</v>
      </c>
      <c r="BC25" s="71" t="b">
        <f t="shared" si="60"/>
        <v>0</v>
      </c>
      <c r="BD25" s="71" t="b">
        <f t="shared" si="61"/>
        <v>0</v>
      </c>
      <c r="BE25" s="71" t="b">
        <f t="shared" si="62"/>
        <v>0</v>
      </c>
      <c r="BF25" s="71" t="b">
        <f t="shared" si="63"/>
        <v>0</v>
      </c>
      <c r="BG25" s="89" t="b">
        <f t="shared" si="64"/>
        <v>0</v>
      </c>
      <c r="BH25" s="146"/>
    </row>
    <row r="26" spans="1:60" ht="26.25" x14ac:dyDescent="0.25">
      <c r="A26" s="56" cm="1">
        <f t="array" ref="A26">SUMPRODUCT(($AV$10:$AV$26&lt;&gt;"")*(ROW($AV$10:$AV$26)&lt;=ROW()))</f>
        <v>13</v>
      </c>
      <c r="B26" s="59"/>
      <c r="C26" s="60" t="s">
        <v>344</v>
      </c>
      <c r="D26" s="59" t="s">
        <v>13</v>
      </c>
      <c r="E26" s="43"/>
      <c r="F26" s="44">
        <f t="shared" si="36"/>
        <v>46013</v>
      </c>
      <c r="G26" s="45"/>
      <c r="H26" s="44">
        <f t="shared" si="37"/>
        <v>46020</v>
      </c>
      <c r="I26" s="45"/>
      <c r="J26" s="44">
        <f t="shared" si="38"/>
        <v>46026</v>
      </c>
      <c r="K26" s="45"/>
      <c r="L26" s="44">
        <f t="shared" si="39"/>
        <v>46029</v>
      </c>
      <c r="M26" s="45"/>
      <c r="N26" s="44">
        <f t="shared" si="40"/>
        <v>46059</v>
      </c>
      <c r="O26" s="45"/>
      <c r="P26" s="44">
        <f t="shared" si="41"/>
        <v>46069</v>
      </c>
      <c r="Q26" s="45"/>
      <c r="R26" s="44">
        <f t="shared" si="42"/>
        <v>46089</v>
      </c>
      <c r="S26" s="45"/>
      <c r="T26" s="44">
        <f t="shared" si="43"/>
        <v>46096</v>
      </c>
      <c r="U26" s="45"/>
      <c r="V26" s="44">
        <f t="shared" si="44"/>
        <v>46103</v>
      </c>
      <c r="W26" s="45"/>
      <c r="X26" s="44">
        <f t="shared" si="45"/>
        <v>46108</v>
      </c>
      <c r="Y26" s="45"/>
      <c r="Z26" s="46">
        <f t="shared" si="46"/>
        <v>46118</v>
      </c>
      <c r="AA26" s="45"/>
      <c r="AB26" s="32">
        <f t="shared" si="47"/>
        <v>-4</v>
      </c>
      <c r="AC26" s="16"/>
      <c r="AD26" s="131">
        <f t="shared" si="48"/>
        <v>95</v>
      </c>
      <c r="AE26" s="16"/>
      <c r="AF26" s="96">
        <v>6669531</v>
      </c>
      <c r="AG26" s="72"/>
      <c r="AH26" s="72">
        <v>6327000</v>
      </c>
      <c r="AI26" s="72"/>
      <c r="AJ26" s="73" t="str">
        <f>IF(AI26&gt;0,SUM(AH26)-SUM(AI26),"")</f>
        <v/>
      </c>
      <c r="AK26" s="101"/>
      <c r="AL26" s="48"/>
      <c r="AM26" s="104">
        <v>270</v>
      </c>
      <c r="AN26" s="74">
        <f t="shared" si="49"/>
        <v>46108</v>
      </c>
      <c r="AO26" s="108">
        <f t="shared" si="50"/>
        <v>-99</v>
      </c>
      <c r="AP26" s="48"/>
      <c r="AQ26" s="110"/>
      <c r="AR26" s="75">
        <f t="shared" si="51"/>
        <v>46108</v>
      </c>
      <c r="AS26" s="108">
        <f t="shared" si="52"/>
        <v>-99</v>
      </c>
      <c r="AT26" s="48"/>
      <c r="AU26" s="114">
        <f t="shared" si="53"/>
        <v>46207</v>
      </c>
      <c r="AV26" s="120" t="str" cm="1">
        <f t="array" ref="AV26">IF(OR(G26&gt;$C$6,G26=""),$F$8,INDEX($E$8:$Z$8,MATCH(TRUE,(F26:AA26=""),0)))</f>
        <v>1. Tender Docs &amp; BOQ</v>
      </c>
      <c r="AW26" s="117" t="b">
        <f t="shared" si="54"/>
        <v>0</v>
      </c>
      <c r="AX26" s="76" t="b">
        <f t="shared" si="55"/>
        <v>0</v>
      </c>
      <c r="AY26" s="76" t="b">
        <f t="shared" si="56"/>
        <v>0</v>
      </c>
      <c r="AZ26" s="76" t="b">
        <f t="shared" si="57"/>
        <v>0</v>
      </c>
      <c r="BA26" s="76" t="b">
        <f t="shared" si="58"/>
        <v>0</v>
      </c>
      <c r="BB26" s="76" t="b">
        <f t="shared" si="59"/>
        <v>0</v>
      </c>
      <c r="BC26" s="76" t="b">
        <f t="shared" si="60"/>
        <v>0</v>
      </c>
      <c r="BD26" s="76" t="b">
        <f t="shared" si="61"/>
        <v>0</v>
      </c>
      <c r="BE26" s="76" t="b">
        <f t="shared" si="62"/>
        <v>0</v>
      </c>
      <c r="BF26" s="76" t="b">
        <f t="shared" si="63"/>
        <v>0</v>
      </c>
      <c r="BG26" s="90" t="b">
        <f t="shared" si="64"/>
        <v>0</v>
      </c>
      <c r="BH26" s="146"/>
    </row>
    <row r="27" spans="1:60" ht="23.25" x14ac:dyDescent="0.25">
      <c r="A27" s="8"/>
      <c r="B27" s="8"/>
      <c r="C27" s="34" t="s">
        <v>189</v>
      </c>
      <c r="D27" s="100"/>
      <c r="E27" s="16"/>
      <c r="F27" s="123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124"/>
      <c r="AC27" s="16"/>
      <c r="AD27" s="130"/>
      <c r="AE27" s="16"/>
      <c r="AF27" s="99">
        <f>SUM(AF10:AF26)</f>
        <v>91984309</v>
      </c>
      <c r="AG27" s="10">
        <f>SUM(AG10:AG26)</f>
        <v>0</v>
      </c>
      <c r="AH27" s="10">
        <f>SUM(AH10:AH26)</f>
        <v>79778000</v>
      </c>
      <c r="AI27" s="10">
        <f>SUM(AI10:AI26)</f>
        <v>6077673</v>
      </c>
      <c r="AJ27" s="10">
        <f>SUM(AJ10:AJ26)</f>
        <v>13125327</v>
      </c>
      <c r="AK27" s="9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92"/>
      <c r="BH27" s="146"/>
    </row>
    <row r="28" spans="1:60" ht="23.25" x14ac:dyDescent="0.25">
      <c r="BH28" s="146"/>
    </row>
    <row r="29" spans="1:60" ht="23.25" x14ac:dyDescent="0.25">
      <c r="B29" s="3">
        <v>1</v>
      </c>
      <c r="C29" s="7" t="s">
        <v>480</v>
      </c>
      <c r="AF29" s="3" t="s">
        <v>481</v>
      </c>
      <c r="BH29" s="146"/>
    </row>
    <row r="30" spans="1:60" ht="23.25" x14ac:dyDescent="0.25">
      <c r="B30" s="3">
        <v>2</v>
      </c>
      <c r="BH30" s="146"/>
    </row>
    <row r="31" spans="1:60" ht="23.25" x14ac:dyDescent="0.25">
      <c r="BH31" s="146"/>
    </row>
    <row r="32" spans="1:60" ht="23.25" x14ac:dyDescent="0.25">
      <c r="BH32" s="146"/>
    </row>
    <row r="33" spans="60:60" ht="23.25" x14ac:dyDescent="0.25">
      <c r="BH33" s="146"/>
    </row>
    <row r="34" spans="60:60" ht="23.25" x14ac:dyDescent="0.25">
      <c r="BH34" s="146"/>
    </row>
    <row r="35" spans="60:60" ht="23.25" x14ac:dyDescent="0.25">
      <c r="BH35" s="146"/>
    </row>
    <row r="36" spans="60:60" ht="23.25" x14ac:dyDescent="0.25">
      <c r="BH36" s="146"/>
    </row>
    <row r="37" spans="60:60" ht="23.25" x14ac:dyDescent="0.25">
      <c r="BH37" s="146"/>
    </row>
    <row r="38" spans="60:60" ht="23.25" x14ac:dyDescent="0.25">
      <c r="BH38" s="146"/>
    </row>
    <row r="39" spans="60:60" ht="23.25" x14ac:dyDescent="0.25">
      <c r="BH39" s="146"/>
    </row>
    <row r="40" spans="60:60" ht="23.25" x14ac:dyDescent="0.25">
      <c r="BH40" s="146"/>
    </row>
  </sheetData>
  <sheetProtection formatColumns="0" formatRows="0" autoFilter="0"/>
  <mergeCells count="75">
    <mergeCell ref="AU7:AU9"/>
    <mergeCell ref="AG7:AG9"/>
    <mergeCell ref="AH7:AH9"/>
    <mergeCell ref="AI7:AI9"/>
    <mergeCell ref="AJ7:AJ9"/>
    <mergeCell ref="AK7:AK9"/>
    <mergeCell ref="AN7:AN9"/>
    <mergeCell ref="AO7:AO9"/>
    <mergeCell ref="AQ7:AQ9"/>
    <mergeCell ref="AR7:AR9"/>
    <mergeCell ref="AS7:AS9"/>
    <mergeCell ref="AM7:AM9"/>
    <mergeCell ref="BF7:BF9"/>
    <mergeCell ref="BG7:BG9"/>
    <mergeCell ref="AV7:AV9"/>
    <mergeCell ref="AW7:AW9"/>
    <mergeCell ref="AX7:AX9"/>
    <mergeCell ref="AY7:AY9"/>
    <mergeCell ref="AZ7:AZ9"/>
    <mergeCell ref="BA7:BA9"/>
    <mergeCell ref="BB7:BB9"/>
    <mergeCell ref="BC7:BC9"/>
    <mergeCell ref="BD7:BD9"/>
    <mergeCell ref="BE7:BE9"/>
    <mergeCell ref="AF7:AF9"/>
    <mergeCell ref="V8:W8"/>
    <mergeCell ref="X8:Y8"/>
    <mergeCell ref="Z8:AA8"/>
    <mergeCell ref="T7:U7"/>
    <mergeCell ref="V7:W7"/>
    <mergeCell ref="X7:Y7"/>
    <mergeCell ref="Z7:AA7"/>
    <mergeCell ref="AB7:AB9"/>
    <mergeCell ref="AD7:AD9"/>
    <mergeCell ref="A7:A9"/>
    <mergeCell ref="B7:B9"/>
    <mergeCell ref="C7:C9"/>
    <mergeCell ref="D7:D9"/>
    <mergeCell ref="F7:G7"/>
    <mergeCell ref="H7:I7"/>
    <mergeCell ref="F8:G8"/>
    <mergeCell ref="H8:I8"/>
    <mergeCell ref="J7:K7"/>
    <mergeCell ref="L7:M7"/>
    <mergeCell ref="L8:M8"/>
    <mergeCell ref="N7:O7"/>
    <mergeCell ref="P7:Q7"/>
    <mergeCell ref="R7:S7"/>
    <mergeCell ref="T8:U8"/>
    <mergeCell ref="J8:K8"/>
    <mergeCell ref="N8:O8"/>
    <mergeCell ref="P8:Q8"/>
    <mergeCell ref="R8:S8"/>
    <mergeCell ref="H3:H4"/>
    <mergeCell ref="I3:I4"/>
    <mergeCell ref="J3:J4"/>
    <mergeCell ref="K3:K4"/>
    <mergeCell ref="L3:L4"/>
    <mergeCell ref="M3:N4"/>
    <mergeCell ref="I1:I2"/>
    <mergeCell ref="J1:J2"/>
    <mergeCell ref="K1:K2"/>
    <mergeCell ref="L1:L2"/>
    <mergeCell ref="M1:N2"/>
    <mergeCell ref="A3:B4"/>
    <mergeCell ref="C3:C4"/>
    <mergeCell ref="D3:D4"/>
    <mergeCell ref="F3:F4"/>
    <mergeCell ref="G3:G4"/>
    <mergeCell ref="H1:H2"/>
    <mergeCell ref="A1:B2"/>
    <mergeCell ref="C1:C2"/>
    <mergeCell ref="D1:D2"/>
    <mergeCell ref="F1:F2"/>
    <mergeCell ref="G1:G2"/>
  </mergeCells>
  <conditionalFormatting sqref="G11:G13 I11:I13 K11:K13 M11:M13 O11:O13 Q11:Q13 S11:S13 U11:U13 W11:W13 Y11:Y13 AA11:AA13 G15:G22 I15:I22 K15:K22 M15:M22 O15:O22 Q15:Q22 S15:S22 U15:U22 W15:W22 Y15:Y22 AA15:AA22 G24:G26 I24:I26 K24:K26 M24:M26 O24:O26 Q24:Q26 S24:S26 U24:U26 W24:W26 Y24:Y26 AA24:AA26">
    <cfRule type="cellIs" dxfId="98" priority="6" operator="between">
      <formula>1</formula>
      <formula>$C$6</formula>
    </cfRule>
  </conditionalFormatting>
  <conditionalFormatting sqref="AB10:AB27">
    <cfRule type="cellIs" dxfId="97" priority="10" operator="lessThan">
      <formula>0</formula>
    </cfRule>
  </conditionalFormatting>
  <conditionalFormatting sqref="AO11:AO13 AS11:AS13 AO15:AO22 AS15:AS22 AO24:AO26 AS24:AS26">
    <cfRule type="cellIs" dxfId="96" priority="11" operator="lessThan">
      <formula>0</formula>
    </cfRule>
  </conditionalFormatting>
  <conditionalFormatting sqref="AW11:BG13 BB14:BG14 AW15:BG22 BB23:BG23 AW24:BG26 AL27:BG27">
    <cfRule type="cellIs" dxfId="89" priority="7" operator="equal">
      <formula>TRUE</formula>
    </cfRule>
  </conditionalFormatting>
  <conditionalFormatting sqref="BB10:BG10">
    <cfRule type="cellIs" dxfId="88" priority="5" operator="equal">
      <formula>TRUE</formula>
    </cfRule>
  </conditionalFormatting>
  <pageMargins left="3.937007874015748E-2" right="3.937007874015748E-2" top="0.74803149606299213" bottom="0.74803149606299213" header="0.31496062992125984" footer="0.31496062992125984"/>
  <pageSetup paperSize="8" scale="71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ECC5C0A9-14AA-4BE8-BB8A-AD4EE8157842}">
            <xm:f>AV11=Data!$B$12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8" stopIfTrue="1" id="{3229393D-9395-452B-AF91-FDB7C6A4EE52}">
            <xm:f>AV11=Data!$B$11</xm:f>
            <x14:dxf>
              <fill>
                <patternFill>
                  <bgColor theme="9" tint="0.79998168889431442"/>
                </patternFill>
              </fill>
            </x14:dxf>
          </x14:cfRule>
          <x14:cfRule type="expression" priority="9" id="{4655E09F-2889-482B-9C97-313C7ADF4711}">
            <xm:f>AV11=Data!$B$2</xm:f>
            <x14:dxf>
              <fill>
                <patternFill>
                  <bgColor rgb="FFFFE5E5"/>
                </patternFill>
              </fill>
            </x14:dxf>
          </x14:cfRule>
          <xm:sqref>AU11:AU28</xm:sqref>
        </x14:conditionalFormatting>
        <x14:conditionalFormatting xmlns:xm="http://schemas.microsoft.com/office/excel/2006/main">
          <x14:cfRule type="cellIs" priority="1" operator="equal" id="{CC3DC31D-C208-4892-94DC-77815E652DA7}">
            <xm:f>Data!$B$12</xm:f>
            <x14:dxf>
              <fill>
                <patternFill>
                  <bgColor theme="9" tint="0.59996337778862885"/>
                </patternFill>
              </fill>
            </x14:dxf>
          </x14:cfRule>
          <x14:cfRule type="cellIs" priority="2" stopIfTrue="1" operator="equal" id="{AD9CF394-C1C6-45F9-BACA-A46B7EB8C824}">
            <xm:f>Data!$B$11</xm:f>
            <x14:dxf>
              <fill>
                <patternFill>
                  <bgColor theme="9" tint="0.79998168889431442"/>
                </patternFill>
              </fill>
            </x14:dxf>
          </x14:cfRule>
          <x14:cfRule type="cellIs" priority="3" operator="equal" id="{6C777AC8-0058-400D-AB0D-C315DE438900}">
            <xm:f>Data!$B$2</xm:f>
            <x14:dxf>
              <fill>
                <patternFill>
                  <bgColor rgb="FFFFE5E5"/>
                </patternFill>
              </fill>
            </x14:dxf>
          </x14:cfRule>
          <xm:sqref>AV11:AV13 AV15:AV22 AV24:AV26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C76F336-6FF5-44C9-9ACB-BA3DB2FF43BD}">
          <x14:formula1>
            <xm:f>Data!$B$2:$B$13</xm:f>
          </x14:formula1>
          <xm:sqref>AV11:AV13 AV24:AV26 AV15:AV22</xm:sqref>
        </x14:dataValidation>
        <x14:dataValidation type="list" allowBlank="1" showInputMessage="1" showErrorMessage="1" xr:uid="{B931DB7A-2338-476D-BA0F-EAFE3BA755CB}">
          <x14:formula1>
            <xm:f>Data!$C$2:$C$12</xm:f>
          </x14:formula1>
          <xm:sqref>D11:D13 D15:D22 D24:D26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41262-2315-4145-9E4F-0434479AC2D9}">
  <sheetPr codeName="Sheet10">
    <tabColor theme="7" tint="0.79998168889431442"/>
    <pageSetUpPr fitToPage="1"/>
  </sheetPr>
  <dimension ref="A1:BH40"/>
  <sheetViews>
    <sheetView showGridLines="0" zoomScale="70" zoomScaleNormal="70" zoomScalePageLayoutView="55" workbookViewId="0">
      <pane xSplit="3" ySplit="9" topLeftCell="D10" activePane="bottomRight" state="frozen"/>
      <selection pane="topRight" activeCell="AI6" sqref="AI6:AI8"/>
      <selection pane="bottomLeft" activeCell="AI6" sqref="AI6:AI8"/>
      <selection pane="bottomRight" activeCell="AK31" sqref="AK31"/>
    </sheetView>
  </sheetViews>
  <sheetFormatPr defaultColWidth="9.140625" defaultRowHeight="12.75" outlineLevelRow="1" outlineLevelCol="1" x14ac:dyDescent="0.25"/>
  <cols>
    <col min="1" max="2" width="7.42578125" style="3" customWidth="1"/>
    <col min="3" max="3" width="39.140625" style="7" customWidth="1"/>
    <col min="4" max="4" width="14.5703125" style="5" hidden="1" customWidth="1" outlineLevel="1"/>
    <col min="5" max="5" width="1.140625" style="3" hidden="1" customWidth="1" outlineLevel="1"/>
    <col min="6" max="27" width="11.85546875" style="4" hidden="1" customWidth="1" outlineLevel="1"/>
    <col min="28" max="28" width="11.85546875" style="5" hidden="1" customWidth="1" outlineLevel="1"/>
    <col min="29" max="29" width="1" style="3" hidden="1" customWidth="1" outlineLevel="1"/>
    <col min="30" max="30" width="14.42578125" style="5" hidden="1" customWidth="1" outlineLevel="1"/>
    <col min="31" max="31" width="1.140625" style="3" hidden="1" customWidth="1" outlineLevel="1"/>
    <col min="32" max="32" width="14.85546875" style="3" customWidth="1" collapsed="1"/>
    <col min="33" max="35" width="14.85546875" style="3" customWidth="1"/>
    <col min="36" max="36" width="15.5703125" style="3" hidden="1" customWidth="1" outlineLevel="1"/>
    <col min="37" max="37" width="23.5703125" style="3" customWidth="1" collapsed="1"/>
    <col min="38" max="38" width="0.85546875" style="3" customWidth="1"/>
    <col min="39" max="39" width="7.42578125" style="3" customWidth="1"/>
    <col min="40" max="40" width="13.5703125" style="3" customWidth="1"/>
    <col min="41" max="41" width="7.140625" style="5" customWidth="1"/>
    <col min="42" max="42" width="0.85546875" style="3" customWidth="1"/>
    <col min="43" max="43" width="10.5703125" style="5" customWidth="1"/>
    <col min="44" max="44" width="16.85546875" style="3" customWidth="1"/>
    <col min="45" max="45" width="7.140625" style="5" customWidth="1"/>
    <col min="46" max="46" width="0.85546875" style="3" customWidth="1"/>
    <col min="47" max="47" width="12" style="3" customWidth="1"/>
    <col min="48" max="48" width="35" style="3" bestFit="1" customWidth="1"/>
    <col min="49" max="59" width="4.140625" style="6" customWidth="1"/>
    <col min="60" max="60" width="21.140625" style="3" customWidth="1"/>
    <col min="61" max="16384" width="9.140625" style="3"/>
  </cols>
  <sheetData>
    <row r="1" spans="1:60" s="11" customFormat="1" ht="15" hidden="1" customHeight="1" outlineLevel="1" x14ac:dyDescent="0.25">
      <c r="A1" s="208" t="s">
        <v>57</v>
      </c>
      <c r="B1" s="209"/>
      <c r="C1" s="206" t="s">
        <v>58</v>
      </c>
      <c r="D1" s="211" t="s">
        <v>59</v>
      </c>
      <c r="F1" s="206" t="s">
        <v>60</v>
      </c>
      <c r="G1" s="206" t="s">
        <v>61</v>
      </c>
      <c r="H1" s="206" t="s">
        <v>62</v>
      </c>
      <c r="I1" s="206" t="s">
        <v>63</v>
      </c>
      <c r="J1" s="206" t="s">
        <v>64</v>
      </c>
      <c r="K1" s="206" t="s">
        <v>19</v>
      </c>
      <c r="L1" s="206" t="s">
        <v>65</v>
      </c>
      <c r="M1" s="211" t="s">
        <v>66</v>
      </c>
      <c r="N1" s="224"/>
      <c r="P1" s="27" t="s">
        <v>67</v>
      </c>
      <c r="Q1" s="26"/>
      <c r="R1" s="26"/>
      <c r="S1" s="26"/>
      <c r="U1" s="26" t="s">
        <v>20</v>
      </c>
      <c r="V1" s="26"/>
      <c r="W1" s="26"/>
      <c r="X1" s="26"/>
      <c r="Y1" s="26"/>
      <c r="AA1" s="27" t="s">
        <v>68</v>
      </c>
      <c r="AB1" s="26"/>
      <c r="AC1" s="26"/>
      <c r="AD1" s="28"/>
      <c r="AF1" s="27" t="s">
        <v>33</v>
      </c>
      <c r="AG1" s="26"/>
      <c r="AH1" s="39" t="s">
        <v>34</v>
      </c>
      <c r="AI1" s="40" t="s">
        <v>35</v>
      </c>
      <c r="AY1" s="33"/>
      <c r="AZ1" s="33"/>
      <c r="BA1" s="33"/>
      <c r="BB1" s="33"/>
      <c r="BC1" s="33"/>
      <c r="BD1" s="33"/>
      <c r="BE1" s="33"/>
      <c r="BF1" s="33"/>
      <c r="BG1" s="33"/>
    </row>
    <row r="2" spans="1:60" s="11" customFormat="1" ht="15" hidden="1" outlineLevel="1" x14ac:dyDescent="0.25">
      <c r="A2" s="208"/>
      <c r="B2" s="209"/>
      <c r="C2" s="210"/>
      <c r="D2" s="208"/>
      <c r="E2" s="15"/>
      <c r="F2" s="207"/>
      <c r="G2" s="207"/>
      <c r="H2" s="207"/>
      <c r="I2" s="207"/>
      <c r="J2" s="207"/>
      <c r="K2" s="207"/>
      <c r="L2" s="207"/>
      <c r="M2" s="225"/>
      <c r="N2" s="226"/>
      <c r="P2" s="22" t="s">
        <v>69</v>
      </c>
      <c r="Q2" s="23"/>
      <c r="R2" s="23"/>
      <c r="S2" s="147"/>
      <c r="U2" s="22" t="s">
        <v>25</v>
      </c>
      <c r="V2" s="23"/>
      <c r="W2" s="23"/>
      <c r="X2" s="35">
        <f>AI25</f>
        <v>0</v>
      </c>
      <c r="Y2" s="37" t="e">
        <f>X2/(SUM(AH10:$AH$24)+SUM(AI10:$AI$24)-SUMIFS(AH10:$AH$24,$AI$10:$AI$24,"&lt;&gt;"))</f>
        <v>#DIV/0!</v>
      </c>
      <c r="AA2" s="24" t="s">
        <v>70</v>
      </c>
      <c r="AB2" s="25"/>
      <c r="AC2" s="25"/>
      <c r="AD2" s="12" cm="1">
        <f t="array" ref="AD2">SUM(ISNUMBER($AO$10:AO24)*1)</f>
        <v>10</v>
      </c>
      <c r="AF2" s="22" t="s">
        <v>444</v>
      </c>
      <c r="AG2" s="23"/>
      <c r="AH2" s="13">
        <f>COUNTIFS($AB$10:AB24,"&lt;0")</f>
        <v>0</v>
      </c>
      <c r="AI2" s="13">
        <f>MIN(AB10:AB24)</f>
        <v>21</v>
      </c>
    </row>
    <row r="3" spans="1:60" s="11" customFormat="1" ht="15" hidden="1" customHeight="1" outlineLevel="1" x14ac:dyDescent="0.25">
      <c r="A3" s="212" t="s">
        <v>345</v>
      </c>
      <c r="B3" s="213"/>
      <c r="C3" s="216" t="s">
        <v>331</v>
      </c>
      <c r="D3" s="218" t="s">
        <v>73</v>
      </c>
      <c r="E3" s="122"/>
      <c r="F3" s="218" t="s">
        <v>346</v>
      </c>
      <c r="G3" s="218" t="s">
        <v>74</v>
      </c>
      <c r="H3" s="218" t="s">
        <v>74</v>
      </c>
      <c r="I3" s="218" t="s">
        <v>347</v>
      </c>
      <c r="J3" s="227">
        <v>61433</v>
      </c>
      <c r="K3" s="227">
        <v>40574</v>
      </c>
      <c r="L3" s="218">
        <v>45979</v>
      </c>
      <c r="M3" s="220">
        <v>46134</v>
      </c>
      <c r="N3" s="221"/>
      <c r="P3" s="22" t="s">
        <v>77</v>
      </c>
      <c r="Q3" s="23"/>
      <c r="R3" s="23"/>
      <c r="S3" s="148">
        <f>AF25</f>
        <v>0</v>
      </c>
      <c r="U3" s="22" t="s">
        <v>78</v>
      </c>
      <c r="V3" s="23"/>
      <c r="W3" s="23"/>
      <c r="X3" s="36">
        <f>S4-SUMIFS(AH10:$AH$24,$AI$10:$AI$24,"&lt;&gt;")</f>
        <v>0</v>
      </c>
      <c r="Y3" s="153" t="e">
        <f>X3/(X2+X3)</f>
        <v>#DIV/0!</v>
      </c>
      <c r="AA3" s="22" t="s">
        <v>79</v>
      </c>
      <c r="AB3" s="23"/>
      <c r="AC3" s="23"/>
      <c r="AD3" s="13">
        <f>COUNTIFS($AV$10:AV24,Z8)</f>
        <v>0</v>
      </c>
      <c r="AF3" s="22" t="s">
        <v>447</v>
      </c>
      <c r="AG3" s="23"/>
      <c r="AH3" s="13">
        <f>COUNTIFS($AO$10:AO24,"&lt;0")</f>
        <v>1</v>
      </c>
      <c r="AI3" s="14">
        <f>MIN(AO10:AO24)</f>
        <v>-74</v>
      </c>
    </row>
    <row r="4" spans="1:60" s="11" customFormat="1" ht="15" hidden="1" outlineLevel="1" x14ac:dyDescent="0.25">
      <c r="A4" s="214"/>
      <c r="B4" s="215"/>
      <c r="C4" s="217"/>
      <c r="D4" s="219"/>
      <c r="E4" s="122"/>
      <c r="F4" s="219"/>
      <c r="G4" s="219"/>
      <c r="H4" s="219"/>
      <c r="I4" s="219"/>
      <c r="J4" s="228"/>
      <c r="K4" s="228"/>
      <c r="L4" s="219"/>
      <c r="M4" s="222"/>
      <c r="N4" s="223"/>
      <c r="P4" s="22" t="s">
        <v>23</v>
      </c>
      <c r="Q4" s="23"/>
      <c r="R4" s="23"/>
      <c r="S4" s="148">
        <f>AH25</f>
        <v>0</v>
      </c>
      <c r="U4" s="22" t="s">
        <v>80</v>
      </c>
      <c r="V4" s="23"/>
      <c r="W4" s="23"/>
      <c r="X4" s="36">
        <f>SUMIFS(AF10:$AF$24,$AI$10:$AI$24,"&lt;&gt;")-X2</f>
        <v>0</v>
      </c>
      <c r="Y4" s="38" t="e">
        <f>X4/$S$2</f>
        <v>#DIV/0!</v>
      </c>
      <c r="AA4" s="22" t="s">
        <v>81</v>
      </c>
      <c r="AB4" s="23"/>
      <c r="AC4" s="23"/>
      <c r="AD4" s="13">
        <f>C6-L3</f>
        <v>133</v>
      </c>
      <c r="AF4" s="22" t="s">
        <v>448</v>
      </c>
      <c r="AG4" s="23"/>
      <c r="AH4" s="13">
        <f>COUNTIFS($AS$10:AS24,"&lt;0")</f>
        <v>1</v>
      </c>
      <c r="AI4" s="14">
        <f>MIN(AS10:AS24)</f>
        <v>-74</v>
      </c>
    </row>
    <row r="5" spans="1:60" s="11" customFormat="1" ht="15" hidden="1" outlineLevel="1" x14ac:dyDescent="0.25">
      <c r="U5" s="22" t="s">
        <v>82</v>
      </c>
      <c r="V5" s="23"/>
      <c r="W5" s="23"/>
      <c r="X5" s="36">
        <f>SUMIFS(AH10:$AH$24,$AI$10:$AI$24,"&lt;&gt;")-X2</f>
        <v>0</v>
      </c>
      <c r="Y5" s="38" t="e">
        <f>X5/$S$2</f>
        <v>#DIV/0!</v>
      </c>
      <c r="Z5" s="160"/>
      <c r="AA5" s="160"/>
      <c r="AB5" s="160"/>
      <c r="AC5" s="160"/>
      <c r="AD5" s="160"/>
      <c r="AE5" s="160"/>
      <c r="AF5" s="160"/>
      <c r="AG5" s="160"/>
      <c r="AH5" s="160"/>
      <c r="AI5" s="160"/>
    </row>
    <row r="6" spans="1:60" ht="23.25" hidden="1" outlineLevel="1" x14ac:dyDescent="0.25">
      <c r="A6" s="127" t="s">
        <v>83</v>
      </c>
      <c r="B6" s="128"/>
      <c r="C6" s="129">
        <v>46112</v>
      </c>
      <c r="D6" s="19"/>
      <c r="E6" s="16"/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5"/>
      <c r="AB6" s="126"/>
      <c r="AC6" s="19"/>
      <c r="AD6" s="19"/>
      <c r="AE6" s="19"/>
      <c r="AF6" s="19"/>
      <c r="AG6" s="19"/>
      <c r="AH6" s="19"/>
      <c r="AI6" s="19"/>
      <c r="AJ6" s="19"/>
      <c r="AK6" s="19"/>
      <c r="AL6" s="16"/>
      <c r="AM6" s="168" t="s">
        <v>446</v>
      </c>
      <c r="AN6" s="16"/>
      <c r="AO6" s="16"/>
      <c r="AP6" s="16"/>
      <c r="AQ6" s="16"/>
      <c r="AR6" s="16"/>
      <c r="AS6" s="16"/>
      <c r="AT6" s="16"/>
      <c r="AU6" s="16"/>
      <c r="AV6" s="16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6"/>
    </row>
    <row r="7" spans="1:60" ht="18.75" customHeight="1" collapsed="1" x14ac:dyDescent="0.25">
      <c r="A7" s="233" t="s">
        <v>84</v>
      </c>
      <c r="B7" s="236" t="s">
        <v>85</v>
      </c>
      <c r="C7" s="236" t="s">
        <v>86</v>
      </c>
      <c r="D7" s="238" t="s">
        <v>1</v>
      </c>
      <c r="F7" s="229">
        <v>15</v>
      </c>
      <c r="G7" s="230"/>
      <c r="H7" s="229">
        <v>7</v>
      </c>
      <c r="I7" s="230"/>
      <c r="J7" s="229">
        <v>6</v>
      </c>
      <c r="K7" s="230"/>
      <c r="L7" s="229">
        <v>3</v>
      </c>
      <c r="M7" s="230"/>
      <c r="N7" s="229">
        <v>30</v>
      </c>
      <c r="O7" s="230"/>
      <c r="P7" s="229">
        <v>10</v>
      </c>
      <c r="Q7" s="230"/>
      <c r="R7" s="229">
        <v>20</v>
      </c>
      <c r="S7" s="230"/>
      <c r="T7" s="229">
        <v>7</v>
      </c>
      <c r="U7" s="230"/>
      <c r="V7" s="229">
        <v>7</v>
      </c>
      <c r="W7" s="230"/>
      <c r="X7" s="229">
        <v>5</v>
      </c>
      <c r="Y7" s="230"/>
      <c r="Z7" s="229">
        <v>10</v>
      </c>
      <c r="AA7" s="230"/>
      <c r="AB7" s="243" t="s">
        <v>87</v>
      </c>
      <c r="AC7" s="16"/>
      <c r="AD7" s="244" t="s">
        <v>88</v>
      </c>
      <c r="AE7" s="16"/>
      <c r="AF7" s="241" t="s">
        <v>77</v>
      </c>
      <c r="AG7" s="257" t="s">
        <v>89</v>
      </c>
      <c r="AH7" s="257" t="s">
        <v>23</v>
      </c>
      <c r="AI7" s="257" t="s">
        <v>90</v>
      </c>
      <c r="AJ7" s="257" t="s">
        <v>91</v>
      </c>
      <c r="AK7" s="258" t="s">
        <v>92</v>
      </c>
      <c r="AL7" s="86"/>
      <c r="AM7" s="255" t="s">
        <v>93</v>
      </c>
      <c r="AN7" s="257" t="s">
        <v>94</v>
      </c>
      <c r="AO7" s="259" t="s">
        <v>95</v>
      </c>
      <c r="AP7" s="86"/>
      <c r="AQ7" s="261" t="s">
        <v>96</v>
      </c>
      <c r="AR7" s="252" t="s">
        <v>97</v>
      </c>
      <c r="AS7" s="259" t="s">
        <v>95</v>
      </c>
      <c r="AT7" s="86"/>
      <c r="AU7" s="255" t="s">
        <v>98</v>
      </c>
      <c r="AV7" s="252" t="s">
        <v>99</v>
      </c>
      <c r="AW7" s="246" t="s">
        <v>2</v>
      </c>
      <c r="AX7" s="246" t="s">
        <v>4</v>
      </c>
      <c r="AY7" s="246" t="s">
        <v>6</v>
      </c>
      <c r="AZ7" s="246" t="s">
        <v>100</v>
      </c>
      <c r="BA7" s="246" t="s">
        <v>10</v>
      </c>
      <c r="BB7" s="246" t="s">
        <v>12</v>
      </c>
      <c r="BC7" s="246" t="s">
        <v>14</v>
      </c>
      <c r="BD7" s="246" t="s">
        <v>15</v>
      </c>
      <c r="BE7" s="246" t="s">
        <v>16</v>
      </c>
      <c r="BF7" s="246" t="s">
        <v>17</v>
      </c>
      <c r="BG7" s="249" t="s">
        <v>101</v>
      </c>
      <c r="BH7" s="86"/>
    </row>
    <row r="8" spans="1:60" ht="26.25" x14ac:dyDescent="0.25">
      <c r="A8" s="234"/>
      <c r="B8" s="237"/>
      <c r="C8" s="237"/>
      <c r="D8" s="239"/>
      <c r="E8" s="16"/>
      <c r="F8" s="231" t="s">
        <v>2</v>
      </c>
      <c r="G8" s="232"/>
      <c r="H8" s="231" t="s">
        <v>4</v>
      </c>
      <c r="I8" s="232"/>
      <c r="J8" s="231" t="s">
        <v>6</v>
      </c>
      <c r="K8" s="232"/>
      <c r="L8" s="231" t="s">
        <v>8</v>
      </c>
      <c r="M8" s="232"/>
      <c r="N8" s="231" t="s">
        <v>10</v>
      </c>
      <c r="O8" s="232"/>
      <c r="P8" s="231" t="s">
        <v>12</v>
      </c>
      <c r="Q8" s="232"/>
      <c r="R8" s="231" t="s">
        <v>14</v>
      </c>
      <c r="S8" s="232"/>
      <c r="T8" s="231" t="s">
        <v>15</v>
      </c>
      <c r="U8" s="232"/>
      <c r="V8" s="231" t="s">
        <v>16</v>
      </c>
      <c r="W8" s="232"/>
      <c r="X8" s="231" t="s">
        <v>17</v>
      </c>
      <c r="Y8" s="232"/>
      <c r="Z8" s="231" t="s">
        <v>18</v>
      </c>
      <c r="AA8" s="232"/>
      <c r="AB8" s="243"/>
      <c r="AC8" s="16"/>
      <c r="AD8" s="245"/>
      <c r="AE8" s="16"/>
      <c r="AF8" s="242"/>
      <c r="AG8" s="237"/>
      <c r="AH8" s="237"/>
      <c r="AI8" s="237"/>
      <c r="AJ8" s="237"/>
      <c r="AK8" s="239"/>
      <c r="AL8" s="48"/>
      <c r="AM8" s="234"/>
      <c r="AN8" s="237"/>
      <c r="AO8" s="260"/>
      <c r="AP8" s="48"/>
      <c r="AQ8" s="262"/>
      <c r="AR8" s="253"/>
      <c r="AS8" s="260"/>
      <c r="AT8" s="48"/>
      <c r="AU8" s="234"/>
      <c r="AV8" s="253"/>
      <c r="AW8" s="247"/>
      <c r="AX8" s="247"/>
      <c r="AY8" s="247"/>
      <c r="AZ8" s="247"/>
      <c r="BA8" s="247"/>
      <c r="BB8" s="247"/>
      <c r="BC8" s="247"/>
      <c r="BD8" s="247"/>
      <c r="BE8" s="247"/>
      <c r="BF8" s="247"/>
      <c r="BG8" s="250"/>
      <c r="BH8" s="146"/>
    </row>
    <row r="9" spans="1:60" s="7" customFormat="1" ht="22.5" x14ac:dyDescent="0.25">
      <c r="A9" s="235"/>
      <c r="B9" s="237"/>
      <c r="C9" s="237"/>
      <c r="D9" s="240"/>
      <c r="E9" s="20"/>
      <c r="F9" s="65" t="s">
        <v>102</v>
      </c>
      <c r="G9" s="66" t="s">
        <v>103</v>
      </c>
      <c r="H9" s="65" t="s">
        <v>102</v>
      </c>
      <c r="I9" s="66" t="s">
        <v>103</v>
      </c>
      <c r="J9" s="65" t="s">
        <v>102</v>
      </c>
      <c r="K9" s="66" t="s">
        <v>103</v>
      </c>
      <c r="L9" s="65" t="s">
        <v>102</v>
      </c>
      <c r="M9" s="66" t="s">
        <v>103</v>
      </c>
      <c r="N9" s="65" t="s">
        <v>102</v>
      </c>
      <c r="O9" s="66" t="s">
        <v>103</v>
      </c>
      <c r="P9" s="65" t="s">
        <v>102</v>
      </c>
      <c r="Q9" s="66" t="s">
        <v>103</v>
      </c>
      <c r="R9" s="65" t="s">
        <v>102</v>
      </c>
      <c r="S9" s="66" t="s">
        <v>103</v>
      </c>
      <c r="T9" s="65" t="s">
        <v>102</v>
      </c>
      <c r="U9" s="66" t="s">
        <v>103</v>
      </c>
      <c r="V9" s="65" t="s">
        <v>102</v>
      </c>
      <c r="W9" s="66" t="s">
        <v>103</v>
      </c>
      <c r="X9" s="65" t="s">
        <v>102</v>
      </c>
      <c r="Y9" s="66" t="s">
        <v>103</v>
      </c>
      <c r="Z9" s="65" t="s">
        <v>102</v>
      </c>
      <c r="AA9" s="66" t="s">
        <v>103</v>
      </c>
      <c r="AB9" s="243"/>
      <c r="AC9" s="20"/>
      <c r="AD9" s="245"/>
      <c r="AE9" s="20"/>
      <c r="AF9" s="242"/>
      <c r="AG9" s="237"/>
      <c r="AH9" s="237"/>
      <c r="AI9" s="237"/>
      <c r="AJ9" s="237"/>
      <c r="AK9" s="239"/>
      <c r="AL9" s="87"/>
      <c r="AM9" s="234"/>
      <c r="AN9" s="237"/>
      <c r="AO9" s="260"/>
      <c r="AP9" s="87"/>
      <c r="AQ9" s="263"/>
      <c r="AR9" s="254"/>
      <c r="AS9" s="264"/>
      <c r="AT9" s="87"/>
      <c r="AU9" s="256"/>
      <c r="AV9" s="254"/>
      <c r="AW9" s="248"/>
      <c r="AX9" s="248"/>
      <c r="AY9" s="248"/>
      <c r="AZ9" s="248"/>
      <c r="BA9" s="248"/>
      <c r="BB9" s="248"/>
      <c r="BC9" s="248"/>
      <c r="BD9" s="248"/>
      <c r="BE9" s="248"/>
      <c r="BF9" s="248"/>
      <c r="BG9" s="251"/>
      <c r="BH9" s="87"/>
    </row>
    <row r="10" spans="1:60" ht="23.25" x14ac:dyDescent="0.25">
      <c r="A10" s="53"/>
      <c r="B10" s="49"/>
      <c r="C10" s="50" t="s">
        <v>348</v>
      </c>
      <c r="D10" s="61"/>
      <c r="E10" s="51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1"/>
      <c r="BF10" s="51"/>
      <c r="BG10" s="88"/>
      <c r="BH10" s="146"/>
    </row>
    <row r="11" spans="1:60" ht="26.25" x14ac:dyDescent="0.25">
      <c r="A11" s="56" cm="1">
        <f t="array" ref="A11">SUMPRODUCT(($AV$10:$AV$24&lt;&gt;"")*(ROW($AV$10:$AV$24)&lt;=ROW()))</f>
        <v>1</v>
      </c>
      <c r="B11" s="57"/>
      <c r="C11" s="58" t="s">
        <v>348</v>
      </c>
      <c r="D11" s="93"/>
      <c r="E11" s="16"/>
      <c r="F11" s="29">
        <f>H11-$H$7</f>
        <v>46038</v>
      </c>
      <c r="G11" s="42"/>
      <c r="H11" s="29">
        <f>J11-$J$7</f>
        <v>46045</v>
      </c>
      <c r="I11" s="42"/>
      <c r="J11" s="29">
        <f>L11-$L$7</f>
        <v>46051</v>
      </c>
      <c r="K11" s="42"/>
      <c r="L11" s="29">
        <f>N11-$N$7</f>
        <v>46054</v>
      </c>
      <c r="M11" s="42"/>
      <c r="N11" s="29">
        <f>P11-$P$7</f>
        <v>46084</v>
      </c>
      <c r="O11" s="42"/>
      <c r="P11" s="29">
        <f>R11-$R$7</f>
        <v>46094</v>
      </c>
      <c r="Q11" s="42"/>
      <c r="R11" s="29">
        <f>T11-$T$7</f>
        <v>46114</v>
      </c>
      <c r="S11" s="42"/>
      <c r="T11" s="29">
        <f>V11-$V$7</f>
        <v>46121</v>
      </c>
      <c r="U11" s="42"/>
      <c r="V11" s="29">
        <f>X11-$X$7</f>
        <v>46128</v>
      </c>
      <c r="W11" s="42"/>
      <c r="X11" s="29">
        <f>AN11</f>
        <v>46133</v>
      </c>
      <c r="Y11" s="42"/>
      <c r="Z11" s="30">
        <f>X11+$Z$7</f>
        <v>46143</v>
      </c>
      <c r="AA11" s="42"/>
      <c r="AB11" s="31">
        <f>IF(AV11="10. Issued to Contractor","-",IF(AV11="11. Subcontract Agreement signed","-",MAX(AN11,AR11)-$C$6))</f>
        <v>21</v>
      </c>
      <c r="AC11" s="16"/>
      <c r="AD11" s="131">
        <f>SUM($H$7:$Y$7)</f>
        <v>95</v>
      </c>
      <c r="AE11" s="16"/>
      <c r="AF11" s="95"/>
      <c r="AG11" s="67"/>
      <c r="AH11" s="67"/>
      <c r="AI11" s="67"/>
      <c r="AJ11" s="68" t="str">
        <f>IF(AI11&gt;0,SUM(AH11)-SUM(AI11),"")</f>
        <v/>
      </c>
      <c r="AK11" s="102"/>
      <c r="AL11" s="48"/>
      <c r="AM11" s="105">
        <v>0</v>
      </c>
      <c r="AN11" s="69">
        <f>$M$3+AM11-1</f>
        <v>46133</v>
      </c>
      <c r="AO11" s="107">
        <f>AN11-AU11</f>
        <v>-74</v>
      </c>
      <c r="AP11" s="48"/>
      <c r="AQ11" s="111"/>
      <c r="AR11" s="70">
        <f>IFERROR(WORKDAY.INTL(AN11,AQ11,11),"")</f>
        <v>46133</v>
      </c>
      <c r="AS11" s="107">
        <f>AR11-AU11</f>
        <v>-74</v>
      </c>
      <c r="AT11" s="48"/>
      <c r="AU11" s="113">
        <f>IF(Y11&gt;0,Y11,IFERROR(MAX(_xlfn.XLOOKUP($AV11,$H$8:$Z$8,$G11:$Y11),$C$6)+(AN11-_xlfn.XLOOKUP($AV11,$H$8:$Z$8,$F11:$X11))*AD11/SUM($H$7:$Y$7),$C$6+SUM(AD11)))</f>
        <v>46207</v>
      </c>
      <c r="AV11" s="119" t="str" cm="1">
        <f t="array" ref="AV11">IF(OR(G11&gt;$C$6,G11=""),$F$8,INDEX($E$8:$Z$8,MATCH(TRUE,(F11:AA11=""),0)))</f>
        <v>1. Tender Docs &amp; BOQ</v>
      </c>
      <c r="AW11" s="116" t="b">
        <f>IF(AND(G11&gt;0,G11&lt;$C$6),TRUE,FALSE)</f>
        <v>0</v>
      </c>
      <c r="AX11" s="71" t="b">
        <f>IF(AND(I11&gt;0,I11&lt;$C$6),TRUE,FALSE)</f>
        <v>0</v>
      </c>
      <c r="AY11" s="71" t="b">
        <f>IF(AND(K11&gt;0,K11&lt;$C$6),TRUE,FALSE)</f>
        <v>0</v>
      </c>
      <c r="AZ11" s="71" t="b">
        <f>IF(AND(M11&gt;0,M11&lt;$C$6),TRUE,FALSE)</f>
        <v>0</v>
      </c>
      <c r="BA11" s="71" t="b">
        <f>IF(AND(O11&gt;0,O11&lt;$C$6),TRUE,FALSE)</f>
        <v>0</v>
      </c>
      <c r="BB11" s="71" t="b">
        <f>IF(AND(Q11&gt;0,Q11&lt;$C$6),TRUE,FALSE)</f>
        <v>0</v>
      </c>
      <c r="BC11" s="71" t="b">
        <f>IF(AND(S11&gt;0,S11&lt;$C$6),TRUE,FALSE)</f>
        <v>0</v>
      </c>
      <c r="BD11" s="71" t="b">
        <f>IF(AND(U11&gt;0,U11&lt;$C$6),TRUE,FALSE)</f>
        <v>0</v>
      </c>
      <c r="BE11" s="71" t="b">
        <f>IF(AND(W11&gt;0,W11&lt;$C$6),TRUE,FALSE)</f>
        <v>0</v>
      </c>
      <c r="BF11" s="71" t="b">
        <f>IF(AND(Y11&gt;0,Y11&lt;$C$6),TRUE,FALSE)</f>
        <v>0</v>
      </c>
      <c r="BG11" s="89" t="b">
        <f>IF(AND(AA11&gt;0,AA11&lt;$C$6),TRUE,FALSE)</f>
        <v>0</v>
      </c>
      <c r="BH11" s="146"/>
    </row>
    <row r="12" spans="1:60" ht="23.25" x14ac:dyDescent="0.25">
      <c r="A12" s="53"/>
      <c r="B12" s="49"/>
      <c r="C12" s="50" t="s">
        <v>104</v>
      </c>
      <c r="D12" s="51"/>
      <c r="E12" s="51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1"/>
      <c r="AC12" s="51"/>
      <c r="AD12" s="132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88"/>
      <c r="BH12" s="146"/>
    </row>
    <row r="13" spans="1:60" ht="26.25" x14ac:dyDescent="0.25">
      <c r="A13" s="56" cm="1">
        <f t="array" ref="A13">SUMPRODUCT(($AV$10:$AV$24&lt;&gt;"")*(ROW($AV$10:$AV$24)&lt;=ROW()))</f>
        <v>2</v>
      </c>
      <c r="B13" s="57"/>
      <c r="C13" s="58" t="s">
        <v>349</v>
      </c>
      <c r="D13" s="93"/>
      <c r="E13" s="16"/>
      <c r="F13" s="29">
        <f>H13-$H$7</f>
        <v>46158</v>
      </c>
      <c r="G13" s="42"/>
      <c r="H13" s="29">
        <f>J13-$J$7</f>
        <v>46165</v>
      </c>
      <c r="I13" s="42"/>
      <c r="J13" s="29">
        <f>L13-$L$7</f>
        <v>46171</v>
      </c>
      <c r="K13" s="42"/>
      <c r="L13" s="29">
        <f>N13-$N$7</f>
        <v>46174</v>
      </c>
      <c r="M13" s="42"/>
      <c r="N13" s="29">
        <f>P13-$P$7</f>
        <v>46204</v>
      </c>
      <c r="O13" s="42"/>
      <c r="P13" s="29">
        <f>R13-$R$7</f>
        <v>46214</v>
      </c>
      <c r="Q13" s="42"/>
      <c r="R13" s="29">
        <f>T13-$T$7</f>
        <v>46234</v>
      </c>
      <c r="S13" s="42"/>
      <c r="T13" s="29">
        <f>V13-$V$7</f>
        <v>46241</v>
      </c>
      <c r="U13" s="42"/>
      <c r="V13" s="29">
        <f>X13-$X$7</f>
        <v>46248</v>
      </c>
      <c r="W13" s="42"/>
      <c r="X13" s="29">
        <f t="shared" ref="X13:X14" si="0">AN13</f>
        <v>46253</v>
      </c>
      <c r="Y13" s="42"/>
      <c r="Z13" s="30">
        <f>X13+$Z$7</f>
        <v>46263</v>
      </c>
      <c r="AA13" s="42"/>
      <c r="AB13" s="31">
        <f>IF(AV13="10. Issued to Contractor","-",IF(AV13="11. Subcontract Agreement signed","-",MAX(AN13,AR13)-$C$6))</f>
        <v>141</v>
      </c>
      <c r="AC13" s="16"/>
      <c r="AD13" s="131">
        <f t="shared" ref="AD13:AD14" si="1">SUM($H$7:$Y$7)</f>
        <v>95</v>
      </c>
      <c r="AE13" s="16"/>
      <c r="AF13" s="95"/>
      <c r="AG13" s="67"/>
      <c r="AH13" s="67"/>
      <c r="AI13" s="67"/>
      <c r="AJ13" s="68" t="str">
        <f>IF(AI13&gt;0,SUM(AH13)-SUM(AI13),"")</f>
        <v/>
      </c>
      <c r="AK13" s="102"/>
      <c r="AL13" s="48"/>
      <c r="AM13" s="105">
        <v>120</v>
      </c>
      <c r="AN13" s="69">
        <f>$M$3+AM13-1</f>
        <v>46253</v>
      </c>
      <c r="AO13" s="107">
        <f>AN13-AU13</f>
        <v>46</v>
      </c>
      <c r="AP13" s="48"/>
      <c r="AQ13" s="111"/>
      <c r="AR13" s="70">
        <f>IFERROR(WORKDAY.INTL(AN13,AQ13,11),"")</f>
        <v>46253</v>
      </c>
      <c r="AS13" s="107">
        <f>AR13-AU13</f>
        <v>46</v>
      </c>
      <c r="AT13" s="48"/>
      <c r="AU13" s="113">
        <f t="shared" ref="AU13:AU14" si="2">IF(Y13&gt;0,Y13,IFERROR(MAX(_xlfn.XLOOKUP($AV13,$H$8:$Z$8,$G13:$Y13),$C$6)+(AN13-_xlfn.XLOOKUP($AV13,$H$8:$Z$8,$F13:$X13))*AD13/SUM($H$7:$Y$7),$C$6+SUM(AD13)))</f>
        <v>46207</v>
      </c>
      <c r="AV13" s="119" t="str" cm="1">
        <f t="array" ref="AV13">IF(OR(G13&gt;$C$6,G13=""),$F$8,INDEX($E$8:$Z$8,MATCH(TRUE,(F13:AA13=""),0)))</f>
        <v>1. Tender Docs &amp; BOQ</v>
      </c>
      <c r="AW13" s="116" t="b">
        <f>IF(AND(G13&gt;0,G13&lt;$C$6),TRUE,FALSE)</f>
        <v>0</v>
      </c>
      <c r="AX13" s="71" t="b">
        <f>IF(AND(I13&gt;0,I13&lt;$C$6),TRUE,FALSE)</f>
        <v>0</v>
      </c>
      <c r="AY13" s="71" t="b">
        <f>IF(AND(K13&gt;0,K13&lt;$C$6),TRUE,FALSE)</f>
        <v>0</v>
      </c>
      <c r="AZ13" s="71" t="b">
        <f>IF(AND(M13&gt;0,M13&lt;$C$6),TRUE,FALSE)</f>
        <v>0</v>
      </c>
      <c r="BA13" s="71" t="b">
        <f>IF(AND(O13&gt;0,O13&lt;$C$6),TRUE,FALSE)</f>
        <v>0</v>
      </c>
      <c r="BB13" s="71" t="b">
        <f>IF(AND(Q13&gt;0,Q13&lt;$C$6),TRUE,FALSE)</f>
        <v>0</v>
      </c>
      <c r="BC13" s="71" t="b">
        <f>IF(AND(S13&gt;0,S13&lt;$C$6),TRUE,FALSE)</f>
        <v>0</v>
      </c>
      <c r="BD13" s="71" t="b">
        <f>IF(AND(U13&gt;0,U13&lt;$C$6),TRUE,FALSE)</f>
        <v>0</v>
      </c>
      <c r="BE13" s="71" t="b">
        <f>IF(AND(W13&gt;0,W13&lt;$C$6),TRUE,FALSE)</f>
        <v>0</v>
      </c>
      <c r="BF13" s="71" t="b">
        <f>IF(AND(Y13&gt;0,Y13&lt;$C$6),TRUE,FALSE)</f>
        <v>0</v>
      </c>
      <c r="BG13" s="89" t="b">
        <f>IF(AND(AA13&gt;0,AA13&lt;$C$6),TRUE,FALSE)</f>
        <v>0</v>
      </c>
      <c r="BH13" s="146"/>
    </row>
    <row r="14" spans="1:60" ht="26.25" x14ac:dyDescent="0.25">
      <c r="A14" s="56" cm="1">
        <f t="array" ref="A14">SUMPRODUCT(($AV$10:$AV$24&lt;&gt;"")*(ROW($AV$10:$AV$24)&lt;=ROW()))</f>
        <v>3</v>
      </c>
      <c r="B14" s="59"/>
      <c r="C14" s="60" t="s">
        <v>350</v>
      </c>
      <c r="D14" s="59"/>
      <c r="E14" s="43"/>
      <c r="F14" s="44">
        <f>H14-$H$7</f>
        <v>46188</v>
      </c>
      <c r="G14" s="45"/>
      <c r="H14" s="44">
        <f>J14-$J$7</f>
        <v>46195</v>
      </c>
      <c r="I14" s="45"/>
      <c r="J14" s="44">
        <f>L14-$L$7</f>
        <v>46201</v>
      </c>
      <c r="K14" s="45"/>
      <c r="L14" s="44">
        <f>N14-$N$7</f>
        <v>46204</v>
      </c>
      <c r="M14" s="45"/>
      <c r="N14" s="44">
        <f>P14-$P$7</f>
        <v>46234</v>
      </c>
      <c r="O14" s="45"/>
      <c r="P14" s="44">
        <f>R14-$R$7</f>
        <v>46244</v>
      </c>
      <c r="Q14" s="45"/>
      <c r="R14" s="44">
        <f>T14-$T$7</f>
        <v>46264</v>
      </c>
      <c r="S14" s="45"/>
      <c r="T14" s="44">
        <f>V14-$V$7</f>
        <v>46271</v>
      </c>
      <c r="U14" s="45"/>
      <c r="V14" s="44">
        <f>X14-$X$7</f>
        <v>46278</v>
      </c>
      <c r="W14" s="45"/>
      <c r="X14" s="44">
        <f t="shared" si="0"/>
        <v>46283</v>
      </c>
      <c r="Y14" s="45"/>
      <c r="Z14" s="46">
        <f>X14+$Z$7</f>
        <v>46293</v>
      </c>
      <c r="AA14" s="45"/>
      <c r="AB14" s="32">
        <f>IF(AV14="10. Issued to Contractor","-",IF(AV14="11. Subcontract Agreement signed","-",MAX(AN14,AR14)-$C$6))</f>
        <v>171</v>
      </c>
      <c r="AC14" s="16"/>
      <c r="AD14" s="131">
        <f t="shared" si="1"/>
        <v>95</v>
      </c>
      <c r="AE14" s="16"/>
      <c r="AF14" s="96"/>
      <c r="AG14" s="72"/>
      <c r="AH14" s="72"/>
      <c r="AI14" s="72"/>
      <c r="AJ14" s="73" t="str">
        <f>IF(AI14&gt;0,SUM(AH14)-SUM(AI14),"")</f>
        <v/>
      </c>
      <c r="AK14" s="101"/>
      <c r="AL14" s="48"/>
      <c r="AM14" s="104">
        <v>150</v>
      </c>
      <c r="AN14" s="74">
        <f>$M$3+AM14-1</f>
        <v>46283</v>
      </c>
      <c r="AO14" s="108">
        <f>AN14-AU14</f>
        <v>76</v>
      </c>
      <c r="AP14" s="48"/>
      <c r="AQ14" s="110"/>
      <c r="AR14" s="75">
        <f>IFERROR(WORKDAY.INTL(AN14,AQ14,11),"")</f>
        <v>46283</v>
      </c>
      <c r="AS14" s="108">
        <f>AR14-AU14</f>
        <v>76</v>
      </c>
      <c r="AT14" s="48"/>
      <c r="AU14" s="114">
        <f t="shared" si="2"/>
        <v>46207</v>
      </c>
      <c r="AV14" s="120" t="str" cm="1">
        <f t="array" ref="AV14">IF(OR(G14&gt;$C$6,G14=""),$F$8,INDEX($E$8:$Z$8,MATCH(TRUE,(F14:AA14=""),0)))</f>
        <v>1. Tender Docs &amp; BOQ</v>
      </c>
      <c r="AW14" s="117" t="b">
        <f>IF(AND(G14&gt;0,G14&lt;$C$6),TRUE,FALSE)</f>
        <v>0</v>
      </c>
      <c r="AX14" s="76" t="b">
        <f>IF(AND(I14&gt;0,I14&lt;$C$6),TRUE,FALSE)</f>
        <v>0</v>
      </c>
      <c r="AY14" s="76" t="b">
        <f>IF(AND(K14&gt;0,K14&lt;$C$6),TRUE,FALSE)</f>
        <v>0</v>
      </c>
      <c r="AZ14" s="76" t="b">
        <f>IF(AND(M14&gt;0,M14&lt;$C$6),TRUE,FALSE)</f>
        <v>0</v>
      </c>
      <c r="BA14" s="76" t="b">
        <f>IF(AND(O14&gt;0,O14&lt;$C$6),TRUE,FALSE)</f>
        <v>0</v>
      </c>
      <c r="BB14" s="76" t="b">
        <f>IF(AND(Q14&gt;0,Q14&lt;$C$6),TRUE,FALSE)</f>
        <v>0</v>
      </c>
      <c r="BC14" s="76" t="b">
        <f>IF(AND(S14&gt;0,S14&lt;$C$6),TRUE,FALSE)</f>
        <v>0</v>
      </c>
      <c r="BD14" s="76" t="b">
        <f>IF(AND(U14&gt;0,U14&lt;$C$6),TRUE,FALSE)</f>
        <v>0</v>
      </c>
      <c r="BE14" s="76" t="b">
        <f>IF(AND(W14&gt;0,W14&lt;$C$6),TRUE,FALSE)</f>
        <v>0</v>
      </c>
      <c r="BF14" s="76" t="b">
        <f>IF(AND(Y14&gt;0,Y14&lt;$C$6),TRUE,FALSE)</f>
        <v>0</v>
      </c>
      <c r="BG14" s="90" t="b">
        <f>IF(AND(AA14&gt;0,AA14&lt;$C$6),TRUE,FALSE)</f>
        <v>0</v>
      </c>
      <c r="BH14" s="146"/>
    </row>
    <row r="15" spans="1:60" ht="23.25" x14ac:dyDescent="0.25">
      <c r="A15" s="54"/>
      <c r="B15" s="49"/>
      <c r="C15" s="50" t="s">
        <v>128</v>
      </c>
      <c r="D15" s="51"/>
      <c r="E15" s="51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1"/>
      <c r="AC15" s="51"/>
      <c r="AD15" s="132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51"/>
      <c r="BD15" s="51"/>
      <c r="BE15" s="51"/>
      <c r="BF15" s="51"/>
      <c r="BG15" s="88"/>
      <c r="BH15" s="146"/>
    </row>
    <row r="16" spans="1:60" ht="26.25" x14ac:dyDescent="0.25">
      <c r="A16" s="56" cm="1">
        <f t="array" ref="A16">SUMPRODUCT(($AV$10:$AV$24&lt;&gt;"")*(ROW($AV$10:$AV$24)&lt;=ROW()))</f>
        <v>4</v>
      </c>
      <c r="B16" s="59"/>
      <c r="C16" s="60" t="s">
        <v>203</v>
      </c>
      <c r="D16" s="59"/>
      <c r="E16" s="43"/>
      <c r="F16" s="44">
        <f>H16-$H$7</f>
        <v>46218</v>
      </c>
      <c r="G16" s="45"/>
      <c r="H16" s="44">
        <f>J16-$J$7</f>
        <v>46225</v>
      </c>
      <c r="I16" s="45"/>
      <c r="J16" s="44">
        <f>L16-$L$7</f>
        <v>46231</v>
      </c>
      <c r="K16" s="45"/>
      <c r="L16" s="44">
        <f>N16-$N$7</f>
        <v>46234</v>
      </c>
      <c r="M16" s="45"/>
      <c r="N16" s="44">
        <f>P16-$P$7</f>
        <v>46264</v>
      </c>
      <c r="O16" s="45"/>
      <c r="P16" s="44">
        <f>R16-$R$7</f>
        <v>46274</v>
      </c>
      <c r="Q16" s="45"/>
      <c r="R16" s="44">
        <f>T16-$T$7</f>
        <v>46294</v>
      </c>
      <c r="S16" s="45"/>
      <c r="T16" s="44">
        <f>V16-$V$7</f>
        <v>46301</v>
      </c>
      <c r="U16" s="45"/>
      <c r="V16" s="44">
        <f>X16-$X$7</f>
        <v>46308</v>
      </c>
      <c r="W16" s="45"/>
      <c r="X16" s="44">
        <f t="shared" ref="X16:X18" si="3">AN16</f>
        <v>46313</v>
      </c>
      <c r="Y16" s="45"/>
      <c r="Z16" s="46">
        <f>X16+$Z$7</f>
        <v>46323</v>
      </c>
      <c r="AA16" s="45"/>
      <c r="AB16" s="32">
        <f>IF(AV16="10. Issued to Contractor","-",IF(AV16="11. Subcontract Agreement signed","-",MAX(AN16,AR16)-$C$6))</f>
        <v>201</v>
      </c>
      <c r="AC16" s="16"/>
      <c r="AD16" s="131">
        <f t="shared" ref="AD16:AD18" si="4">SUM($H$7:$Y$7)</f>
        <v>95</v>
      </c>
      <c r="AE16" s="16"/>
      <c r="AF16" s="96"/>
      <c r="AG16" s="72"/>
      <c r="AH16" s="72"/>
      <c r="AI16" s="72"/>
      <c r="AJ16" s="73" t="str">
        <f>IF(AI16&gt;0,SUM(AH16)-SUM(AI16),"")</f>
        <v/>
      </c>
      <c r="AK16" s="101"/>
      <c r="AL16" s="48"/>
      <c r="AM16" s="104">
        <v>180</v>
      </c>
      <c r="AN16" s="74">
        <f>$M$3+AM16-1</f>
        <v>46313</v>
      </c>
      <c r="AO16" s="108">
        <f>AN16-AU16</f>
        <v>106</v>
      </c>
      <c r="AP16" s="48"/>
      <c r="AQ16" s="110"/>
      <c r="AR16" s="75">
        <f>IFERROR(WORKDAY.INTL(AN16,AQ16,11),"")</f>
        <v>46313</v>
      </c>
      <c r="AS16" s="108">
        <f>AR16-AU16</f>
        <v>106</v>
      </c>
      <c r="AT16" s="48"/>
      <c r="AU16" s="114">
        <f t="shared" ref="AU16:AU18" si="5">IF(Y16&gt;0,Y16,IFERROR(MAX(_xlfn.XLOOKUP($AV16,$H$8:$Z$8,$G16:$Y16),$C$6)+(AN16-_xlfn.XLOOKUP($AV16,$H$8:$Z$8,$F16:$X16))*AD16/SUM($H$7:$Y$7),$C$6+SUM(AD16)))</f>
        <v>46207</v>
      </c>
      <c r="AV16" s="120" t="str" cm="1">
        <f t="array" ref="AV16">IF(OR(G16&gt;$C$6,G16=""),$F$8,INDEX($E$8:$Z$8,MATCH(TRUE,(F16:AA16=""),0)))</f>
        <v>1. Tender Docs &amp; BOQ</v>
      </c>
      <c r="AW16" s="117" t="b">
        <f>IF(AND(G16&gt;0,G16&lt;$C$6),TRUE,FALSE)</f>
        <v>0</v>
      </c>
      <c r="AX16" s="76" t="b">
        <f>IF(AND(I16&gt;0,I16&lt;$C$6),TRUE,FALSE)</f>
        <v>0</v>
      </c>
      <c r="AY16" s="76" t="b">
        <f>IF(AND(K16&gt;0,K16&lt;$C$6),TRUE,FALSE)</f>
        <v>0</v>
      </c>
      <c r="AZ16" s="76" t="b">
        <f>IF(AND(M16&gt;0,M16&lt;$C$6),TRUE,FALSE)</f>
        <v>0</v>
      </c>
      <c r="BA16" s="76" t="b">
        <f>IF(AND(O16&gt;0,O16&lt;$C$6),TRUE,FALSE)</f>
        <v>0</v>
      </c>
      <c r="BB16" s="76" t="b">
        <f>IF(AND(Q16&gt;0,Q16&lt;$C$6),TRUE,FALSE)</f>
        <v>0</v>
      </c>
      <c r="BC16" s="76" t="b">
        <f>IF(AND(S16&gt;0,S16&lt;$C$6),TRUE,FALSE)</f>
        <v>0</v>
      </c>
      <c r="BD16" s="76" t="b">
        <f>IF(AND(U16&gt;0,U16&lt;$C$6),TRUE,FALSE)</f>
        <v>0</v>
      </c>
      <c r="BE16" s="76" t="b">
        <f>IF(AND(W16&gt;0,W16&lt;$C$6),TRUE,FALSE)</f>
        <v>0</v>
      </c>
      <c r="BF16" s="76" t="b">
        <f>IF(AND(Y16&gt;0,Y16&lt;$C$6),TRUE,FALSE)</f>
        <v>0</v>
      </c>
      <c r="BG16" s="90" t="b">
        <f>IF(AND(AA16&gt;0,AA16&lt;$C$6),TRUE,FALSE)</f>
        <v>0</v>
      </c>
      <c r="BH16" s="146"/>
    </row>
    <row r="17" spans="1:60" ht="26.25" x14ac:dyDescent="0.25">
      <c r="A17" s="56" cm="1">
        <f t="array" ref="A17">SUMPRODUCT(($AV$10:$AV$24&lt;&gt;"")*(ROW($AV$10:$AV$24)&lt;=ROW()))</f>
        <v>5</v>
      </c>
      <c r="B17" s="57"/>
      <c r="C17" s="58" t="s">
        <v>351</v>
      </c>
      <c r="D17" s="93"/>
      <c r="E17" s="16"/>
      <c r="F17" s="29">
        <f>H17-$H$7</f>
        <v>46218</v>
      </c>
      <c r="G17" s="42"/>
      <c r="H17" s="29">
        <f>J17-$J$7</f>
        <v>46225</v>
      </c>
      <c r="I17" s="42"/>
      <c r="J17" s="29">
        <f>L17-$L$7</f>
        <v>46231</v>
      </c>
      <c r="K17" s="42"/>
      <c r="L17" s="29">
        <f>N17-$N$7</f>
        <v>46234</v>
      </c>
      <c r="M17" s="42"/>
      <c r="N17" s="29">
        <f>P17-$P$7</f>
        <v>46264</v>
      </c>
      <c r="O17" s="42"/>
      <c r="P17" s="29">
        <f>R17-$R$7</f>
        <v>46274</v>
      </c>
      <c r="Q17" s="42"/>
      <c r="R17" s="29">
        <f>T17-$T$7</f>
        <v>46294</v>
      </c>
      <c r="S17" s="42"/>
      <c r="T17" s="29">
        <f>V17-$V$7</f>
        <v>46301</v>
      </c>
      <c r="U17" s="42"/>
      <c r="V17" s="29">
        <f>X17-$X$7</f>
        <v>46308</v>
      </c>
      <c r="W17" s="42"/>
      <c r="X17" s="29">
        <f t="shared" si="3"/>
        <v>46313</v>
      </c>
      <c r="Y17" s="42"/>
      <c r="Z17" s="30">
        <f>X17+$Z$7</f>
        <v>46323</v>
      </c>
      <c r="AA17" s="42"/>
      <c r="AB17" s="31">
        <f>IF(AV17="10. Issued to Contractor","-",IF(AV17="11. Subcontract Agreement signed","-",MAX(AN17,AR17)-$C$6))</f>
        <v>201</v>
      </c>
      <c r="AC17" s="16"/>
      <c r="AD17" s="131">
        <f t="shared" si="4"/>
        <v>95</v>
      </c>
      <c r="AE17" s="16"/>
      <c r="AF17" s="95"/>
      <c r="AG17" s="67"/>
      <c r="AH17" s="67"/>
      <c r="AI17" s="67"/>
      <c r="AJ17" s="68" t="str">
        <f>IF(AI17&gt;0,SUM(AH17)-SUM(AI17),"")</f>
        <v/>
      </c>
      <c r="AK17" s="102"/>
      <c r="AL17" s="48"/>
      <c r="AM17" s="105">
        <v>180</v>
      </c>
      <c r="AN17" s="69">
        <f>$M$3+AM17-1</f>
        <v>46313</v>
      </c>
      <c r="AO17" s="107">
        <f t="shared" ref="AO17" si="6">AN17-AU17</f>
        <v>106</v>
      </c>
      <c r="AP17" s="48"/>
      <c r="AQ17" s="111"/>
      <c r="AR17" s="70">
        <f t="shared" ref="AR17" si="7">IFERROR(WORKDAY.INTL(AN17,AQ17,11),"")</f>
        <v>46313</v>
      </c>
      <c r="AS17" s="107">
        <f t="shared" ref="AS17" si="8">AR17-AU17</f>
        <v>106</v>
      </c>
      <c r="AT17" s="48"/>
      <c r="AU17" s="113">
        <f t="shared" si="5"/>
        <v>46207</v>
      </c>
      <c r="AV17" s="119" t="str" cm="1">
        <f t="array" ref="AV17">IF(OR(G17&gt;$C$6,G17=""),$F$8,INDEX($E$8:$Z$8,MATCH(TRUE,(F17:AA17=""),0)))</f>
        <v>1. Tender Docs &amp; BOQ</v>
      </c>
      <c r="AW17" s="116" t="b">
        <f>IF(AND(G17&gt;0,G17&lt;$C$6),TRUE,FALSE)</f>
        <v>0</v>
      </c>
      <c r="AX17" s="71" t="b">
        <f>IF(AND(I17&gt;0,I17&lt;$C$6),TRUE,FALSE)</f>
        <v>0</v>
      </c>
      <c r="AY17" s="71" t="b">
        <f>IF(AND(K17&gt;0,K17&lt;$C$6),TRUE,FALSE)</f>
        <v>0</v>
      </c>
      <c r="AZ17" s="71" t="b">
        <f>IF(AND(M17&gt;0,M17&lt;$C$6),TRUE,FALSE)</f>
        <v>0</v>
      </c>
      <c r="BA17" s="71" t="b">
        <f>IF(AND(O17&gt;0,O17&lt;$C$6),TRUE,FALSE)</f>
        <v>0</v>
      </c>
      <c r="BB17" s="71" t="b">
        <f>IF(AND(Q17&gt;0,Q17&lt;$C$6),TRUE,FALSE)</f>
        <v>0</v>
      </c>
      <c r="BC17" s="71" t="b">
        <f>IF(AND(S17&gt;0,S17&lt;$C$6),TRUE,FALSE)</f>
        <v>0</v>
      </c>
      <c r="BD17" s="71" t="b">
        <f>IF(AND(U17&gt;0,U17&lt;$C$6),TRUE,FALSE)</f>
        <v>0</v>
      </c>
      <c r="BE17" s="71" t="b">
        <f>IF(AND(W17&gt;0,W17&lt;$C$6),TRUE,FALSE)</f>
        <v>0</v>
      </c>
      <c r="BF17" s="71" t="b">
        <f>IF(AND(Y17&gt;0,Y17&lt;$C$6),TRUE,FALSE)</f>
        <v>0</v>
      </c>
      <c r="BG17" s="89" t="b">
        <f>IF(AND(AA17&gt;0,AA17&lt;$C$6),TRUE,FALSE)</f>
        <v>0</v>
      </c>
      <c r="BH17" s="146"/>
    </row>
    <row r="18" spans="1:60" ht="26.25" x14ac:dyDescent="0.25">
      <c r="A18" s="56" cm="1">
        <f t="array" ref="A18">SUMPRODUCT(($AV$10:$AV$24&lt;&gt;"")*(ROW($AV$10:$AV$24)&lt;=ROW()))</f>
        <v>6</v>
      </c>
      <c r="B18" s="59"/>
      <c r="C18" s="60" t="s">
        <v>234</v>
      </c>
      <c r="D18" s="59"/>
      <c r="E18" s="43"/>
      <c r="F18" s="44">
        <f>H18-$H$7</f>
        <v>46338</v>
      </c>
      <c r="G18" s="45"/>
      <c r="H18" s="44">
        <f>J18-$J$7</f>
        <v>46345</v>
      </c>
      <c r="I18" s="45"/>
      <c r="J18" s="44">
        <f>L18-$L$7</f>
        <v>46351</v>
      </c>
      <c r="K18" s="45"/>
      <c r="L18" s="44">
        <f>N18-$N$7</f>
        <v>46354</v>
      </c>
      <c r="M18" s="45"/>
      <c r="N18" s="44">
        <f>P18-$P$7</f>
        <v>46384</v>
      </c>
      <c r="O18" s="45"/>
      <c r="P18" s="44">
        <f>R18-$R$7</f>
        <v>46394</v>
      </c>
      <c r="Q18" s="45"/>
      <c r="R18" s="44">
        <f>T18-$T$7</f>
        <v>46414</v>
      </c>
      <c r="S18" s="45"/>
      <c r="T18" s="44">
        <f>V18-$V$7</f>
        <v>46421</v>
      </c>
      <c r="U18" s="45"/>
      <c r="V18" s="44">
        <f>X18-$X$7</f>
        <v>46428</v>
      </c>
      <c r="W18" s="45"/>
      <c r="X18" s="44">
        <f t="shared" si="3"/>
        <v>46433</v>
      </c>
      <c r="Y18" s="45"/>
      <c r="Z18" s="46">
        <f>X18+$Z$7</f>
        <v>46443</v>
      </c>
      <c r="AA18" s="45"/>
      <c r="AB18" s="32">
        <f>IF(AV18="10. Issued to Contractor","-",IF(AV18="11. Subcontract Agreement signed","-",MAX(AN18,AR18)-$C$6))</f>
        <v>321</v>
      </c>
      <c r="AC18" s="16"/>
      <c r="AD18" s="131">
        <f t="shared" si="4"/>
        <v>95</v>
      </c>
      <c r="AE18" s="16"/>
      <c r="AF18" s="96"/>
      <c r="AG18" s="72"/>
      <c r="AH18" s="72"/>
      <c r="AI18" s="72"/>
      <c r="AJ18" s="73" t="str">
        <f>IF(AI18&gt;0,SUM(AH18)-SUM(AI18),"")</f>
        <v/>
      </c>
      <c r="AK18" s="101"/>
      <c r="AL18" s="48"/>
      <c r="AM18" s="104">
        <v>300</v>
      </c>
      <c r="AN18" s="74">
        <f>$M$3+AM18-1</f>
        <v>46433</v>
      </c>
      <c r="AO18" s="108">
        <f>AN18-AU18</f>
        <v>226</v>
      </c>
      <c r="AP18" s="48"/>
      <c r="AQ18" s="110"/>
      <c r="AR18" s="75">
        <f>IFERROR(WORKDAY.INTL(AN18,AQ18,11),"")</f>
        <v>46433</v>
      </c>
      <c r="AS18" s="108">
        <f>AR18-AU18</f>
        <v>226</v>
      </c>
      <c r="AT18" s="48"/>
      <c r="AU18" s="114">
        <f t="shared" si="5"/>
        <v>46207</v>
      </c>
      <c r="AV18" s="120" t="str" cm="1">
        <f t="array" ref="AV18">IF(OR(G18&gt;$C$6,G18=""),$F$8,INDEX($E$8:$Z$8,MATCH(TRUE,(F18:AA18=""),0)))</f>
        <v>1. Tender Docs &amp; BOQ</v>
      </c>
      <c r="AW18" s="117" t="b">
        <f>IF(AND(G18&gt;0,G18&lt;$C$6),TRUE,FALSE)</f>
        <v>0</v>
      </c>
      <c r="AX18" s="76" t="b">
        <f>IF(AND(I18&gt;0,I18&lt;$C$6),TRUE,FALSE)</f>
        <v>0</v>
      </c>
      <c r="AY18" s="76" t="b">
        <f>IF(AND(K18&gt;0,K18&lt;$C$6),TRUE,FALSE)</f>
        <v>0</v>
      </c>
      <c r="AZ18" s="76" t="b">
        <f>IF(AND(M18&gt;0,M18&lt;$C$6),TRUE,FALSE)</f>
        <v>0</v>
      </c>
      <c r="BA18" s="76" t="b">
        <f>IF(AND(O18&gt;0,O18&lt;$C$6),TRUE,FALSE)</f>
        <v>0</v>
      </c>
      <c r="BB18" s="76" t="b">
        <f>IF(AND(Q18&gt;0,Q18&lt;$C$6),TRUE,FALSE)</f>
        <v>0</v>
      </c>
      <c r="BC18" s="76" t="b">
        <f>IF(AND(S18&gt;0,S18&lt;$C$6),TRUE,FALSE)</f>
        <v>0</v>
      </c>
      <c r="BD18" s="76" t="b">
        <f>IF(AND(U18&gt;0,U18&lt;$C$6),TRUE,FALSE)</f>
        <v>0</v>
      </c>
      <c r="BE18" s="76" t="b">
        <f>IF(AND(W18&gt;0,W18&lt;$C$6),TRUE,FALSE)</f>
        <v>0</v>
      </c>
      <c r="BF18" s="76" t="b">
        <f>IF(AND(Y18&gt;0,Y18&lt;$C$6),TRUE,FALSE)</f>
        <v>0</v>
      </c>
      <c r="BG18" s="90" t="b">
        <f>IF(AND(AA18&gt;0,AA18&lt;$C$6),TRUE,FALSE)</f>
        <v>0</v>
      </c>
      <c r="BH18" s="146"/>
    </row>
    <row r="19" spans="1:60" ht="23.25" x14ac:dyDescent="0.25">
      <c r="A19" s="54"/>
      <c r="B19" s="49"/>
      <c r="C19" s="50" t="s">
        <v>156</v>
      </c>
      <c r="D19" s="51"/>
      <c r="E19" s="51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1"/>
      <c r="AC19" s="51"/>
      <c r="AD19" s="132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51"/>
      <c r="BC19" s="51"/>
      <c r="BD19" s="51"/>
      <c r="BE19" s="51"/>
      <c r="BF19" s="51"/>
      <c r="BG19" s="88"/>
      <c r="BH19" s="146"/>
    </row>
    <row r="20" spans="1:60" ht="26.25" x14ac:dyDescent="0.25">
      <c r="A20" s="56" cm="1">
        <f t="array" ref="A20">SUMPRODUCT(($AV$10:$AV$24&lt;&gt;"")*(ROW($AV$10:$AV$24)&lt;=ROW()))</f>
        <v>7</v>
      </c>
      <c r="B20" s="59"/>
      <c r="C20" s="60" t="s">
        <v>352</v>
      </c>
      <c r="D20" s="59"/>
      <c r="E20" s="43"/>
      <c r="F20" s="44">
        <f>H20-$H$7</f>
        <v>46128</v>
      </c>
      <c r="G20" s="45"/>
      <c r="H20" s="44">
        <f>J20-$J$7</f>
        <v>46135</v>
      </c>
      <c r="I20" s="45"/>
      <c r="J20" s="44">
        <f>L20-$L$7</f>
        <v>46141</v>
      </c>
      <c r="K20" s="45"/>
      <c r="L20" s="44">
        <f>N20-$N$7</f>
        <v>46144</v>
      </c>
      <c r="M20" s="45"/>
      <c r="N20" s="44">
        <f>P20-$P$7</f>
        <v>46174</v>
      </c>
      <c r="O20" s="45"/>
      <c r="P20" s="44">
        <f>R20-$R$7</f>
        <v>46184</v>
      </c>
      <c r="Q20" s="45"/>
      <c r="R20" s="44">
        <f>T20-$T$7</f>
        <v>46204</v>
      </c>
      <c r="S20" s="45"/>
      <c r="T20" s="44">
        <f>V20-$V$7</f>
        <v>46211</v>
      </c>
      <c r="U20" s="45"/>
      <c r="V20" s="44">
        <f>X20-$X$7</f>
        <v>46218</v>
      </c>
      <c r="W20" s="45"/>
      <c r="X20" s="44">
        <f t="shared" ref="X20" si="9">AN20</f>
        <v>46223</v>
      </c>
      <c r="Y20" s="45"/>
      <c r="Z20" s="46">
        <f>X20+$Z$7</f>
        <v>46233</v>
      </c>
      <c r="AA20" s="45"/>
      <c r="AB20" s="32">
        <f>IF(AV20="10. Issued to Contractor","-",IF(AV20="11. Subcontract Agreement signed","-",MAX(AN20,AR20)-$C$6))</f>
        <v>111</v>
      </c>
      <c r="AC20" s="16"/>
      <c r="AD20" s="131">
        <f t="shared" ref="AD20" si="10">SUM($H$7:$Y$7)</f>
        <v>95</v>
      </c>
      <c r="AE20" s="16"/>
      <c r="AF20" s="96"/>
      <c r="AG20" s="72"/>
      <c r="AH20" s="72"/>
      <c r="AI20" s="72"/>
      <c r="AJ20" s="73" t="str">
        <f>IF(AI20&gt;0,SUM(AH20)-SUM(AI20),"")</f>
        <v/>
      </c>
      <c r="AK20" s="101"/>
      <c r="AL20" s="48"/>
      <c r="AM20" s="104">
        <v>90</v>
      </c>
      <c r="AN20" s="74">
        <f>$M$3+AM20-1</f>
        <v>46223</v>
      </c>
      <c r="AO20" s="108">
        <f>AN20-AU20</f>
        <v>16</v>
      </c>
      <c r="AP20" s="48"/>
      <c r="AQ20" s="110"/>
      <c r="AR20" s="75">
        <f>IFERROR(WORKDAY.INTL(AN20,AQ20,11),"")</f>
        <v>46223</v>
      </c>
      <c r="AS20" s="108">
        <f>AR20-AU20</f>
        <v>16</v>
      </c>
      <c r="AT20" s="48"/>
      <c r="AU20" s="114">
        <f t="shared" ref="AU20" si="11">IF(Y20&gt;0,Y20,IFERROR(MAX(_xlfn.XLOOKUP($AV20,$H$8:$Z$8,$G20:$Y20),$C$6)+(AN20-_xlfn.XLOOKUP($AV20,$H$8:$Z$8,$F20:$X20))*AD20/SUM($H$7:$Y$7),$C$6+SUM(AD20)))</f>
        <v>46207</v>
      </c>
      <c r="AV20" s="120" t="str" cm="1">
        <f t="array" ref="AV20">IF(OR(G20&gt;$C$6,G20=""),$F$8,INDEX($E$8:$Z$8,MATCH(TRUE,(F20:AA20=""),0)))</f>
        <v>1. Tender Docs &amp; BOQ</v>
      </c>
      <c r="AW20" s="117" t="b">
        <f>IF(AND(G20&gt;0,G20&lt;$C$6),TRUE,FALSE)</f>
        <v>0</v>
      </c>
      <c r="AX20" s="76" t="b">
        <f>IF(AND(I20&gt;0,I20&lt;$C$6),TRUE,FALSE)</f>
        <v>0</v>
      </c>
      <c r="AY20" s="76" t="b">
        <f>IF(AND(K20&gt;0,K20&lt;$C$6),TRUE,FALSE)</f>
        <v>0</v>
      </c>
      <c r="AZ20" s="76" t="b">
        <f>IF(AND(M20&gt;0,M20&lt;$C$6),TRUE,FALSE)</f>
        <v>0</v>
      </c>
      <c r="BA20" s="76" t="b">
        <f>IF(AND(O20&gt;0,O20&lt;$C$6),TRUE,FALSE)</f>
        <v>0</v>
      </c>
      <c r="BB20" s="76" t="b">
        <f>IF(AND(Q20&gt;0,Q20&lt;$C$6),TRUE,FALSE)</f>
        <v>0</v>
      </c>
      <c r="BC20" s="76" t="b">
        <f>IF(AND(S20&gt;0,S20&lt;$C$6),TRUE,FALSE)</f>
        <v>0</v>
      </c>
      <c r="BD20" s="76" t="b">
        <f>IF(AND(U20&gt;0,U20&lt;$C$6),TRUE,FALSE)</f>
        <v>0</v>
      </c>
      <c r="BE20" s="76" t="b">
        <f>IF(AND(W20&gt;0,W20&lt;$C$6),TRUE,FALSE)</f>
        <v>0</v>
      </c>
      <c r="BF20" s="76" t="b">
        <f>IF(AND(Y20&gt;0,Y20&lt;$C$6),TRUE,FALSE)</f>
        <v>0</v>
      </c>
      <c r="BG20" s="90" t="b">
        <f>IF(AND(AA20&gt;0,AA20&lt;$C$6),TRUE,FALSE)</f>
        <v>0</v>
      </c>
      <c r="BH20" s="146"/>
    </row>
    <row r="21" spans="1:60" ht="23.25" x14ac:dyDescent="0.25">
      <c r="A21" s="54"/>
      <c r="B21" s="49"/>
      <c r="C21" s="50" t="s">
        <v>163</v>
      </c>
      <c r="D21" s="51"/>
      <c r="E21" s="51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1"/>
      <c r="AC21" s="51"/>
      <c r="AD21" s="132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  <c r="BC21" s="51"/>
      <c r="BD21" s="51"/>
      <c r="BE21" s="51"/>
      <c r="BF21" s="51"/>
      <c r="BG21" s="88"/>
      <c r="BH21" s="146"/>
    </row>
    <row r="22" spans="1:60" ht="26.25" x14ac:dyDescent="0.25">
      <c r="A22" s="56" cm="1">
        <f t="array" ref="A22">SUMPRODUCT(($AV$10:$AV$24&lt;&gt;"")*(ROW($AV$10:$AV$24)&lt;=ROW()))</f>
        <v>8</v>
      </c>
      <c r="B22" s="59"/>
      <c r="C22" s="60" t="s">
        <v>353</v>
      </c>
      <c r="D22" s="59"/>
      <c r="E22" s="43"/>
      <c r="F22" s="44">
        <f t="shared" ref="F22:F24" si="12">H22-$H$7</f>
        <v>46338</v>
      </c>
      <c r="G22" s="45"/>
      <c r="H22" s="44">
        <f t="shared" ref="H22:H24" si="13">J22-$J$7</f>
        <v>46345</v>
      </c>
      <c r="I22" s="45"/>
      <c r="J22" s="44">
        <f t="shared" ref="J22:J24" si="14">L22-$L$7</f>
        <v>46351</v>
      </c>
      <c r="K22" s="45"/>
      <c r="L22" s="44">
        <f t="shared" ref="L22:L24" si="15">N22-$N$7</f>
        <v>46354</v>
      </c>
      <c r="M22" s="45"/>
      <c r="N22" s="44">
        <f t="shared" ref="N22:N24" si="16">P22-$P$7</f>
        <v>46384</v>
      </c>
      <c r="O22" s="45"/>
      <c r="P22" s="44">
        <f t="shared" ref="P22:P24" si="17">R22-$R$7</f>
        <v>46394</v>
      </c>
      <c r="Q22" s="45"/>
      <c r="R22" s="44">
        <f t="shared" ref="R22:R24" si="18">T22-$T$7</f>
        <v>46414</v>
      </c>
      <c r="S22" s="45"/>
      <c r="T22" s="44">
        <f t="shared" ref="T22:T24" si="19">V22-$V$7</f>
        <v>46421</v>
      </c>
      <c r="U22" s="45"/>
      <c r="V22" s="44">
        <f t="shared" ref="V22:V24" si="20">X22-$X$7</f>
        <v>46428</v>
      </c>
      <c r="W22" s="45"/>
      <c r="X22" s="44">
        <f t="shared" ref="X22:X24" si="21">AN22</f>
        <v>46433</v>
      </c>
      <c r="Y22" s="45"/>
      <c r="Z22" s="46">
        <f t="shared" ref="Z22:Z24" si="22">X22+$Z$7</f>
        <v>46443</v>
      </c>
      <c r="AA22" s="45"/>
      <c r="AB22" s="32">
        <f t="shared" ref="AB22:AB24" si="23">IF(AV22="10. Issued to Contractor","-",IF(AV22="11. Subcontract Agreement signed","-",MAX(AN22,AR22)-$C$6))</f>
        <v>321</v>
      </c>
      <c r="AC22" s="16"/>
      <c r="AD22" s="131">
        <f t="shared" ref="AD22:AD24" si="24">SUM($H$7:$Y$7)</f>
        <v>95</v>
      </c>
      <c r="AE22" s="16"/>
      <c r="AF22" s="96"/>
      <c r="AG22" s="72"/>
      <c r="AH22" s="72"/>
      <c r="AI22" s="72"/>
      <c r="AJ22" s="73" t="str">
        <f>IF(AI22&gt;0,SUM(AH22)-SUM(AI22),"")</f>
        <v/>
      </c>
      <c r="AK22" s="101"/>
      <c r="AL22" s="48"/>
      <c r="AM22" s="104">
        <v>300</v>
      </c>
      <c r="AN22" s="74">
        <f t="shared" ref="AN22:AN24" si="25">$M$3+AM22-1</f>
        <v>46433</v>
      </c>
      <c r="AO22" s="108">
        <f t="shared" ref="AO22:AO24" si="26">AN22-AU22</f>
        <v>226</v>
      </c>
      <c r="AP22" s="48"/>
      <c r="AQ22" s="110"/>
      <c r="AR22" s="75">
        <f t="shared" ref="AR22:AR24" si="27">IFERROR(WORKDAY.INTL(AN22,AQ22,11),"")</f>
        <v>46433</v>
      </c>
      <c r="AS22" s="108">
        <f t="shared" ref="AS22:AS24" si="28">AR22-AU22</f>
        <v>226</v>
      </c>
      <c r="AT22" s="48"/>
      <c r="AU22" s="114">
        <f t="shared" ref="AU22:AU24" si="29">IF(Y22&gt;0,Y22,IFERROR(MAX(_xlfn.XLOOKUP($AV22,$H$8:$Z$8,$G22:$Y22),$C$6)+(AN22-_xlfn.XLOOKUP($AV22,$H$8:$Z$8,$F22:$X22))*AD22/SUM($H$7:$Y$7),$C$6+SUM(AD22)))</f>
        <v>46207</v>
      </c>
      <c r="AV22" s="120" t="str" cm="1">
        <f t="array" ref="AV22">IF(OR(G22&gt;$C$6,G22=""),$F$8,INDEX($E$8:$Z$8,MATCH(TRUE,(F22:AA22=""),0)))</f>
        <v>1. Tender Docs &amp; BOQ</v>
      </c>
      <c r="AW22" s="117" t="b">
        <f t="shared" ref="AW22:AW24" si="30">IF(AND(G22&gt;0,G22&lt;$C$6),TRUE,FALSE)</f>
        <v>0</v>
      </c>
      <c r="AX22" s="76" t="b">
        <f t="shared" ref="AX22:AX24" si="31">IF(AND(I22&gt;0,I22&lt;$C$6),TRUE,FALSE)</f>
        <v>0</v>
      </c>
      <c r="AY22" s="76" t="b">
        <f t="shared" ref="AY22:AY24" si="32">IF(AND(K22&gt;0,K22&lt;$C$6),TRUE,FALSE)</f>
        <v>0</v>
      </c>
      <c r="AZ22" s="76" t="b">
        <f t="shared" ref="AZ22:AZ24" si="33">IF(AND(M22&gt;0,M22&lt;$C$6),TRUE,FALSE)</f>
        <v>0</v>
      </c>
      <c r="BA22" s="76" t="b">
        <f t="shared" ref="BA22:BA24" si="34">IF(AND(O22&gt;0,O22&lt;$C$6),TRUE,FALSE)</f>
        <v>0</v>
      </c>
      <c r="BB22" s="76" t="b">
        <f t="shared" ref="BB22:BB24" si="35">IF(AND(Q22&gt;0,Q22&lt;$C$6),TRUE,FALSE)</f>
        <v>0</v>
      </c>
      <c r="BC22" s="76" t="b">
        <f t="shared" ref="BC22:BC24" si="36">IF(AND(S22&gt;0,S22&lt;$C$6),TRUE,FALSE)</f>
        <v>0</v>
      </c>
      <c r="BD22" s="76" t="b">
        <f t="shared" ref="BD22:BD24" si="37">IF(AND(U22&gt;0,U22&lt;$C$6),TRUE,FALSE)</f>
        <v>0</v>
      </c>
      <c r="BE22" s="76" t="b">
        <f t="shared" ref="BE22:BE24" si="38">IF(AND(W22&gt;0,W22&lt;$C$6),TRUE,FALSE)</f>
        <v>0</v>
      </c>
      <c r="BF22" s="76" t="b">
        <f t="shared" ref="BF22:BF24" si="39">IF(AND(Y22&gt;0,Y22&lt;$C$6),TRUE,FALSE)</f>
        <v>0</v>
      </c>
      <c r="BG22" s="90" t="b">
        <f t="shared" ref="BG22:BG24" si="40">IF(AND(AA22&gt;0,AA22&lt;$C$6),TRUE,FALSE)</f>
        <v>0</v>
      </c>
      <c r="BH22" s="146"/>
    </row>
    <row r="23" spans="1:60" ht="26.25" x14ac:dyDescent="0.25">
      <c r="A23" s="56" cm="1">
        <f t="array" ref="A23">SUMPRODUCT(($AV$10:$AV$24&lt;&gt;"")*(ROW($AV$10:$AV$24)&lt;=ROW()))</f>
        <v>9</v>
      </c>
      <c r="B23" s="57"/>
      <c r="C23" s="58" t="s">
        <v>354</v>
      </c>
      <c r="D23" s="93"/>
      <c r="E23" s="16"/>
      <c r="F23" s="29">
        <f t="shared" si="12"/>
        <v>46403</v>
      </c>
      <c r="G23" s="42"/>
      <c r="H23" s="29">
        <f t="shared" si="13"/>
        <v>46410</v>
      </c>
      <c r="I23" s="42"/>
      <c r="J23" s="29">
        <f t="shared" si="14"/>
        <v>46416</v>
      </c>
      <c r="K23" s="42"/>
      <c r="L23" s="29">
        <f t="shared" si="15"/>
        <v>46419</v>
      </c>
      <c r="M23" s="42"/>
      <c r="N23" s="29">
        <f t="shared" si="16"/>
        <v>46449</v>
      </c>
      <c r="O23" s="42"/>
      <c r="P23" s="29">
        <f t="shared" si="17"/>
        <v>46459</v>
      </c>
      <c r="Q23" s="42"/>
      <c r="R23" s="29">
        <f t="shared" si="18"/>
        <v>46479</v>
      </c>
      <c r="S23" s="42"/>
      <c r="T23" s="29">
        <f t="shared" si="19"/>
        <v>46486</v>
      </c>
      <c r="U23" s="42"/>
      <c r="V23" s="29">
        <f t="shared" si="20"/>
        <v>46493</v>
      </c>
      <c r="W23" s="42"/>
      <c r="X23" s="29">
        <f t="shared" si="21"/>
        <v>46498</v>
      </c>
      <c r="Y23" s="42"/>
      <c r="Z23" s="30">
        <f t="shared" si="22"/>
        <v>46508</v>
      </c>
      <c r="AA23" s="42"/>
      <c r="AB23" s="31">
        <f t="shared" si="23"/>
        <v>386</v>
      </c>
      <c r="AC23" s="16"/>
      <c r="AD23" s="131">
        <f t="shared" si="24"/>
        <v>95</v>
      </c>
      <c r="AE23" s="16"/>
      <c r="AF23" s="95"/>
      <c r="AG23" s="67"/>
      <c r="AH23" s="67"/>
      <c r="AI23" s="67"/>
      <c r="AJ23" s="68" t="str">
        <f>IF(AI23&gt;0,SUM(AH23)-SUM(AI23),"")</f>
        <v/>
      </c>
      <c r="AK23" s="102"/>
      <c r="AL23" s="48"/>
      <c r="AM23" s="105">
        <v>365</v>
      </c>
      <c r="AN23" s="69">
        <f t="shared" si="25"/>
        <v>46498</v>
      </c>
      <c r="AO23" s="107">
        <f t="shared" si="26"/>
        <v>291</v>
      </c>
      <c r="AP23" s="48"/>
      <c r="AQ23" s="111"/>
      <c r="AR23" s="70">
        <f t="shared" si="27"/>
        <v>46498</v>
      </c>
      <c r="AS23" s="107">
        <f t="shared" si="28"/>
        <v>291</v>
      </c>
      <c r="AT23" s="48"/>
      <c r="AU23" s="113">
        <f t="shared" si="29"/>
        <v>46207</v>
      </c>
      <c r="AV23" s="119" t="str" cm="1">
        <f t="array" ref="AV23">IF(OR(G23&gt;$C$6,G23=""),$F$8,INDEX($E$8:$Z$8,MATCH(TRUE,(F23:AA23=""),0)))</f>
        <v>1. Tender Docs &amp; BOQ</v>
      </c>
      <c r="AW23" s="116" t="b">
        <f t="shared" si="30"/>
        <v>0</v>
      </c>
      <c r="AX23" s="71" t="b">
        <f t="shared" si="31"/>
        <v>0</v>
      </c>
      <c r="AY23" s="71" t="b">
        <f t="shared" si="32"/>
        <v>0</v>
      </c>
      <c r="AZ23" s="71" t="b">
        <f t="shared" si="33"/>
        <v>0</v>
      </c>
      <c r="BA23" s="71" t="b">
        <f t="shared" si="34"/>
        <v>0</v>
      </c>
      <c r="BB23" s="71" t="b">
        <f t="shared" si="35"/>
        <v>0</v>
      </c>
      <c r="BC23" s="71" t="b">
        <f t="shared" si="36"/>
        <v>0</v>
      </c>
      <c r="BD23" s="71" t="b">
        <f t="shared" si="37"/>
        <v>0</v>
      </c>
      <c r="BE23" s="71" t="b">
        <f t="shared" si="38"/>
        <v>0</v>
      </c>
      <c r="BF23" s="71" t="b">
        <f t="shared" si="39"/>
        <v>0</v>
      </c>
      <c r="BG23" s="89" t="b">
        <f t="shared" si="40"/>
        <v>0</v>
      </c>
      <c r="BH23" s="146"/>
    </row>
    <row r="24" spans="1:60" ht="26.25" x14ac:dyDescent="0.25">
      <c r="A24" s="56" cm="1">
        <f t="array" ref="A24">SUMPRODUCT(($AV$10:$AV$24&lt;&gt;"")*(ROW($AV$10:$AV$24)&lt;=ROW()))</f>
        <v>10</v>
      </c>
      <c r="B24" s="59"/>
      <c r="C24" s="60" t="s">
        <v>355</v>
      </c>
      <c r="D24" s="59"/>
      <c r="E24" s="43"/>
      <c r="F24" s="44">
        <f t="shared" si="12"/>
        <v>46218</v>
      </c>
      <c r="G24" s="45"/>
      <c r="H24" s="44">
        <f t="shared" si="13"/>
        <v>46225</v>
      </c>
      <c r="I24" s="45"/>
      <c r="J24" s="44">
        <f t="shared" si="14"/>
        <v>46231</v>
      </c>
      <c r="K24" s="45"/>
      <c r="L24" s="44">
        <f t="shared" si="15"/>
        <v>46234</v>
      </c>
      <c r="M24" s="45"/>
      <c r="N24" s="44">
        <f t="shared" si="16"/>
        <v>46264</v>
      </c>
      <c r="O24" s="45"/>
      <c r="P24" s="44">
        <f t="shared" si="17"/>
        <v>46274</v>
      </c>
      <c r="Q24" s="45"/>
      <c r="R24" s="44">
        <f t="shared" si="18"/>
        <v>46294</v>
      </c>
      <c r="S24" s="45"/>
      <c r="T24" s="44">
        <f t="shared" si="19"/>
        <v>46301</v>
      </c>
      <c r="U24" s="45"/>
      <c r="V24" s="44">
        <f t="shared" si="20"/>
        <v>46308</v>
      </c>
      <c r="W24" s="45"/>
      <c r="X24" s="44">
        <f t="shared" si="21"/>
        <v>46313</v>
      </c>
      <c r="Y24" s="45"/>
      <c r="Z24" s="46">
        <f t="shared" si="22"/>
        <v>46323</v>
      </c>
      <c r="AA24" s="45"/>
      <c r="AB24" s="32">
        <f t="shared" si="23"/>
        <v>201</v>
      </c>
      <c r="AC24" s="16"/>
      <c r="AD24" s="131">
        <f t="shared" si="24"/>
        <v>95</v>
      </c>
      <c r="AE24" s="16"/>
      <c r="AF24" s="96"/>
      <c r="AG24" s="72"/>
      <c r="AH24" s="72"/>
      <c r="AI24" s="72"/>
      <c r="AJ24" s="73" t="str">
        <f>IF(AI24&gt;0,SUM(AH24)-SUM(AI24),"")</f>
        <v/>
      </c>
      <c r="AK24" s="101"/>
      <c r="AL24" s="48"/>
      <c r="AM24" s="104">
        <v>180</v>
      </c>
      <c r="AN24" s="74">
        <f t="shared" si="25"/>
        <v>46313</v>
      </c>
      <c r="AO24" s="108">
        <f t="shared" si="26"/>
        <v>106</v>
      </c>
      <c r="AP24" s="48"/>
      <c r="AQ24" s="110"/>
      <c r="AR24" s="75">
        <f t="shared" si="27"/>
        <v>46313</v>
      </c>
      <c r="AS24" s="108">
        <f t="shared" si="28"/>
        <v>106</v>
      </c>
      <c r="AT24" s="48"/>
      <c r="AU24" s="114">
        <f t="shared" si="29"/>
        <v>46207</v>
      </c>
      <c r="AV24" s="120" t="str" cm="1">
        <f t="array" ref="AV24">IF(OR(G24&gt;$C$6,G24=""),$F$8,INDEX($E$8:$Z$8,MATCH(TRUE,(F24:AA24=""),0)))</f>
        <v>1. Tender Docs &amp; BOQ</v>
      </c>
      <c r="AW24" s="117" t="b">
        <f t="shared" si="30"/>
        <v>0</v>
      </c>
      <c r="AX24" s="76" t="b">
        <f t="shared" si="31"/>
        <v>0</v>
      </c>
      <c r="AY24" s="76" t="b">
        <f t="shared" si="32"/>
        <v>0</v>
      </c>
      <c r="AZ24" s="76" t="b">
        <f t="shared" si="33"/>
        <v>0</v>
      </c>
      <c r="BA24" s="76" t="b">
        <f t="shared" si="34"/>
        <v>0</v>
      </c>
      <c r="BB24" s="76" t="b">
        <f t="shared" si="35"/>
        <v>0</v>
      </c>
      <c r="BC24" s="76" t="b">
        <f t="shared" si="36"/>
        <v>0</v>
      </c>
      <c r="BD24" s="76" t="b">
        <f t="shared" si="37"/>
        <v>0</v>
      </c>
      <c r="BE24" s="76" t="b">
        <f t="shared" si="38"/>
        <v>0</v>
      </c>
      <c r="BF24" s="76" t="b">
        <f t="shared" si="39"/>
        <v>0</v>
      </c>
      <c r="BG24" s="90" t="b">
        <f t="shared" si="40"/>
        <v>0</v>
      </c>
      <c r="BH24" s="146"/>
    </row>
    <row r="25" spans="1:60" ht="23.25" x14ac:dyDescent="0.25">
      <c r="A25" s="8"/>
      <c r="B25" s="8"/>
      <c r="C25" s="34" t="s">
        <v>189</v>
      </c>
      <c r="D25" s="100"/>
      <c r="E25" s="16"/>
      <c r="F25" s="123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124"/>
      <c r="AC25" s="16"/>
      <c r="AD25" s="130"/>
      <c r="AE25" s="16"/>
      <c r="AF25" s="99">
        <f>SUM(AF10:AF24)</f>
        <v>0</v>
      </c>
      <c r="AG25" s="10">
        <f>SUM(AG10:AG24)</f>
        <v>0</v>
      </c>
      <c r="AH25" s="10">
        <f>SUM(AH10:AH24)</f>
        <v>0</v>
      </c>
      <c r="AI25" s="10">
        <f>SUM(AI10:AI24)</f>
        <v>0</v>
      </c>
      <c r="AJ25" s="10">
        <f>SUM(AJ10:AJ24)</f>
        <v>0</v>
      </c>
      <c r="AK25" s="9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92"/>
      <c r="BH25" s="146"/>
    </row>
    <row r="26" spans="1:60" ht="23.25" x14ac:dyDescent="0.25">
      <c r="C26" s="7" t="s">
        <v>487</v>
      </c>
      <c r="BH26" s="146"/>
    </row>
    <row r="27" spans="1:60" ht="23.25" x14ac:dyDescent="0.25">
      <c r="C27" s="191">
        <v>46126</v>
      </c>
      <c r="BH27" s="146"/>
    </row>
    <row r="28" spans="1:60" ht="23.25" x14ac:dyDescent="0.25">
      <c r="B28" s="3">
        <v>1</v>
      </c>
      <c r="C28" s="7" t="s">
        <v>485</v>
      </c>
      <c r="AF28" s="3" t="s">
        <v>486</v>
      </c>
      <c r="BH28" s="146"/>
    </row>
    <row r="29" spans="1:60" ht="23.25" x14ac:dyDescent="0.25">
      <c r="B29" s="3">
        <v>2</v>
      </c>
      <c r="C29" s="7" t="s">
        <v>482</v>
      </c>
      <c r="AF29" s="3" t="s">
        <v>483</v>
      </c>
      <c r="BH29" s="146"/>
    </row>
    <row r="30" spans="1:60" ht="23.25" x14ac:dyDescent="0.25">
      <c r="B30" s="3">
        <v>3</v>
      </c>
      <c r="C30" s="7" t="s">
        <v>484</v>
      </c>
      <c r="BH30" s="146"/>
    </row>
    <row r="31" spans="1:60" ht="23.25" x14ac:dyDescent="0.25">
      <c r="B31" s="3">
        <v>4</v>
      </c>
      <c r="BH31" s="146"/>
    </row>
    <row r="32" spans="1:60" ht="23.25" x14ac:dyDescent="0.25">
      <c r="BH32" s="146"/>
    </row>
    <row r="33" spans="60:60" ht="23.25" x14ac:dyDescent="0.25">
      <c r="BH33" s="146"/>
    </row>
    <row r="34" spans="60:60" ht="23.25" x14ac:dyDescent="0.25">
      <c r="BH34" s="146"/>
    </row>
    <row r="35" spans="60:60" ht="23.25" x14ac:dyDescent="0.25">
      <c r="BH35" s="146"/>
    </row>
    <row r="36" spans="60:60" ht="23.25" x14ac:dyDescent="0.25">
      <c r="BH36" s="146"/>
    </row>
    <row r="37" spans="60:60" ht="23.25" x14ac:dyDescent="0.25">
      <c r="BH37" s="146"/>
    </row>
    <row r="38" spans="60:60" ht="23.25" x14ac:dyDescent="0.25">
      <c r="BH38" s="146"/>
    </row>
    <row r="39" spans="60:60" ht="23.25" x14ac:dyDescent="0.25">
      <c r="BH39" s="146"/>
    </row>
    <row r="40" spans="60:60" ht="23.25" x14ac:dyDescent="0.25">
      <c r="BH40" s="146"/>
    </row>
  </sheetData>
  <sheetProtection formatColumns="0" formatRows="0" autoFilter="0"/>
  <mergeCells count="75">
    <mergeCell ref="AU7:AU9"/>
    <mergeCell ref="AG7:AG9"/>
    <mergeCell ref="AH7:AH9"/>
    <mergeCell ref="AI7:AI9"/>
    <mergeCell ref="AJ7:AJ9"/>
    <mergeCell ref="AK7:AK9"/>
    <mergeCell ref="AN7:AN9"/>
    <mergeCell ref="AO7:AO9"/>
    <mergeCell ref="AQ7:AQ9"/>
    <mergeCell ref="AR7:AR9"/>
    <mergeCell ref="AS7:AS9"/>
    <mergeCell ref="AM7:AM9"/>
    <mergeCell ref="BF7:BF9"/>
    <mergeCell ref="BG7:BG9"/>
    <mergeCell ref="AV7:AV9"/>
    <mergeCell ref="AW7:AW9"/>
    <mergeCell ref="AX7:AX9"/>
    <mergeCell ref="AY7:AY9"/>
    <mergeCell ref="AZ7:AZ9"/>
    <mergeCell ref="BA7:BA9"/>
    <mergeCell ref="BB7:BB9"/>
    <mergeCell ref="BC7:BC9"/>
    <mergeCell ref="BD7:BD9"/>
    <mergeCell ref="BE7:BE9"/>
    <mergeCell ref="AF7:AF9"/>
    <mergeCell ref="V8:W8"/>
    <mergeCell ref="X8:Y8"/>
    <mergeCell ref="Z8:AA8"/>
    <mergeCell ref="T7:U7"/>
    <mergeCell ref="V7:W7"/>
    <mergeCell ref="X7:Y7"/>
    <mergeCell ref="Z7:AA7"/>
    <mergeCell ref="AB7:AB9"/>
    <mergeCell ref="AD7:AD9"/>
    <mergeCell ref="A7:A9"/>
    <mergeCell ref="B7:B9"/>
    <mergeCell ref="C7:C9"/>
    <mergeCell ref="D7:D9"/>
    <mergeCell ref="F7:G7"/>
    <mergeCell ref="H7:I7"/>
    <mergeCell ref="F8:G8"/>
    <mergeCell ref="H8:I8"/>
    <mergeCell ref="J7:K7"/>
    <mergeCell ref="L7:M7"/>
    <mergeCell ref="L8:M8"/>
    <mergeCell ref="N7:O7"/>
    <mergeCell ref="P7:Q7"/>
    <mergeCell ref="R7:S7"/>
    <mergeCell ref="T8:U8"/>
    <mergeCell ref="J8:K8"/>
    <mergeCell ref="N8:O8"/>
    <mergeCell ref="P8:Q8"/>
    <mergeCell ref="R8:S8"/>
    <mergeCell ref="H3:H4"/>
    <mergeCell ref="I3:I4"/>
    <mergeCell ref="J3:J4"/>
    <mergeCell ref="K3:K4"/>
    <mergeCell ref="L3:L4"/>
    <mergeCell ref="M3:N4"/>
    <mergeCell ref="I1:I2"/>
    <mergeCell ref="J1:J2"/>
    <mergeCell ref="K1:K2"/>
    <mergeCell ref="L1:L2"/>
    <mergeCell ref="M1:N2"/>
    <mergeCell ref="A3:B4"/>
    <mergeCell ref="C3:C4"/>
    <mergeCell ref="D3:D4"/>
    <mergeCell ref="F3:F4"/>
    <mergeCell ref="G3:G4"/>
    <mergeCell ref="H1:H2"/>
    <mergeCell ref="A1:B2"/>
    <mergeCell ref="C1:C2"/>
    <mergeCell ref="D1:D2"/>
    <mergeCell ref="F1:F2"/>
    <mergeCell ref="G1:G2"/>
  </mergeCells>
  <conditionalFormatting sqref="G11 I11 K11 M11 O11 Q11 S11 U11 W11 Y11 AA11 G13:G14 I13:I14 K13:K14 M13:M14 O13:O14 Q13:Q14 S13:S14 U13:U14 W13:W14 Y13:Y14 AA13:AA14 G16:G18 I16:I18 K16:K18 M16:M18 O16:O18 Q16:Q18 S16:S18 U16:U18 W16:W18 Y16:Y18 AA16:AA18 G20 I20 K20 M20 O20 Q20 S20 U20 W20 Y20 AA20 G22:G24 I22:I24 K22:K24 M22:M24 O22:O24 Q22:Q24 S22:S24 U22:U24 W22:W24 Y22:Y24 AA22:AA24">
    <cfRule type="cellIs" dxfId="87" priority="6" operator="between">
      <formula>1</formula>
      <formula>$C$6</formula>
    </cfRule>
  </conditionalFormatting>
  <conditionalFormatting sqref="AB10:AB25">
    <cfRule type="cellIs" dxfId="86" priority="10" operator="lessThan">
      <formula>0</formula>
    </cfRule>
  </conditionalFormatting>
  <conditionalFormatting sqref="AO11 AS11 AO13:AO14 AS13:AS14 AO16:AO18 AS16:AS18 AO20 AS20 AO22:AO24 AS22:AS24">
    <cfRule type="cellIs" dxfId="85" priority="11" operator="lessThan">
      <formula>0</formula>
    </cfRule>
  </conditionalFormatting>
  <conditionalFormatting sqref="AW11:BG11 BB12:BG12 AW13:BG14 BB15:BG15 AW16:BG18 BB19:BG19 AW20:BG20 BB21:BG21 AW22:BG24 AL25:BG25">
    <cfRule type="cellIs" dxfId="78" priority="7" operator="equal">
      <formula>TRUE</formula>
    </cfRule>
  </conditionalFormatting>
  <conditionalFormatting sqref="BB10:BG10">
    <cfRule type="cellIs" dxfId="77" priority="5" operator="equal">
      <formula>TRUE</formula>
    </cfRule>
  </conditionalFormatting>
  <pageMargins left="3.937007874015748E-2" right="3.937007874015748E-2" top="0.74803149606299213" bottom="0.74803149606299213" header="0.31496062992125984" footer="0.31496062992125984"/>
  <pageSetup paperSize="8" scale="71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11144BD8-0034-4E86-BF38-B290142474B5}">
            <xm:f>AV11=Data!$B$12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8" stopIfTrue="1" id="{A259F9B6-FEB2-45F4-B1BB-33C4511A5362}">
            <xm:f>AV11=Data!$B$11</xm:f>
            <x14:dxf>
              <fill>
                <patternFill>
                  <bgColor theme="9" tint="0.79998168889431442"/>
                </patternFill>
              </fill>
            </x14:dxf>
          </x14:cfRule>
          <x14:cfRule type="expression" priority="9" id="{84C74C5F-C66E-4927-A89C-E0084D175FE0}">
            <xm:f>AV11=Data!$B$2</xm:f>
            <x14:dxf>
              <fill>
                <patternFill>
                  <bgColor rgb="FFFFE5E5"/>
                </patternFill>
              </fill>
            </x14:dxf>
          </x14:cfRule>
          <xm:sqref>AU11:AU26</xm:sqref>
        </x14:conditionalFormatting>
        <x14:conditionalFormatting xmlns:xm="http://schemas.microsoft.com/office/excel/2006/main">
          <x14:cfRule type="cellIs" priority="1" operator="equal" id="{60B090A3-EE10-4211-9FB4-A518E4A0D191}">
            <xm:f>Data!$B$12</xm:f>
            <x14:dxf>
              <fill>
                <patternFill>
                  <bgColor theme="9" tint="0.59996337778862885"/>
                </patternFill>
              </fill>
            </x14:dxf>
          </x14:cfRule>
          <x14:cfRule type="cellIs" priority="2" stopIfTrue="1" operator="equal" id="{7E08F86B-EC34-4950-8880-BC86804BC30A}">
            <xm:f>Data!$B$11</xm:f>
            <x14:dxf>
              <fill>
                <patternFill>
                  <bgColor theme="9" tint="0.79998168889431442"/>
                </patternFill>
              </fill>
            </x14:dxf>
          </x14:cfRule>
          <x14:cfRule type="cellIs" priority="3" operator="equal" id="{33369405-0F1C-45E0-A396-908419AF0369}">
            <xm:f>Data!$B$2</xm:f>
            <x14:dxf>
              <fill>
                <patternFill>
                  <bgColor rgb="FFFFE5E5"/>
                </patternFill>
              </fill>
            </x14:dxf>
          </x14:cfRule>
          <xm:sqref>AV11 AV13:AV14 AV16:AV18 AV20 AV22:AV24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F4FDFD7-8FEA-46AD-80D2-EB84F293B6A1}">
          <x14:formula1>
            <xm:f>Data!$B$2:$B$13</xm:f>
          </x14:formula1>
          <xm:sqref>AV20 AV13:AV14 AV11 AV22:AV24 AV16:AV18</xm:sqref>
        </x14:dataValidation>
        <x14:dataValidation type="list" allowBlank="1" showInputMessage="1" showErrorMessage="1" xr:uid="{96B1A62B-F69F-4517-B6C0-D8AF349DF7FC}">
          <x14:formula1>
            <xm:f>Data!$C$2:$C$12</xm:f>
          </x14:formula1>
          <xm:sqref>D11 D13:D14 D16:D18 D20 D22:D24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5531C-4F5C-44B6-A57B-EEE94AFF3F7D}">
  <sheetPr codeName="Sheet11">
    <tabColor rgb="FFF2D6D6"/>
    <pageSetUpPr fitToPage="1"/>
  </sheetPr>
  <dimension ref="A1:BH72"/>
  <sheetViews>
    <sheetView showGridLines="0" zoomScale="70" zoomScaleNormal="70" zoomScalePageLayoutView="55" workbookViewId="0">
      <pane xSplit="3" ySplit="9" topLeftCell="D10" activePane="bottomRight" state="frozen"/>
      <selection pane="topRight" activeCell="AI6" sqref="AI6:AI8"/>
      <selection pane="bottomLeft" activeCell="AI6" sqref="AI6:AI8"/>
      <selection pane="bottomRight" activeCell="D12" sqref="D12"/>
    </sheetView>
  </sheetViews>
  <sheetFormatPr defaultColWidth="9.140625" defaultRowHeight="12.75" outlineLevelRow="1" outlineLevelCol="1" x14ac:dyDescent="0.25"/>
  <cols>
    <col min="1" max="2" width="7.42578125" style="3" customWidth="1"/>
    <col min="3" max="3" width="39.140625" style="7" customWidth="1"/>
    <col min="4" max="4" width="14.5703125" style="5" customWidth="1" outlineLevel="1"/>
    <col min="5" max="5" width="1.140625" style="3" customWidth="1" outlineLevel="1"/>
    <col min="6" max="27" width="11.85546875" style="4" customWidth="1" outlineLevel="1"/>
    <col min="28" max="28" width="11.85546875" style="5" customWidth="1" outlineLevel="1"/>
    <col min="29" max="29" width="1" style="3" customWidth="1" outlineLevel="1"/>
    <col min="30" max="30" width="14.42578125" style="5" customWidth="1" outlineLevel="1"/>
    <col min="31" max="31" width="1.140625" style="3" customWidth="1" outlineLevel="1"/>
    <col min="32" max="35" width="14.85546875" style="3" customWidth="1"/>
    <col min="36" max="36" width="15.5703125" style="3" customWidth="1" outlineLevel="1"/>
    <col min="37" max="37" width="23.5703125" style="3" customWidth="1"/>
    <col min="38" max="38" width="0.85546875" style="3" customWidth="1"/>
    <col min="39" max="39" width="7.42578125" style="3" customWidth="1"/>
    <col min="40" max="40" width="13.5703125" style="3" customWidth="1"/>
    <col min="41" max="41" width="7.140625" style="5" customWidth="1"/>
    <col min="42" max="42" width="0.85546875" style="3" customWidth="1"/>
    <col min="43" max="43" width="10.5703125" style="5" customWidth="1"/>
    <col min="44" max="44" width="16.85546875" style="3" customWidth="1"/>
    <col min="45" max="45" width="7.140625" style="5" customWidth="1"/>
    <col min="46" max="46" width="0.85546875" style="3" customWidth="1"/>
    <col min="47" max="47" width="12" style="3" customWidth="1"/>
    <col min="48" max="48" width="35" style="3" bestFit="1" customWidth="1"/>
    <col min="49" max="59" width="4.140625" style="6" customWidth="1"/>
    <col min="60" max="60" width="21.140625" style="3" customWidth="1"/>
    <col min="61" max="16384" width="9.140625" style="3"/>
  </cols>
  <sheetData>
    <row r="1" spans="1:60" s="11" customFormat="1" ht="15" customHeight="1" outlineLevel="1" x14ac:dyDescent="0.25">
      <c r="A1" s="208" t="s">
        <v>57</v>
      </c>
      <c r="B1" s="209"/>
      <c r="C1" s="206" t="s">
        <v>58</v>
      </c>
      <c r="D1" s="211" t="s">
        <v>59</v>
      </c>
      <c r="F1" s="206" t="s">
        <v>60</v>
      </c>
      <c r="G1" s="206" t="s">
        <v>61</v>
      </c>
      <c r="H1" s="206" t="s">
        <v>62</v>
      </c>
      <c r="I1" s="206" t="s">
        <v>63</v>
      </c>
      <c r="J1" s="206" t="s">
        <v>64</v>
      </c>
      <c r="K1" s="206" t="s">
        <v>19</v>
      </c>
      <c r="L1" s="206" t="s">
        <v>65</v>
      </c>
      <c r="M1" s="211" t="s">
        <v>66</v>
      </c>
      <c r="N1" s="224"/>
      <c r="P1" s="27" t="s">
        <v>67</v>
      </c>
      <c r="Q1" s="26"/>
      <c r="R1" s="26"/>
      <c r="S1" s="26"/>
      <c r="U1" s="26" t="s">
        <v>20</v>
      </c>
      <c r="V1" s="26"/>
      <c r="W1" s="26"/>
      <c r="X1" s="26"/>
      <c r="Y1" s="26"/>
      <c r="AA1" s="27" t="s">
        <v>68</v>
      </c>
      <c r="AB1" s="26"/>
      <c r="AC1" s="26"/>
      <c r="AD1" s="28"/>
      <c r="AF1" s="27" t="s">
        <v>33</v>
      </c>
      <c r="AG1" s="26"/>
      <c r="AH1" s="39" t="s">
        <v>34</v>
      </c>
      <c r="AI1" s="40" t="s">
        <v>35</v>
      </c>
      <c r="AY1" s="33"/>
      <c r="AZ1" s="33"/>
      <c r="BA1" s="33"/>
      <c r="BB1" s="33"/>
      <c r="BC1" s="33"/>
      <c r="BD1" s="33"/>
      <c r="BE1" s="33"/>
      <c r="BF1" s="33"/>
      <c r="BG1" s="33"/>
    </row>
    <row r="2" spans="1:60" s="11" customFormat="1" ht="15" outlineLevel="1" x14ac:dyDescent="0.25">
      <c r="A2" s="208"/>
      <c r="B2" s="209"/>
      <c r="C2" s="210"/>
      <c r="D2" s="208"/>
      <c r="E2" s="15"/>
      <c r="F2" s="207"/>
      <c r="G2" s="207"/>
      <c r="H2" s="207"/>
      <c r="I2" s="207"/>
      <c r="J2" s="207"/>
      <c r="K2" s="207"/>
      <c r="L2" s="207"/>
      <c r="M2" s="225"/>
      <c r="N2" s="226"/>
      <c r="P2" s="22" t="s">
        <v>69</v>
      </c>
      <c r="Q2" s="23"/>
      <c r="R2" s="23"/>
      <c r="S2" s="147"/>
      <c r="U2" s="22" t="s">
        <v>25</v>
      </c>
      <c r="V2" s="23"/>
      <c r="W2" s="23"/>
      <c r="X2" s="35">
        <f>AI60</f>
        <v>266400000.00000003</v>
      </c>
      <c r="Y2" s="37">
        <f>X2/(SUM(AH10:$AH$59)+SUM(AI10:$AI$59)-SUMIFS(AH10:$AH$59,$AI$10:$AI$59,"&lt;&gt;"))</f>
        <v>0.4762775800587169</v>
      </c>
      <c r="AA2" s="24" t="s">
        <v>70</v>
      </c>
      <c r="AB2" s="25"/>
      <c r="AC2" s="25"/>
      <c r="AD2" s="12" cm="1">
        <f t="array" ref="AD2">SUM(ISNUMBER($AO$10:AO59)*1)</f>
        <v>43</v>
      </c>
      <c r="AF2" s="22" t="s">
        <v>444</v>
      </c>
      <c r="AG2" s="23"/>
      <c r="AH2" s="13">
        <f>COUNTIFS($AB$10:AB59,"&lt;0")</f>
        <v>0</v>
      </c>
      <c r="AI2" s="13">
        <f>MIN(AB10:AB59)</f>
        <v>49</v>
      </c>
    </row>
    <row r="3" spans="1:60" s="11" customFormat="1" ht="15" customHeight="1" outlineLevel="1" x14ac:dyDescent="0.25">
      <c r="A3" s="212" t="s">
        <v>50</v>
      </c>
      <c r="B3" s="213"/>
      <c r="C3" s="216" t="s">
        <v>356</v>
      </c>
      <c r="D3" s="218" t="s">
        <v>73</v>
      </c>
      <c r="E3" s="122"/>
      <c r="F3" s="218" t="s">
        <v>504</v>
      </c>
      <c r="G3" s="218" t="s">
        <v>74</v>
      </c>
      <c r="H3" s="218" t="s">
        <v>74</v>
      </c>
      <c r="I3" s="218" t="s">
        <v>357</v>
      </c>
      <c r="J3" s="227">
        <v>180652</v>
      </c>
      <c r="K3" s="227">
        <v>105417</v>
      </c>
      <c r="L3" s="218">
        <v>46022</v>
      </c>
      <c r="M3" s="220">
        <v>46132</v>
      </c>
      <c r="N3" s="221"/>
      <c r="P3" s="22" t="s">
        <v>77</v>
      </c>
      <c r="Q3" s="23"/>
      <c r="R3" s="23"/>
      <c r="S3" s="148">
        <f>AF60</f>
        <v>0</v>
      </c>
      <c r="U3" s="22" t="s">
        <v>78</v>
      </c>
      <c r="V3" s="23"/>
      <c r="W3" s="23"/>
      <c r="X3" s="36">
        <f>S4-SUMIFS(AH10:$AH$59,$AI$10:$AI$59,"&lt;&gt;")</f>
        <v>292937687</v>
      </c>
      <c r="Y3" s="153">
        <f>X3/(X2+X3)</f>
        <v>0.52372241994128321</v>
      </c>
      <c r="AA3" s="22" t="s">
        <v>79</v>
      </c>
      <c r="AB3" s="23"/>
      <c r="AC3" s="23"/>
      <c r="AD3" s="13">
        <f>COUNTIFS($AV$10:AV59,Z8)</f>
        <v>0</v>
      </c>
      <c r="AF3" s="22" t="s">
        <v>447</v>
      </c>
      <c r="AG3" s="23"/>
      <c r="AH3" s="13">
        <f>COUNTIFS($AO$10:AO59,"&lt;0")</f>
        <v>5</v>
      </c>
      <c r="AI3" s="14">
        <f>MIN(AO10:AO59)</f>
        <v>-1</v>
      </c>
    </row>
    <row r="4" spans="1:60" s="11" customFormat="1" ht="15" outlineLevel="1" x14ac:dyDescent="0.25">
      <c r="A4" s="214"/>
      <c r="B4" s="215"/>
      <c r="C4" s="217"/>
      <c r="D4" s="219"/>
      <c r="E4" s="122"/>
      <c r="F4" s="219"/>
      <c r="G4" s="219"/>
      <c r="H4" s="219"/>
      <c r="I4" s="219"/>
      <c r="J4" s="228"/>
      <c r="K4" s="228"/>
      <c r="L4" s="219"/>
      <c r="M4" s="222"/>
      <c r="N4" s="223"/>
      <c r="P4" s="22" t="s">
        <v>23</v>
      </c>
      <c r="Q4" s="23"/>
      <c r="R4" s="23"/>
      <c r="S4" s="148">
        <f>AH60</f>
        <v>533566151</v>
      </c>
      <c r="U4" s="22" t="s">
        <v>80</v>
      </c>
      <c r="V4" s="23"/>
      <c r="W4" s="23"/>
      <c r="X4" s="36">
        <f>SUMIFS(AF10:$AF$59,$AI$10:$AI$59,"&lt;&gt;")-X2</f>
        <v>-266400000.00000003</v>
      </c>
      <c r="Y4" s="38" t="e">
        <f>X4/$S$2</f>
        <v>#DIV/0!</v>
      </c>
      <c r="AA4" s="22" t="s">
        <v>81</v>
      </c>
      <c r="AB4" s="23"/>
      <c r="AC4" s="23"/>
      <c r="AD4" s="13">
        <f>C6-L3</f>
        <v>90</v>
      </c>
      <c r="AF4" s="22" t="s">
        <v>448</v>
      </c>
      <c r="AG4" s="23"/>
      <c r="AH4" s="13">
        <f>COUNTIFS($AS$10:AS59,"&lt;0")</f>
        <v>5</v>
      </c>
      <c r="AI4" s="14">
        <f>MIN(AS10:AS59)</f>
        <v>-1</v>
      </c>
    </row>
    <row r="5" spans="1:60" s="11" customFormat="1" ht="15" outlineLevel="1" x14ac:dyDescent="0.25">
      <c r="U5" s="22" t="s">
        <v>82</v>
      </c>
      <c r="V5" s="23"/>
      <c r="W5" s="23"/>
      <c r="X5" s="36">
        <f>SUMIFS(AH10:$AH$59,$AI$10:$AI$59,"&lt;&gt;")-X2</f>
        <v>-25771536.00000003</v>
      </c>
      <c r="Y5" s="38" t="e">
        <f>X5/$S$2</f>
        <v>#DIV/0!</v>
      </c>
      <c r="Z5" s="160"/>
      <c r="AA5" s="160"/>
      <c r="AB5" s="160"/>
      <c r="AC5" s="160"/>
      <c r="AD5" s="160"/>
      <c r="AE5" s="160"/>
      <c r="AF5" s="160"/>
      <c r="AG5" s="160"/>
      <c r="AH5" s="160"/>
      <c r="AI5" s="160"/>
    </row>
    <row r="6" spans="1:60" ht="23.25" outlineLevel="1" x14ac:dyDescent="0.25">
      <c r="A6" s="127" t="s">
        <v>83</v>
      </c>
      <c r="B6" s="128"/>
      <c r="C6" s="129">
        <v>46112</v>
      </c>
      <c r="D6" s="19"/>
      <c r="E6" s="16"/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5"/>
      <c r="AB6" s="126"/>
      <c r="AC6" s="19"/>
      <c r="AD6" s="19"/>
      <c r="AE6" s="19"/>
      <c r="AF6" s="19"/>
      <c r="AG6" s="19"/>
      <c r="AH6" s="19"/>
      <c r="AI6" s="19"/>
      <c r="AJ6" s="19"/>
      <c r="AK6" s="19"/>
      <c r="AL6" s="16"/>
      <c r="AM6" s="168" t="s">
        <v>446</v>
      </c>
      <c r="AN6" s="16"/>
      <c r="AO6" s="16"/>
      <c r="AP6" s="16"/>
      <c r="AQ6" s="16"/>
      <c r="AR6" s="16"/>
      <c r="AS6" s="16"/>
      <c r="AT6" s="16"/>
      <c r="AU6" s="16"/>
      <c r="AV6" s="16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6"/>
    </row>
    <row r="7" spans="1:60" ht="18.75" customHeight="1" x14ac:dyDescent="0.25">
      <c r="A7" s="233" t="s">
        <v>84</v>
      </c>
      <c r="B7" s="236" t="s">
        <v>85</v>
      </c>
      <c r="C7" s="236" t="s">
        <v>86</v>
      </c>
      <c r="D7" s="238" t="s">
        <v>1</v>
      </c>
      <c r="F7" s="229">
        <v>15</v>
      </c>
      <c r="G7" s="230"/>
      <c r="H7" s="229">
        <v>7</v>
      </c>
      <c r="I7" s="230"/>
      <c r="J7" s="229">
        <v>6</v>
      </c>
      <c r="K7" s="230"/>
      <c r="L7" s="229">
        <v>3</v>
      </c>
      <c r="M7" s="230"/>
      <c r="N7" s="229">
        <v>30</v>
      </c>
      <c r="O7" s="230"/>
      <c r="P7" s="229">
        <v>10</v>
      </c>
      <c r="Q7" s="230"/>
      <c r="R7" s="229">
        <v>20</v>
      </c>
      <c r="S7" s="230"/>
      <c r="T7" s="229">
        <v>7</v>
      </c>
      <c r="U7" s="230"/>
      <c r="V7" s="229">
        <v>7</v>
      </c>
      <c r="W7" s="230"/>
      <c r="X7" s="229">
        <v>5</v>
      </c>
      <c r="Y7" s="230"/>
      <c r="Z7" s="229">
        <v>10</v>
      </c>
      <c r="AA7" s="230"/>
      <c r="AB7" s="243" t="s">
        <v>87</v>
      </c>
      <c r="AC7" s="16"/>
      <c r="AD7" s="244" t="s">
        <v>88</v>
      </c>
      <c r="AE7" s="16"/>
      <c r="AF7" s="241" t="s">
        <v>77</v>
      </c>
      <c r="AG7" s="257" t="s">
        <v>89</v>
      </c>
      <c r="AH7" s="257" t="s">
        <v>23</v>
      </c>
      <c r="AI7" s="257" t="s">
        <v>90</v>
      </c>
      <c r="AJ7" s="257" t="s">
        <v>91</v>
      </c>
      <c r="AK7" s="258" t="s">
        <v>92</v>
      </c>
      <c r="AL7" s="86"/>
      <c r="AM7" s="255" t="s">
        <v>93</v>
      </c>
      <c r="AN7" s="257" t="s">
        <v>94</v>
      </c>
      <c r="AO7" s="259" t="s">
        <v>95</v>
      </c>
      <c r="AP7" s="86"/>
      <c r="AQ7" s="261" t="s">
        <v>96</v>
      </c>
      <c r="AR7" s="252" t="s">
        <v>97</v>
      </c>
      <c r="AS7" s="259" t="s">
        <v>95</v>
      </c>
      <c r="AT7" s="86"/>
      <c r="AU7" s="255" t="s">
        <v>98</v>
      </c>
      <c r="AV7" s="252" t="s">
        <v>99</v>
      </c>
      <c r="AW7" s="246" t="s">
        <v>2</v>
      </c>
      <c r="AX7" s="246" t="s">
        <v>4</v>
      </c>
      <c r="AY7" s="246" t="s">
        <v>6</v>
      </c>
      <c r="AZ7" s="246" t="s">
        <v>100</v>
      </c>
      <c r="BA7" s="246" t="s">
        <v>10</v>
      </c>
      <c r="BB7" s="246" t="s">
        <v>12</v>
      </c>
      <c r="BC7" s="246" t="s">
        <v>14</v>
      </c>
      <c r="BD7" s="246" t="s">
        <v>15</v>
      </c>
      <c r="BE7" s="246" t="s">
        <v>16</v>
      </c>
      <c r="BF7" s="246" t="s">
        <v>17</v>
      </c>
      <c r="BG7" s="249" t="s">
        <v>101</v>
      </c>
      <c r="BH7" s="86"/>
    </row>
    <row r="8" spans="1:60" ht="26.25" x14ac:dyDescent="0.25">
      <c r="A8" s="234"/>
      <c r="B8" s="237"/>
      <c r="C8" s="237"/>
      <c r="D8" s="239"/>
      <c r="E8" s="16"/>
      <c r="F8" s="231" t="s">
        <v>2</v>
      </c>
      <c r="G8" s="232"/>
      <c r="H8" s="231" t="s">
        <v>4</v>
      </c>
      <c r="I8" s="232"/>
      <c r="J8" s="231" t="s">
        <v>6</v>
      </c>
      <c r="K8" s="232"/>
      <c r="L8" s="231" t="s">
        <v>8</v>
      </c>
      <c r="M8" s="232"/>
      <c r="N8" s="231" t="s">
        <v>10</v>
      </c>
      <c r="O8" s="232"/>
      <c r="P8" s="231" t="s">
        <v>12</v>
      </c>
      <c r="Q8" s="232"/>
      <c r="R8" s="231" t="s">
        <v>14</v>
      </c>
      <c r="S8" s="232"/>
      <c r="T8" s="231" t="s">
        <v>15</v>
      </c>
      <c r="U8" s="232"/>
      <c r="V8" s="231" t="s">
        <v>16</v>
      </c>
      <c r="W8" s="232"/>
      <c r="X8" s="231" t="s">
        <v>17</v>
      </c>
      <c r="Y8" s="232"/>
      <c r="Z8" s="231" t="s">
        <v>18</v>
      </c>
      <c r="AA8" s="232"/>
      <c r="AB8" s="243"/>
      <c r="AC8" s="16"/>
      <c r="AD8" s="245"/>
      <c r="AE8" s="16"/>
      <c r="AF8" s="242"/>
      <c r="AG8" s="237"/>
      <c r="AH8" s="237"/>
      <c r="AI8" s="237"/>
      <c r="AJ8" s="237"/>
      <c r="AK8" s="239"/>
      <c r="AL8" s="48"/>
      <c r="AM8" s="234"/>
      <c r="AN8" s="237"/>
      <c r="AO8" s="260"/>
      <c r="AP8" s="48"/>
      <c r="AQ8" s="262"/>
      <c r="AR8" s="253"/>
      <c r="AS8" s="260"/>
      <c r="AT8" s="48"/>
      <c r="AU8" s="234"/>
      <c r="AV8" s="253"/>
      <c r="AW8" s="247"/>
      <c r="AX8" s="247"/>
      <c r="AY8" s="247"/>
      <c r="AZ8" s="247"/>
      <c r="BA8" s="247"/>
      <c r="BB8" s="247"/>
      <c r="BC8" s="247"/>
      <c r="BD8" s="247"/>
      <c r="BE8" s="247"/>
      <c r="BF8" s="247"/>
      <c r="BG8" s="250"/>
      <c r="BH8" s="146"/>
    </row>
    <row r="9" spans="1:60" s="7" customFormat="1" ht="22.5" x14ac:dyDescent="0.25">
      <c r="A9" s="235"/>
      <c r="B9" s="237"/>
      <c r="C9" s="237"/>
      <c r="D9" s="240"/>
      <c r="E9" s="20"/>
      <c r="F9" s="65" t="s">
        <v>102</v>
      </c>
      <c r="G9" s="66" t="s">
        <v>103</v>
      </c>
      <c r="H9" s="65" t="s">
        <v>102</v>
      </c>
      <c r="I9" s="66" t="s">
        <v>103</v>
      </c>
      <c r="J9" s="65" t="s">
        <v>102</v>
      </c>
      <c r="K9" s="66" t="s">
        <v>103</v>
      </c>
      <c r="L9" s="65" t="s">
        <v>102</v>
      </c>
      <c r="M9" s="66" t="s">
        <v>103</v>
      </c>
      <c r="N9" s="65" t="s">
        <v>102</v>
      </c>
      <c r="O9" s="66" t="s">
        <v>103</v>
      </c>
      <c r="P9" s="65" t="s">
        <v>102</v>
      </c>
      <c r="Q9" s="66" t="s">
        <v>103</v>
      </c>
      <c r="R9" s="65" t="s">
        <v>102</v>
      </c>
      <c r="S9" s="66" t="s">
        <v>103</v>
      </c>
      <c r="T9" s="65" t="s">
        <v>102</v>
      </c>
      <c r="U9" s="66" t="s">
        <v>103</v>
      </c>
      <c r="V9" s="65" t="s">
        <v>102</v>
      </c>
      <c r="W9" s="66" t="s">
        <v>103</v>
      </c>
      <c r="X9" s="65" t="s">
        <v>102</v>
      </c>
      <c r="Y9" s="66" t="s">
        <v>103</v>
      </c>
      <c r="Z9" s="65" t="s">
        <v>102</v>
      </c>
      <c r="AA9" s="66" t="s">
        <v>103</v>
      </c>
      <c r="AB9" s="243"/>
      <c r="AC9" s="20"/>
      <c r="AD9" s="245"/>
      <c r="AE9" s="20"/>
      <c r="AF9" s="242"/>
      <c r="AG9" s="237"/>
      <c r="AH9" s="237"/>
      <c r="AI9" s="237"/>
      <c r="AJ9" s="237"/>
      <c r="AK9" s="239"/>
      <c r="AL9" s="87"/>
      <c r="AM9" s="234"/>
      <c r="AN9" s="237"/>
      <c r="AO9" s="260"/>
      <c r="AP9" s="87"/>
      <c r="AQ9" s="263"/>
      <c r="AR9" s="254"/>
      <c r="AS9" s="264"/>
      <c r="AT9" s="87"/>
      <c r="AU9" s="256"/>
      <c r="AV9" s="254"/>
      <c r="AW9" s="248"/>
      <c r="AX9" s="248"/>
      <c r="AY9" s="248"/>
      <c r="AZ9" s="248"/>
      <c r="BA9" s="248"/>
      <c r="BB9" s="248"/>
      <c r="BC9" s="248"/>
      <c r="BD9" s="248"/>
      <c r="BE9" s="248"/>
      <c r="BF9" s="248"/>
      <c r="BG9" s="251"/>
      <c r="BH9" s="87"/>
    </row>
    <row r="10" spans="1:60" ht="23.25" x14ac:dyDescent="0.25">
      <c r="A10" s="53"/>
      <c r="B10" s="49"/>
      <c r="C10" s="50" t="s">
        <v>104</v>
      </c>
      <c r="D10" s="61"/>
      <c r="E10" s="51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1"/>
      <c r="BF10" s="51"/>
      <c r="BG10" s="88"/>
      <c r="BH10" s="146"/>
    </row>
    <row r="11" spans="1:60" ht="26.25" x14ac:dyDescent="0.25">
      <c r="A11" s="56" cm="1">
        <f t="array" ref="A11">SUMPRODUCT(($AV$10:$AV$59&lt;&gt;"")*(ROW($AV$10:$AV$59)&lt;=ROW()))</f>
        <v>1</v>
      </c>
      <c r="B11" s="57"/>
      <c r="C11" s="58" t="s">
        <v>349</v>
      </c>
      <c r="D11" s="93" t="s">
        <v>5</v>
      </c>
      <c r="E11" s="16"/>
      <c r="F11" s="29">
        <f>H11-$H$7</f>
        <v>46156</v>
      </c>
      <c r="G11" s="42"/>
      <c r="H11" s="29">
        <f>J11-$J$7</f>
        <v>46163</v>
      </c>
      <c r="I11" s="42"/>
      <c r="J11" s="29">
        <f>L11-$L$7</f>
        <v>46169</v>
      </c>
      <c r="K11" s="42"/>
      <c r="L11" s="29">
        <f>N11-$N$7</f>
        <v>46172</v>
      </c>
      <c r="M11" s="42"/>
      <c r="N11" s="29">
        <f>P11-$P$7</f>
        <v>46202</v>
      </c>
      <c r="O11" s="42"/>
      <c r="P11" s="29">
        <f>R11-$R$7</f>
        <v>46212</v>
      </c>
      <c r="Q11" s="42"/>
      <c r="R11" s="29">
        <f>T11-$T$7</f>
        <v>46232</v>
      </c>
      <c r="S11" s="42"/>
      <c r="T11" s="29">
        <f>V11-$V$7</f>
        <v>46239</v>
      </c>
      <c r="U11" s="42"/>
      <c r="V11" s="29">
        <f>X11-$X$7</f>
        <v>46246</v>
      </c>
      <c r="W11" s="42"/>
      <c r="X11" s="29">
        <f>AN11</f>
        <v>46251</v>
      </c>
      <c r="Y11" s="42"/>
      <c r="Z11" s="30">
        <f>X11+$Z$7</f>
        <v>46261</v>
      </c>
      <c r="AA11" s="42"/>
      <c r="AB11" s="31">
        <f>IF(AV11="10. Issued to Contractor","-",IF(AV11="11. Subcontract Agreement signed","-",MAX(AN11,AR11)-$C$6))</f>
        <v>139</v>
      </c>
      <c r="AC11" s="16"/>
      <c r="AD11" s="131">
        <f>SUM($H$7:$Y$7)</f>
        <v>95</v>
      </c>
      <c r="AE11" s="16"/>
      <c r="AF11" s="95"/>
      <c r="AG11" s="67"/>
      <c r="AH11" s="67">
        <v>10026186</v>
      </c>
      <c r="AI11" s="67"/>
      <c r="AJ11" s="68" t="str">
        <f>IF(AI11&gt;0,SUM(AH11)-SUM(AI11),"")</f>
        <v/>
      </c>
      <c r="AK11" s="102"/>
      <c r="AL11" s="48"/>
      <c r="AM11" s="105">
        <v>120</v>
      </c>
      <c r="AN11" s="69">
        <f>$M$3+AM11-1</f>
        <v>46251</v>
      </c>
      <c r="AO11" s="107">
        <f>AN11-AU11</f>
        <v>44</v>
      </c>
      <c r="AP11" s="48"/>
      <c r="AQ11" s="111"/>
      <c r="AR11" s="70">
        <f>IFERROR(WORKDAY.INTL(AN11,AQ11,11),"")</f>
        <v>46251</v>
      </c>
      <c r="AS11" s="107">
        <f>AR11-AU11</f>
        <v>44</v>
      </c>
      <c r="AT11" s="48"/>
      <c r="AU11" s="113">
        <f>IF(Y11&gt;0,Y11,IFERROR(MAX(_xlfn.XLOOKUP($AV11,$H$8:$Z$8,$G11:$Y11),$C$6)+(AN11-_xlfn.XLOOKUP($AV11,$H$8:$Z$8,$F11:$X11))*AD11/SUM($H$7:$Y$7),$C$6+SUM(AD11)))</f>
        <v>46207</v>
      </c>
      <c r="AV11" s="119" t="str" cm="1">
        <f t="array" ref="AV11">IF(OR(G11&gt;$C$6,G11=""),$F$8,INDEX($E$8:$Z$8,MATCH(TRUE,(F11:AA11=""),0)))</f>
        <v>1. Tender Docs &amp; BOQ</v>
      </c>
      <c r="AW11" s="116" t="b">
        <f>IF(AND(G11&gt;0,G11&lt;$C$6),TRUE,FALSE)</f>
        <v>0</v>
      </c>
      <c r="AX11" s="71" t="b">
        <f>IF(AND(I11&gt;0,I11&lt;$C$6),TRUE,FALSE)</f>
        <v>0</v>
      </c>
      <c r="AY11" s="71" t="b">
        <f>IF(AND(K11&gt;0,K11&lt;$C$6),TRUE,FALSE)</f>
        <v>0</v>
      </c>
      <c r="AZ11" s="71" t="b">
        <f>IF(AND(M11&gt;0,M11&lt;$C$6),TRUE,FALSE)</f>
        <v>0</v>
      </c>
      <c r="BA11" s="71" t="b">
        <f>IF(AND(O11&gt;0,O11&lt;$C$6),TRUE,FALSE)</f>
        <v>0</v>
      </c>
      <c r="BB11" s="71" t="b">
        <f>IF(AND(Q11&gt;0,Q11&lt;$C$6),TRUE,FALSE)</f>
        <v>0</v>
      </c>
      <c r="BC11" s="71" t="b">
        <f>IF(AND(S11&gt;0,S11&lt;$C$6),TRUE,FALSE)</f>
        <v>0</v>
      </c>
      <c r="BD11" s="71" t="b">
        <f>IF(AND(U11&gt;0,U11&lt;$C$6),TRUE,FALSE)</f>
        <v>0</v>
      </c>
      <c r="BE11" s="71" t="b">
        <f>IF(AND(W11&gt;0,W11&lt;$C$6),TRUE,FALSE)</f>
        <v>0</v>
      </c>
      <c r="BF11" s="71" t="b">
        <f>IF(AND(Y11&gt;0,Y11&lt;$C$6),TRUE,FALSE)</f>
        <v>0</v>
      </c>
      <c r="BG11" s="89" t="b">
        <f>IF(AND(AA11&gt;0,AA11&lt;$C$6),TRUE,FALSE)</f>
        <v>0</v>
      </c>
      <c r="BH11" s="146"/>
    </row>
    <row r="12" spans="1:60" ht="26.25" x14ac:dyDescent="0.25">
      <c r="A12" s="56" cm="1">
        <f t="array" ref="A12">SUMPRODUCT(($AV$10:$AV$59&lt;&gt;"")*(ROW($AV$10:$AV$59)&lt;=ROW()))</f>
        <v>2</v>
      </c>
      <c r="B12" s="59"/>
      <c r="C12" s="60" t="s">
        <v>350</v>
      </c>
      <c r="D12" s="59" t="s">
        <v>5</v>
      </c>
      <c r="E12" s="43"/>
      <c r="F12" s="44">
        <f>H12-$H$7</f>
        <v>46156</v>
      </c>
      <c r="G12" s="45"/>
      <c r="H12" s="44">
        <f>J12-$J$7</f>
        <v>46163</v>
      </c>
      <c r="I12" s="45"/>
      <c r="J12" s="44">
        <f>L12-$L$7</f>
        <v>46169</v>
      </c>
      <c r="K12" s="45"/>
      <c r="L12" s="44">
        <f>N12-$N$7</f>
        <v>46172</v>
      </c>
      <c r="M12" s="45"/>
      <c r="N12" s="44">
        <f>P12-$P$7</f>
        <v>46202</v>
      </c>
      <c r="O12" s="45"/>
      <c r="P12" s="44">
        <f>R12-$R$7</f>
        <v>46212</v>
      </c>
      <c r="Q12" s="45"/>
      <c r="R12" s="44">
        <f>T12-$T$7</f>
        <v>46232</v>
      </c>
      <c r="S12" s="45"/>
      <c r="T12" s="44">
        <f>V12-$V$7</f>
        <v>46239</v>
      </c>
      <c r="U12" s="45"/>
      <c r="V12" s="44">
        <f>X12-$X$7</f>
        <v>46246</v>
      </c>
      <c r="W12" s="45"/>
      <c r="X12" s="44">
        <f t="shared" ref="X12" si="0">AN12</f>
        <v>46251</v>
      </c>
      <c r="Y12" s="45"/>
      <c r="Z12" s="46">
        <f>X12+$Z$7</f>
        <v>46261</v>
      </c>
      <c r="AA12" s="45"/>
      <c r="AB12" s="47">
        <f>IF(AV12="10. Issued to Contractor","-",IF(AV12="11. Subcontract Agreement signed","-",MAX(AN12,AR12)-$C$6))</f>
        <v>139</v>
      </c>
      <c r="AC12" s="16"/>
      <c r="AD12" s="131">
        <f t="shared" ref="AD12:AD14" si="1">SUM($H$7:$Y$7)</f>
        <v>95</v>
      </c>
      <c r="AE12" s="16"/>
      <c r="AF12" s="96"/>
      <c r="AG12" s="72"/>
      <c r="AH12" s="72">
        <v>6015712</v>
      </c>
      <c r="AI12" s="72"/>
      <c r="AJ12" s="73" t="str">
        <f>IF(AI12&gt;0,SUM(AH12)-SUM(AI12),"")</f>
        <v/>
      </c>
      <c r="AK12" s="101"/>
      <c r="AL12" s="48"/>
      <c r="AM12" s="104">
        <v>120</v>
      </c>
      <c r="AN12" s="74">
        <f>$M$3+AM12-1</f>
        <v>46251</v>
      </c>
      <c r="AO12" s="108">
        <f>AN12-AU12</f>
        <v>44</v>
      </c>
      <c r="AP12" s="48"/>
      <c r="AQ12" s="110"/>
      <c r="AR12" s="75">
        <f>IFERROR(WORKDAY.INTL(AN12,AQ12,11),"")</f>
        <v>46251</v>
      </c>
      <c r="AS12" s="108">
        <f>AR12-AU12</f>
        <v>44</v>
      </c>
      <c r="AT12" s="48"/>
      <c r="AU12" s="114">
        <f t="shared" ref="AU12" si="2">IF(Y12&gt;0,Y12,IFERROR(MAX(_xlfn.XLOOKUP($AV12,$H$8:$Z$8,$G12:$Y12),$C$6)+(AN12-_xlfn.XLOOKUP($AV12,$H$8:$Z$8,$F12:$X12))*AD12/SUM($H$7:$Y$7),$C$6+SUM(AD12)))</f>
        <v>46207</v>
      </c>
      <c r="AV12" s="120" t="str" cm="1">
        <f t="array" ref="AV12">IF(OR(G12&gt;$C$6,G12=""),$F$8,INDEX($E$8:$Z$8,MATCH(TRUE,(F12:AA12=""),0)))</f>
        <v>1. Tender Docs &amp; BOQ</v>
      </c>
      <c r="AW12" s="117" t="b">
        <f>IF(AND(G12&gt;0,G12&lt;$C$6),TRUE,FALSE)</f>
        <v>0</v>
      </c>
      <c r="AX12" s="76" t="b">
        <f>IF(AND(I12&gt;0,I12&lt;$C$6),TRUE,FALSE)</f>
        <v>0</v>
      </c>
      <c r="AY12" s="76" t="b">
        <f>IF(AND(K12&gt;0,K12&lt;$C$6),TRUE,FALSE)</f>
        <v>0</v>
      </c>
      <c r="AZ12" s="76" t="b">
        <f>IF(AND(M12&gt;0,M12&lt;$C$6),TRUE,FALSE)</f>
        <v>0</v>
      </c>
      <c r="BA12" s="76" t="b">
        <f>IF(AND(O12&gt;0,O12&lt;$C$6),TRUE,FALSE)</f>
        <v>0</v>
      </c>
      <c r="BB12" s="76" t="b">
        <f>IF(AND(Q12&gt;0,Q12&lt;$C$6),TRUE,FALSE)</f>
        <v>0</v>
      </c>
      <c r="BC12" s="76" t="b">
        <f>IF(AND(S12&gt;0,S12&lt;$C$6),TRUE,FALSE)</f>
        <v>0</v>
      </c>
      <c r="BD12" s="76" t="b">
        <f>IF(AND(U12&gt;0,U12&lt;$C$6),TRUE,FALSE)</f>
        <v>0</v>
      </c>
      <c r="BE12" s="76" t="b">
        <f>IF(AND(W12&gt;0,W12&lt;$C$6),TRUE,FALSE)</f>
        <v>0</v>
      </c>
      <c r="BF12" s="76" t="b">
        <f>IF(AND(Y12&gt;0,Y12&lt;$C$6),TRUE,FALSE)</f>
        <v>0</v>
      </c>
      <c r="BG12" s="90" t="b">
        <f>IF(AND(AA12&gt;0,AA12&lt;$C$6),TRUE,FALSE)</f>
        <v>0</v>
      </c>
      <c r="BH12" s="146"/>
    </row>
    <row r="13" spans="1:60" ht="23.25" x14ac:dyDescent="0.25">
      <c r="A13" s="55"/>
      <c r="B13" s="49"/>
      <c r="C13" s="50" t="s">
        <v>115</v>
      </c>
      <c r="D13" s="51"/>
      <c r="E13" s="51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1"/>
      <c r="AC13" s="51"/>
      <c r="AD13" s="132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51"/>
      <c r="AZ13" s="51"/>
      <c r="BA13" s="51"/>
      <c r="BB13" s="51"/>
      <c r="BC13" s="51"/>
      <c r="BD13" s="51"/>
      <c r="BE13" s="51"/>
      <c r="BF13" s="51"/>
      <c r="BG13" s="88"/>
      <c r="BH13" s="146"/>
    </row>
    <row r="14" spans="1:60" ht="26.25" x14ac:dyDescent="0.25">
      <c r="A14" s="56" cm="1">
        <f t="array" ref="A14">SUMPRODUCT(($AV$10:$AV$59&lt;&gt;"")*(ROW($AV$10:$AV$59)&lt;=ROW()))</f>
        <v>3</v>
      </c>
      <c r="B14" s="57"/>
      <c r="C14" s="58" t="s">
        <v>115</v>
      </c>
      <c r="D14" s="93" t="s">
        <v>107</v>
      </c>
      <c r="E14" s="16"/>
      <c r="F14" s="29">
        <f>H14-$H$7</f>
        <v>46051</v>
      </c>
      <c r="G14" s="42">
        <v>46049</v>
      </c>
      <c r="H14" s="29">
        <f>J14-$J$7</f>
        <v>46058</v>
      </c>
      <c r="I14" s="42">
        <v>46049</v>
      </c>
      <c r="J14" s="29">
        <f>L14-$L$7</f>
        <v>46064</v>
      </c>
      <c r="K14" s="42">
        <v>46049</v>
      </c>
      <c r="L14" s="29">
        <f>N14-$N$7</f>
        <v>46067</v>
      </c>
      <c r="M14" s="42">
        <v>46049</v>
      </c>
      <c r="N14" s="29">
        <f>P14-$P$7</f>
        <v>46097</v>
      </c>
      <c r="O14" s="42">
        <v>46049</v>
      </c>
      <c r="P14" s="29">
        <f>R14-$R$7</f>
        <v>46107</v>
      </c>
      <c r="Q14" s="42">
        <v>46049</v>
      </c>
      <c r="R14" s="29">
        <f>T14-$T$7</f>
        <v>46127</v>
      </c>
      <c r="S14" s="42">
        <v>46060</v>
      </c>
      <c r="T14" s="29">
        <f>V14-$V$7</f>
        <v>46134</v>
      </c>
      <c r="U14" s="42">
        <v>46078</v>
      </c>
      <c r="V14" s="29">
        <f>X14-$X$7</f>
        <v>46141</v>
      </c>
      <c r="W14" s="42">
        <v>46083</v>
      </c>
      <c r="X14" s="29">
        <f>AN14</f>
        <v>46146</v>
      </c>
      <c r="Y14" s="42"/>
      <c r="Z14" s="30">
        <f>X14+$Z$7</f>
        <v>46156</v>
      </c>
      <c r="AA14" s="42"/>
      <c r="AB14" s="31" t="str">
        <f>IF(AV14="10. Issued to Contractor","-",IF(AV14="11. Subcontract Agreement signed","-",MAX(AN14,AR14)-$C$6))</f>
        <v>-</v>
      </c>
      <c r="AC14" s="16"/>
      <c r="AD14" s="131">
        <f t="shared" si="1"/>
        <v>95</v>
      </c>
      <c r="AE14" s="16"/>
      <c r="AF14" s="95"/>
      <c r="AG14" s="67"/>
      <c r="AH14" s="67">
        <v>240628464</v>
      </c>
      <c r="AI14" s="67">
        <v>266400000.00000003</v>
      </c>
      <c r="AJ14" s="68">
        <f>IF(AI14&gt;0,SUM(AH14)-SUM(AI14),"")</f>
        <v>-25771536.00000003</v>
      </c>
      <c r="AK14" s="102" t="s">
        <v>195</v>
      </c>
      <c r="AL14" s="48"/>
      <c r="AM14" s="105">
        <v>15</v>
      </c>
      <c r="AN14" s="69">
        <f>$M$3+AM14-1</f>
        <v>46146</v>
      </c>
      <c r="AO14" s="107">
        <f>AN14-AU14</f>
        <v>29</v>
      </c>
      <c r="AP14" s="48"/>
      <c r="AQ14" s="111"/>
      <c r="AR14" s="70">
        <f>IFERROR(WORKDAY.INTL(AN14,AQ14,11),"")</f>
        <v>46146</v>
      </c>
      <c r="AS14" s="107">
        <f>AR14-AU14</f>
        <v>29</v>
      </c>
      <c r="AT14" s="48"/>
      <c r="AU14" s="113">
        <f>IF(Y14&gt;0,Y14,IFERROR(MAX(_xlfn.XLOOKUP($AV14,$H$8:$Z$8,$G14:$Y14),$C$6)+(AN14-_xlfn.XLOOKUP($AV14,$H$8:$Z$8,$F14:$X14))*AD14/SUM($H$7:$Y$7),$C$6+SUM(AD14)))</f>
        <v>46117</v>
      </c>
      <c r="AV14" s="119" t="str" cm="1">
        <f t="array" ref="AV14">IF(OR(G14&gt;$C$6,G14=""),$F$8,INDEX($E$8:$Z$8,MATCH(TRUE,(F14:AA14=""),0)))</f>
        <v>10. Issued to Contractor</v>
      </c>
      <c r="AW14" s="116" t="b">
        <f>IF(AND(G14&gt;0,G14&lt;$C$6),TRUE,FALSE)</f>
        <v>1</v>
      </c>
      <c r="AX14" s="71" t="b">
        <f>IF(AND(I14&gt;0,I14&lt;$C$6),TRUE,FALSE)</f>
        <v>1</v>
      </c>
      <c r="AY14" s="71" t="b">
        <f>IF(AND(K14&gt;0,K14&lt;$C$6),TRUE,FALSE)</f>
        <v>1</v>
      </c>
      <c r="AZ14" s="71" t="b">
        <f>IF(AND(M14&gt;0,M14&lt;$C$6),TRUE,FALSE)</f>
        <v>1</v>
      </c>
      <c r="BA14" s="71" t="b">
        <f>IF(AND(O14&gt;0,O14&lt;$C$6),TRUE,FALSE)</f>
        <v>1</v>
      </c>
      <c r="BB14" s="71" t="b">
        <f>IF(AND(Q14&gt;0,Q14&lt;$C$6),TRUE,FALSE)</f>
        <v>1</v>
      </c>
      <c r="BC14" s="71" t="b">
        <f>IF(AND(S14&gt;0,S14&lt;$C$6),TRUE,FALSE)</f>
        <v>1</v>
      </c>
      <c r="BD14" s="71" t="b">
        <f>IF(AND(U14&gt;0,U14&lt;$C$6),TRUE,FALSE)</f>
        <v>1</v>
      </c>
      <c r="BE14" s="71" t="b">
        <f>IF(AND(W14&gt;0,W14&lt;$C$6),TRUE,FALSE)</f>
        <v>1</v>
      </c>
      <c r="BF14" s="71" t="b">
        <f>IF(AND(Y14&gt;0,Y14&lt;$C$6),TRUE,FALSE)</f>
        <v>0</v>
      </c>
      <c r="BG14" s="89" t="b">
        <f>IF(AND(AA14&gt;0,AA14&lt;$C$6),TRUE,FALSE)</f>
        <v>0</v>
      </c>
      <c r="BH14" s="146"/>
    </row>
    <row r="15" spans="1:60" ht="23.25" x14ac:dyDescent="0.25">
      <c r="A15" s="53"/>
      <c r="B15" s="49"/>
      <c r="C15" s="50" t="s">
        <v>445</v>
      </c>
      <c r="D15" s="51"/>
      <c r="E15" s="51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1"/>
      <c r="AC15" s="51"/>
      <c r="AD15" s="132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51"/>
      <c r="BD15" s="51"/>
      <c r="BE15" s="51"/>
      <c r="BF15" s="51"/>
      <c r="BG15" s="88"/>
      <c r="BH15" s="146"/>
    </row>
    <row r="16" spans="1:60" ht="26.25" x14ac:dyDescent="0.25">
      <c r="A16" s="56" cm="1">
        <f t="array" ref="A16">SUMPRODUCT(($AV$10:$AV$59&lt;&gt;"")*(ROW($AV$10:$AV$59)&lt;=ROW()))</f>
        <v>4</v>
      </c>
      <c r="B16" s="57"/>
      <c r="C16" s="58" t="s">
        <v>358</v>
      </c>
      <c r="D16" s="93" t="s">
        <v>7</v>
      </c>
      <c r="E16" s="16"/>
      <c r="F16" s="29">
        <f t="shared" ref="F16:F21" si="3">H16-$H$7</f>
        <v>46111</v>
      </c>
      <c r="G16" s="42"/>
      <c r="H16" s="29">
        <f t="shared" ref="H16:H21" si="4">J16-$J$7</f>
        <v>46118</v>
      </c>
      <c r="I16" s="42"/>
      <c r="J16" s="29">
        <f t="shared" ref="J16:J21" si="5">L16-$L$7</f>
        <v>46124</v>
      </c>
      <c r="K16" s="42"/>
      <c r="L16" s="29">
        <f t="shared" ref="L16:L21" si="6">N16-$N$7</f>
        <v>46127</v>
      </c>
      <c r="M16" s="42"/>
      <c r="N16" s="29">
        <f t="shared" ref="N16:N21" si="7">P16-$P$7</f>
        <v>46157</v>
      </c>
      <c r="O16" s="42"/>
      <c r="P16" s="29">
        <f t="shared" ref="P16:P21" si="8">R16-$R$7</f>
        <v>46167</v>
      </c>
      <c r="Q16" s="42"/>
      <c r="R16" s="29">
        <f t="shared" ref="R16:R21" si="9">T16-$T$7</f>
        <v>46187</v>
      </c>
      <c r="S16" s="42"/>
      <c r="T16" s="29">
        <f t="shared" ref="T16:T21" si="10">V16-$V$7</f>
        <v>46194</v>
      </c>
      <c r="U16" s="42"/>
      <c r="V16" s="29">
        <f t="shared" ref="V16:V21" si="11">X16-$X$7</f>
        <v>46201</v>
      </c>
      <c r="W16" s="42"/>
      <c r="X16" s="29">
        <f t="shared" ref="X16:X20" si="12">AN16</f>
        <v>46206</v>
      </c>
      <c r="Y16" s="42"/>
      <c r="Z16" s="30">
        <f t="shared" ref="Z16:Z21" si="13">X16+$Z$7</f>
        <v>46216</v>
      </c>
      <c r="AA16" s="42"/>
      <c r="AB16" s="31">
        <f t="shared" ref="AB16:AB21" si="14">IF(AV16="10. Issued to Contractor","-",IF(AV16="11. Subcontract Agreement signed","-",MAX(AN16,AR16)-$C$6))</f>
        <v>94</v>
      </c>
      <c r="AC16" s="16"/>
      <c r="AD16" s="131">
        <f t="shared" ref="AD16:AD21" si="15">SUM($H$7:$Y$7)</f>
        <v>95</v>
      </c>
      <c r="AE16" s="16"/>
      <c r="AF16" s="95"/>
      <c r="AG16" s="67"/>
      <c r="AH16" s="67">
        <v>14036660</v>
      </c>
      <c r="AI16" s="67"/>
      <c r="AJ16" s="68" t="str">
        <f t="shared" ref="AJ16:AJ21" si="16">IF(AI16&gt;0,SUM(AH16)-SUM(AI16),"")</f>
        <v/>
      </c>
      <c r="AK16" s="102"/>
      <c r="AL16" s="48"/>
      <c r="AM16" s="105">
        <v>75</v>
      </c>
      <c r="AN16" s="69">
        <f t="shared" ref="AN16:AN21" si="17">$M$3+AM16-1</f>
        <v>46206</v>
      </c>
      <c r="AO16" s="107">
        <f t="shared" ref="AO16:AO21" si="18">AN16-AU16</f>
        <v>-1</v>
      </c>
      <c r="AP16" s="48"/>
      <c r="AQ16" s="111"/>
      <c r="AR16" s="70">
        <f t="shared" ref="AR16:AR21" si="19">IFERROR(WORKDAY.INTL(AN16,AQ16,11),"")</f>
        <v>46206</v>
      </c>
      <c r="AS16" s="107">
        <f t="shared" ref="AS16:AS21" si="20">AR16-AU16</f>
        <v>-1</v>
      </c>
      <c r="AT16" s="48"/>
      <c r="AU16" s="113">
        <f t="shared" ref="AU16:AU20" si="21">IF(Y16&gt;0,Y16,IFERROR(MAX(_xlfn.XLOOKUP($AV16,$H$8:$Z$8,$G16:$Y16),$C$6)+(AN16-_xlfn.XLOOKUP($AV16,$H$8:$Z$8,$F16:$X16))*AD16/SUM($H$7:$Y$7),$C$6+SUM(AD16)))</f>
        <v>46207</v>
      </c>
      <c r="AV16" s="119" t="str" cm="1">
        <f t="array" ref="AV16">IF(OR(G16&gt;$C$6,G16=""),$F$8,INDEX($E$8:$Z$8,MATCH(TRUE,(F16:AA16=""),0)))</f>
        <v>1. Tender Docs &amp; BOQ</v>
      </c>
      <c r="AW16" s="116" t="b">
        <f t="shared" ref="AW16:AW21" si="22">IF(AND(G16&gt;0,G16&lt;$C$6),TRUE,FALSE)</f>
        <v>0</v>
      </c>
      <c r="AX16" s="71" t="b">
        <f t="shared" ref="AX16:AX21" si="23">IF(AND(I16&gt;0,I16&lt;$C$6),TRUE,FALSE)</f>
        <v>0</v>
      </c>
      <c r="AY16" s="71" t="b">
        <f t="shared" ref="AY16:AY21" si="24">IF(AND(K16&gt;0,K16&lt;$C$6),TRUE,FALSE)</f>
        <v>0</v>
      </c>
      <c r="AZ16" s="71" t="b">
        <f t="shared" ref="AZ16:AZ21" si="25">IF(AND(M16&gt;0,M16&lt;$C$6),TRUE,FALSE)</f>
        <v>0</v>
      </c>
      <c r="BA16" s="71" t="b">
        <f t="shared" ref="BA16:BA21" si="26">IF(AND(O16&gt;0,O16&lt;$C$6),TRUE,FALSE)</f>
        <v>0</v>
      </c>
      <c r="BB16" s="71" t="b">
        <f t="shared" ref="BB16:BB21" si="27">IF(AND(Q16&gt;0,Q16&lt;$C$6),TRUE,FALSE)</f>
        <v>0</v>
      </c>
      <c r="BC16" s="71" t="b">
        <f t="shared" ref="BC16:BC21" si="28">IF(AND(S16&gt;0,S16&lt;$C$6),TRUE,FALSE)</f>
        <v>0</v>
      </c>
      <c r="BD16" s="71" t="b">
        <f t="shared" ref="BD16:BD21" si="29">IF(AND(U16&gt;0,U16&lt;$C$6),TRUE,FALSE)</f>
        <v>0</v>
      </c>
      <c r="BE16" s="71" t="b">
        <f t="shared" ref="BE16:BE21" si="30">IF(AND(W16&gt;0,W16&lt;$C$6),TRUE,FALSE)</f>
        <v>0</v>
      </c>
      <c r="BF16" s="71" t="b">
        <f t="shared" ref="BF16:BF21" si="31">IF(AND(Y16&gt;0,Y16&lt;$C$6),TRUE,FALSE)</f>
        <v>0</v>
      </c>
      <c r="BG16" s="89" t="b">
        <f t="shared" ref="BG16:BG21" si="32">IF(AND(AA16&gt;0,AA16&lt;$C$6),TRUE,FALSE)</f>
        <v>0</v>
      </c>
      <c r="BH16" s="146"/>
    </row>
    <row r="17" spans="1:60" ht="26.25" x14ac:dyDescent="0.25">
      <c r="A17" s="56" cm="1">
        <f t="array" ref="A17">SUMPRODUCT(($AV$10:$AV$59&lt;&gt;"")*(ROW($AV$10:$AV$59)&lt;=ROW()))</f>
        <v>5</v>
      </c>
      <c r="B17" s="59"/>
      <c r="C17" s="60" t="s">
        <v>283</v>
      </c>
      <c r="D17" s="59" t="s">
        <v>7</v>
      </c>
      <c r="E17" s="43"/>
      <c r="F17" s="44">
        <f t="shared" si="3"/>
        <v>46111</v>
      </c>
      <c r="G17" s="45"/>
      <c r="H17" s="44">
        <f t="shared" si="4"/>
        <v>46118</v>
      </c>
      <c r="I17" s="45"/>
      <c r="J17" s="44">
        <f t="shared" si="5"/>
        <v>46124</v>
      </c>
      <c r="K17" s="45"/>
      <c r="L17" s="44">
        <f t="shared" si="6"/>
        <v>46127</v>
      </c>
      <c r="M17" s="45"/>
      <c r="N17" s="44">
        <f t="shared" si="7"/>
        <v>46157</v>
      </c>
      <c r="O17" s="45"/>
      <c r="P17" s="44">
        <f t="shared" si="8"/>
        <v>46167</v>
      </c>
      <c r="Q17" s="45"/>
      <c r="R17" s="44">
        <f t="shared" si="9"/>
        <v>46187</v>
      </c>
      <c r="S17" s="45"/>
      <c r="T17" s="44">
        <f t="shared" si="10"/>
        <v>46194</v>
      </c>
      <c r="U17" s="45"/>
      <c r="V17" s="44">
        <f t="shared" si="11"/>
        <v>46201</v>
      </c>
      <c r="W17" s="45"/>
      <c r="X17" s="44">
        <f t="shared" si="12"/>
        <v>46206</v>
      </c>
      <c r="Y17" s="45"/>
      <c r="Z17" s="46">
        <f t="shared" si="13"/>
        <v>46216</v>
      </c>
      <c r="AA17" s="45"/>
      <c r="AB17" s="32">
        <f t="shared" si="14"/>
        <v>94</v>
      </c>
      <c r="AC17" s="16"/>
      <c r="AD17" s="131">
        <f t="shared" si="15"/>
        <v>95</v>
      </c>
      <c r="AE17" s="16"/>
      <c r="AF17" s="96"/>
      <c r="AG17" s="72"/>
      <c r="AH17" s="72" t="s">
        <v>134</v>
      </c>
      <c r="AI17" s="72"/>
      <c r="AJ17" s="73" t="str">
        <f t="shared" si="16"/>
        <v/>
      </c>
      <c r="AK17" s="101"/>
      <c r="AL17" s="48"/>
      <c r="AM17" s="104">
        <v>75</v>
      </c>
      <c r="AN17" s="74">
        <f t="shared" si="17"/>
        <v>46206</v>
      </c>
      <c r="AO17" s="108">
        <f t="shared" si="18"/>
        <v>-1</v>
      </c>
      <c r="AP17" s="48"/>
      <c r="AQ17" s="110"/>
      <c r="AR17" s="75">
        <f t="shared" si="19"/>
        <v>46206</v>
      </c>
      <c r="AS17" s="108">
        <f t="shared" si="20"/>
        <v>-1</v>
      </c>
      <c r="AT17" s="48"/>
      <c r="AU17" s="114">
        <f t="shared" si="21"/>
        <v>46207</v>
      </c>
      <c r="AV17" s="120" t="str" cm="1">
        <f t="array" ref="AV17">IF(OR(G17&gt;$C$6,G17=""),$F$8,INDEX($E$8:$Z$8,MATCH(TRUE,(F17:AA17=""),0)))</f>
        <v>1. Tender Docs &amp; BOQ</v>
      </c>
      <c r="AW17" s="117" t="b">
        <f t="shared" si="22"/>
        <v>0</v>
      </c>
      <c r="AX17" s="76" t="b">
        <f t="shared" si="23"/>
        <v>0</v>
      </c>
      <c r="AY17" s="76" t="b">
        <f t="shared" si="24"/>
        <v>0</v>
      </c>
      <c r="AZ17" s="76" t="b">
        <f t="shared" si="25"/>
        <v>0</v>
      </c>
      <c r="BA17" s="76" t="b">
        <f t="shared" si="26"/>
        <v>0</v>
      </c>
      <c r="BB17" s="76" t="b">
        <f t="shared" si="27"/>
        <v>0</v>
      </c>
      <c r="BC17" s="76" t="b">
        <f t="shared" si="28"/>
        <v>0</v>
      </c>
      <c r="BD17" s="76" t="b">
        <f t="shared" si="29"/>
        <v>0</v>
      </c>
      <c r="BE17" s="76" t="b">
        <f t="shared" si="30"/>
        <v>0</v>
      </c>
      <c r="BF17" s="76" t="b">
        <f t="shared" si="31"/>
        <v>0</v>
      </c>
      <c r="BG17" s="90" t="b">
        <f t="shared" si="32"/>
        <v>0</v>
      </c>
      <c r="BH17" s="146"/>
    </row>
    <row r="18" spans="1:60" ht="26.25" x14ac:dyDescent="0.25">
      <c r="A18" s="56" cm="1">
        <f t="array" ref="A18">SUMPRODUCT(($AV$10:$AV$59&lt;&gt;"")*(ROW($AV$10:$AV$59)&lt;=ROW()))</f>
        <v>6</v>
      </c>
      <c r="B18" s="57"/>
      <c r="C18" s="58" t="s">
        <v>359</v>
      </c>
      <c r="D18" s="93" t="s">
        <v>7</v>
      </c>
      <c r="E18" s="16"/>
      <c r="F18" s="29">
        <f t="shared" si="3"/>
        <v>46111</v>
      </c>
      <c r="G18" s="42"/>
      <c r="H18" s="29">
        <f t="shared" si="4"/>
        <v>46118</v>
      </c>
      <c r="I18" s="42"/>
      <c r="J18" s="29">
        <f t="shared" si="5"/>
        <v>46124</v>
      </c>
      <c r="K18" s="42"/>
      <c r="L18" s="29">
        <f t="shared" si="6"/>
        <v>46127</v>
      </c>
      <c r="M18" s="42"/>
      <c r="N18" s="29">
        <f t="shared" si="7"/>
        <v>46157</v>
      </c>
      <c r="O18" s="42"/>
      <c r="P18" s="29">
        <f t="shared" si="8"/>
        <v>46167</v>
      </c>
      <c r="Q18" s="42"/>
      <c r="R18" s="29">
        <f t="shared" si="9"/>
        <v>46187</v>
      </c>
      <c r="S18" s="42"/>
      <c r="T18" s="29">
        <f t="shared" si="10"/>
        <v>46194</v>
      </c>
      <c r="U18" s="42"/>
      <c r="V18" s="29">
        <f t="shared" si="11"/>
        <v>46201</v>
      </c>
      <c r="W18" s="42"/>
      <c r="X18" s="29">
        <f t="shared" si="12"/>
        <v>46206</v>
      </c>
      <c r="Y18" s="42"/>
      <c r="Z18" s="30">
        <f t="shared" si="13"/>
        <v>46216</v>
      </c>
      <c r="AA18" s="42"/>
      <c r="AB18" s="31">
        <f t="shared" si="14"/>
        <v>94</v>
      </c>
      <c r="AC18" s="16"/>
      <c r="AD18" s="131">
        <f t="shared" si="15"/>
        <v>95</v>
      </c>
      <c r="AE18" s="16"/>
      <c r="AF18" s="95"/>
      <c r="AG18" s="67"/>
      <c r="AH18" s="67" t="s">
        <v>134</v>
      </c>
      <c r="AI18" s="67"/>
      <c r="AJ18" s="68" t="str">
        <f t="shared" si="16"/>
        <v/>
      </c>
      <c r="AK18" s="102"/>
      <c r="AL18" s="48"/>
      <c r="AM18" s="105">
        <v>75</v>
      </c>
      <c r="AN18" s="69">
        <f t="shared" si="17"/>
        <v>46206</v>
      </c>
      <c r="AO18" s="107">
        <f t="shared" si="18"/>
        <v>-1</v>
      </c>
      <c r="AP18" s="48"/>
      <c r="AQ18" s="111"/>
      <c r="AR18" s="70">
        <f t="shared" si="19"/>
        <v>46206</v>
      </c>
      <c r="AS18" s="107">
        <f t="shared" si="20"/>
        <v>-1</v>
      </c>
      <c r="AT18" s="48"/>
      <c r="AU18" s="113">
        <f t="shared" si="21"/>
        <v>46207</v>
      </c>
      <c r="AV18" s="119" t="str" cm="1">
        <f t="array" ref="AV18">IF(OR(G18&gt;$C$6,G18=""),$F$8,INDEX($E$8:$Z$8,MATCH(TRUE,(F18:AA18=""),0)))</f>
        <v>1. Tender Docs &amp; BOQ</v>
      </c>
      <c r="AW18" s="116" t="b">
        <f t="shared" si="22"/>
        <v>0</v>
      </c>
      <c r="AX18" s="71" t="b">
        <f t="shared" si="23"/>
        <v>0</v>
      </c>
      <c r="AY18" s="71" t="b">
        <f t="shared" si="24"/>
        <v>0</v>
      </c>
      <c r="AZ18" s="71" t="b">
        <f t="shared" si="25"/>
        <v>0</v>
      </c>
      <c r="BA18" s="71" t="b">
        <f t="shared" si="26"/>
        <v>0</v>
      </c>
      <c r="BB18" s="71" t="b">
        <f t="shared" si="27"/>
        <v>0</v>
      </c>
      <c r="BC18" s="71" t="b">
        <f t="shared" si="28"/>
        <v>0</v>
      </c>
      <c r="BD18" s="71" t="b">
        <f t="shared" si="29"/>
        <v>0</v>
      </c>
      <c r="BE18" s="71" t="b">
        <f t="shared" si="30"/>
        <v>0</v>
      </c>
      <c r="BF18" s="71" t="b">
        <f t="shared" si="31"/>
        <v>0</v>
      </c>
      <c r="BG18" s="89" t="b">
        <f t="shared" si="32"/>
        <v>0</v>
      </c>
      <c r="BH18" s="146"/>
    </row>
    <row r="19" spans="1:60" ht="30" x14ac:dyDescent="0.25">
      <c r="A19" s="56" cm="1">
        <f t="array" ref="A19">SUMPRODUCT(($AV$10:$AV$59&lt;&gt;"")*(ROW($AV$10:$AV$59)&lt;=ROW()))</f>
        <v>7</v>
      </c>
      <c r="B19" s="59"/>
      <c r="C19" s="60" t="s">
        <v>360</v>
      </c>
      <c r="D19" s="59" t="s">
        <v>7</v>
      </c>
      <c r="E19" s="43"/>
      <c r="F19" s="44">
        <f t="shared" si="3"/>
        <v>46111</v>
      </c>
      <c r="G19" s="45"/>
      <c r="H19" s="44">
        <f t="shared" si="4"/>
        <v>46118</v>
      </c>
      <c r="I19" s="45"/>
      <c r="J19" s="44">
        <f t="shared" si="5"/>
        <v>46124</v>
      </c>
      <c r="K19" s="45"/>
      <c r="L19" s="44">
        <f t="shared" si="6"/>
        <v>46127</v>
      </c>
      <c r="M19" s="45"/>
      <c r="N19" s="44">
        <f t="shared" si="7"/>
        <v>46157</v>
      </c>
      <c r="O19" s="45"/>
      <c r="P19" s="44">
        <f t="shared" si="8"/>
        <v>46167</v>
      </c>
      <c r="Q19" s="45"/>
      <c r="R19" s="44">
        <f t="shared" si="9"/>
        <v>46187</v>
      </c>
      <c r="S19" s="45"/>
      <c r="T19" s="44">
        <f t="shared" si="10"/>
        <v>46194</v>
      </c>
      <c r="U19" s="45"/>
      <c r="V19" s="44">
        <f t="shared" si="11"/>
        <v>46201</v>
      </c>
      <c r="W19" s="45"/>
      <c r="X19" s="44">
        <f t="shared" si="12"/>
        <v>46206</v>
      </c>
      <c r="Y19" s="45"/>
      <c r="Z19" s="46">
        <f t="shared" si="13"/>
        <v>46216</v>
      </c>
      <c r="AA19" s="45"/>
      <c r="AB19" s="32">
        <f t="shared" si="14"/>
        <v>94</v>
      </c>
      <c r="AC19" s="16"/>
      <c r="AD19" s="131">
        <f t="shared" si="15"/>
        <v>95</v>
      </c>
      <c r="AE19" s="16"/>
      <c r="AF19" s="96"/>
      <c r="AG19" s="72"/>
      <c r="AH19" s="72">
        <v>12833518</v>
      </c>
      <c r="AI19" s="72"/>
      <c r="AJ19" s="73" t="str">
        <f t="shared" si="16"/>
        <v/>
      </c>
      <c r="AK19" s="101"/>
      <c r="AL19" s="48"/>
      <c r="AM19" s="104">
        <v>75</v>
      </c>
      <c r="AN19" s="74">
        <f t="shared" si="17"/>
        <v>46206</v>
      </c>
      <c r="AO19" s="108">
        <f t="shared" si="18"/>
        <v>-1</v>
      </c>
      <c r="AP19" s="48"/>
      <c r="AQ19" s="110"/>
      <c r="AR19" s="75">
        <f t="shared" si="19"/>
        <v>46206</v>
      </c>
      <c r="AS19" s="108">
        <f t="shared" si="20"/>
        <v>-1</v>
      </c>
      <c r="AT19" s="48"/>
      <c r="AU19" s="114">
        <f t="shared" si="21"/>
        <v>46207</v>
      </c>
      <c r="AV19" s="120" t="str" cm="1">
        <f t="array" ref="AV19">IF(OR(G19&gt;$C$6,G19=""),$F$8,INDEX($E$8:$Z$8,MATCH(TRUE,(F19:AA19=""),0)))</f>
        <v>1. Tender Docs &amp; BOQ</v>
      </c>
      <c r="AW19" s="117" t="b">
        <f t="shared" si="22"/>
        <v>0</v>
      </c>
      <c r="AX19" s="76" t="b">
        <f t="shared" si="23"/>
        <v>0</v>
      </c>
      <c r="AY19" s="76" t="b">
        <f t="shared" si="24"/>
        <v>0</v>
      </c>
      <c r="AZ19" s="76" t="b">
        <f t="shared" si="25"/>
        <v>0</v>
      </c>
      <c r="BA19" s="76" t="b">
        <f t="shared" si="26"/>
        <v>0</v>
      </c>
      <c r="BB19" s="76" t="b">
        <f t="shared" si="27"/>
        <v>0</v>
      </c>
      <c r="BC19" s="76" t="b">
        <f t="shared" si="28"/>
        <v>0</v>
      </c>
      <c r="BD19" s="76" t="b">
        <f t="shared" si="29"/>
        <v>0</v>
      </c>
      <c r="BE19" s="76" t="b">
        <f t="shared" si="30"/>
        <v>0</v>
      </c>
      <c r="BF19" s="76" t="b">
        <f t="shared" si="31"/>
        <v>0</v>
      </c>
      <c r="BG19" s="90" t="b">
        <f t="shared" si="32"/>
        <v>0</v>
      </c>
      <c r="BH19" s="146"/>
    </row>
    <row r="20" spans="1:60" ht="26.25" x14ac:dyDescent="0.25">
      <c r="A20" s="56" cm="1">
        <f t="array" ref="A20">SUMPRODUCT(($AV$10:$AV$59&lt;&gt;"")*(ROW($AV$10:$AV$59)&lt;=ROW()))</f>
        <v>8</v>
      </c>
      <c r="B20" s="57"/>
      <c r="C20" s="58" t="s">
        <v>361</v>
      </c>
      <c r="D20" s="93" t="s">
        <v>7</v>
      </c>
      <c r="E20" s="16"/>
      <c r="F20" s="29">
        <f t="shared" si="3"/>
        <v>46111</v>
      </c>
      <c r="G20" s="42"/>
      <c r="H20" s="29">
        <f t="shared" si="4"/>
        <v>46118</v>
      </c>
      <c r="I20" s="42"/>
      <c r="J20" s="29">
        <f t="shared" si="5"/>
        <v>46124</v>
      </c>
      <c r="K20" s="42"/>
      <c r="L20" s="29">
        <f t="shared" si="6"/>
        <v>46127</v>
      </c>
      <c r="M20" s="42"/>
      <c r="N20" s="29">
        <f t="shared" si="7"/>
        <v>46157</v>
      </c>
      <c r="O20" s="42"/>
      <c r="P20" s="29">
        <f t="shared" si="8"/>
        <v>46167</v>
      </c>
      <c r="Q20" s="42"/>
      <c r="R20" s="29">
        <f t="shared" si="9"/>
        <v>46187</v>
      </c>
      <c r="S20" s="42"/>
      <c r="T20" s="29">
        <f t="shared" si="10"/>
        <v>46194</v>
      </c>
      <c r="U20" s="42"/>
      <c r="V20" s="29">
        <f t="shared" si="11"/>
        <v>46201</v>
      </c>
      <c r="W20" s="42"/>
      <c r="X20" s="29">
        <f t="shared" si="12"/>
        <v>46206</v>
      </c>
      <c r="Y20" s="42"/>
      <c r="Z20" s="30">
        <f t="shared" si="13"/>
        <v>46216</v>
      </c>
      <c r="AA20" s="42"/>
      <c r="AB20" s="31">
        <f t="shared" si="14"/>
        <v>94</v>
      </c>
      <c r="AC20" s="16"/>
      <c r="AD20" s="131">
        <f t="shared" si="15"/>
        <v>95</v>
      </c>
      <c r="AE20" s="16"/>
      <c r="AF20" s="95"/>
      <c r="AG20" s="67"/>
      <c r="AH20" s="67">
        <v>72188539</v>
      </c>
      <c r="AI20" s="67"/>
      <c r="AJ20" s="68" t="str">
        <f t="shared" si="16"/>
        <v/>
      </c>
      <c r="AK20" s="102"/>
      <c r="AL20" s="48"/>
      <c r="AM20" s="105">
        <v>75</v>
      </c>
      <c r="AN20" s="69">
        <f t="shared" si="17"/>
        <v>46206</v>
      </c>
      <c r="AO20" s="107">
        <f t="shared" si="18"/>
        <v>-1</v>
      </c>
      <c r="AP20" s="48"/>
      <c r="AQ20" s="111"/>
      <c r="AR20" s="70">
        <f t="shared" si="19"/>
        <v>46206</v>
      </c>
      <c r="AS20" s="107">
        <f t="shared" si="20"/>
        <v>-1</v>
      </c>
      <c r="AT20" s="48"/>
      <c r="AU20" s="113">
        <f t="shared" si="21"/>
        <v>46207</v>
      </c>
      <c r="AV20" s="119" t="str" cm="1">
        <f t="array" ref="AV20">IF(OR(G20&gt;$C$6,G20=""),$F$8,INDEX($E$8:$Z$8,MATCH(TRUE,(F20:AA20=""),0)))</f>
        <v>1. Tender Docs &amp; BOQ</v>
      </c>
      <c r="AW20" s="116" t="b">
        <f t="shared" si="22"/>
        <v>0</v>
      </c>
      <c r="AX20" s="71" t="b">
        <f t="shared" si="23"/>
        <v>0</v>
      </c>
      <c r="AY20" s="71" t="b">
        <f t="shared" si="24"/>
        <v>0</v>
      </c>
      <c r="AZ20" s="71" t="b">
        <f t="shared" si="25"/>
        <v>0</v>
      </c>
      <c r="BA20" s="71" t="b">
        <f t="shared" si="26"/>
        <v>0</v>
      </c>
      <c r="BB20" s="71" t="b">
        <f t="shared" si="27"/>
        <v>0</v>
      </c>
      <c r="BC20" s="71" t="b">
        <f t="shared" si="28"/>
        <v>0</v>
      </c>
      <c r="BD20" s="71" t="b">
        <f t="shared" si="29"/>
        <v>0</v>
      </c>
      <c r="BE20" s="71" t="b">
        <f t="shared" si="30"/>
        <v>0</v>
      </c>
      <c r="BF20" s="71" t="b">
        <f t="shared" si="31"/>
        <v>0</v>
      </c>
      <c r="BG20" s="89" t="b">
        <f t="shared" si="32"/>
        <v>0</v>
      </c>
      <c r="BH20" s="146"/>
    </row>
    <row r="21" spans="1:60" ht="26.25" x14ac:dyDescent="0.25">
      <c r="A21" s="56" cm="1">
        <f t="array" ref="A21">SUMPRODUCT(($AV$10:$AV$59&lt;&gt;"")*(ROW($AV$10:$AV$59)&lt;=ROW()))</f>
        <v>9</v>
      </c>
      <c r="B21" s="59"/>
      <c r="C21" s="60" t="s">
        <v>174</v>
      </c>
      <c r="D21" s="59" t="s">
        <v>7</v>
      </c>
      <c r="E21" s="43"/>
      <c r="F21" s="44">
        <f t="shared" si="3"/>
        <v>46136</v>
      </c>
      <c r="G21" s="45"/>
      <c r="H21" s="44">
        <f t="shared" si="4"/>
        <v>46143</v>
      </c>
      <c r="I21" s="45"/>
      <c r="J21" s="44">
        <f t="shared" si="5"/>
        <v>46149</v>
      </c>
      <c r="K21" s="45"/>
      <c r="L21" s="44">
        <f t="shared" si="6"/>
        <v>46152</v>
      </c>
      <c r="M21" s="45"/>
      <c r="N21" s="44">
        <f t="shared" si="7"/>
        <v>46182</v>
      </c>
      <c r="O21" s="45"/>
      <c r="P21" s="44">
        <f t="shared" si="8"/>
        <v>46192</v>
      </c>
      <c r="Q21" s="45"/>
      <c r="R21" s="44">
        <f t="shared" si="9"/>
        <v>46212</v>
      </c>
      <c r="S21" s="45"/>
      <c r="T21" s="44">
        <f t="shared" si="10"/>
        <v>46219</v>
      </c>
      <c r="U21" s="45"/>
      <c r="V21" s="44">
        <f t="shared" si="11"/>
        <v>46226</v>
      </c>
      <c r="W21" s="45"/>
      <c r="X21" s="44">
        <f t="shared" ref="X21" si="33">AN21</f>
        <v>46231</v>
      </c>
      <c r="Y21" s="45"/>
      <c r="Z21" s="46">
        <f t="shared" si="13"/>
        <v>46241</v>
      </c>
      <c r="AA21" s="45"/>
      <c r="AB21" s="32">
        <f t="shared" si="14"/>
        <v>119</v>
      </c>
      <c r="AC21" s="16"/>
      <c r="AD21" s="131">
        <f t="shared" si="15"/>
        <v>95</v>
      </c>
      <c r="AE21" s="16"/>
      <c r="AF21" s="96"/>
      <c r="AG21" s="72"/>
      <c r="AH21" s="72">
        <v>2005237</v>
      </c>
      <c r="AI21" s="72"/>
      <c r="AJ21" s="73" t="str">
        <f t="shared" si="16"/>
        <v/>
      </c>
      <c r="AK21" s="101"/>
      <c r="AL21" s="48"/>
      <c r="AM21" s="104">
        <v>100</v>
      </c>
      <c r="AN21" s="74">
        <f t="shared" si="17"/>
        <v>46231</v>
      </c>
      <c r="AO21" s="108">
        <f t="shared" si="18"/>
        <v>24</v>
      </c>
      <c r="AP21" s="48"/>
      <c r="AQ21" s="110"/>
      <c r="AR21" s="75">
        <f t="shared" si="19"/>
        <v>46231</v>
      </c>
      <c r="AS21" s="108">
        <f t="shared" si="20"/>
        <v>24</v>
      </c>
      <c r="AT21" s="48"/>
      <c r="AU21" s="114">
        <f t="shared" ref="AU21" si="34">IF(Y21&gt;0,Y21,IFERROR(MAX(_xlfn.XLOOKUP($AV21,$H$8:$Z$8,$G21:$Y21),$C$6)+(AN21-_xlfn.XLOOKUP($AV21,$H$8:$Z$8,$F21:$X21))*AD21/SUM($H$7:$Y$7),$C$6+SUM(AD21)))</f>
        <v>46207</v>
      </c>
      <c r="AV21" s="120" t="str" cm="1">
        <f t="array" ref="AV21">IF(OR(G21&gt;$C$6,G21=""),$F$8,INDEX($E$8:$Z$8,MATCH(TRUE,(F21:AA21=""),0)))</f>
        <v>1. Tender Docs &amp; BOQ</v>
      </c>
      <c r="AW21" s="117" t="b">
        <f t="shared" si="22"/>
        <v>0</v>
      </c>
      <c r="AX21" s="76" t="b">
        <f t="shared" si="23"/>
        <v>0</v>
      </c>
      <c r="AY21" s="76" t="b">
        <f t="shared" si="24"/>
        <v>0</v>
      </c>
      <c r="AZ21" s="76" t="b">
        <f t="shared" si="25"/>
        <v>0</v>
      </c>
      <c r="BA21" s="76" t="b">
        <f t="shared" si="26"/>
        <v>0</v>
      </c>
      <c r="BB21" s="76" t="b">
        <f t="shared" si="27"/>
        <v>0</v>
      </c>
      <c r="BC21" s="76" t="b">
        <f t="shared" si="28"/>
        <v>0</v>
      </c>
      <c r="BD21" s="76" t="b">
        <f t="shared" si="29"/>
        <v>0</v>
      </c>
      <c r="BE21" s="76" t="b">
        <f t="shared" si="30"/>
        <v>0</v>
      </c>
      <c r="BF21" s="76" t="b">
        <f t="shared" si="31"/>
        <v>0</v>
      </c>
      <c r="BG21" s="90" t="b">
        <f t="shared" si="32"/>
        <v>0</v>
      </c>
      <c r="BH21" s="146"/>
    </row>
    <row r="22" spans="1:60" ht="23.25" x14ac:dyDescent="0.25">
      <c r="A22" s="54"/>
      <c r="B22" s="49"/>
      <c r="C22" s="50" t="s">
        <v>128</v>
      </c>
      <c r="D22" s="51"/>
      <c r="E22" s="51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1"/>
      <c r="AC22" s="51"/>
      <c r="AD22" s="132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1"/>
      <c r="BE22" s="51"/>
      <c r="BF22" s="51"/>
      <c r="BG22" s="88"/>
      <c r="BH22" s="146"/>
    </row>
    <row r="23" spans="1:60" ht="26.25" x14ac:dyDescent="0.25">
      <c r="A23" s="56" cm="1">
        <f t="array" ref="A23">SUMPRODUCT(($AV$10:$AV$59&lt;&gt;"")*(ROW($AV$10:$AV$59)&lt;=ROW()))</f>
        <v>10</v>
      </c>
      <c r="B23" s="59"/>
      <c r="C23" s="60" t="s">
        <v>276</v>
      </c>
      <c r="D23" s="59" t="s">
        <v>3</v>
      </c>
      <c r="E23" s="43"/>
      <c r="F23" s="44">
        <f>H23-$H$7</f>
        <v>46136</v>
      </c>
      <c r="G23" s="45"/>
      <c r="H23" s="44">
        <f>J23-$J$7</f>
        <v>46143</v>
      </c>
      <c r="I23" s="45"/>
      <c r="J23" s="44">
        <f>L23-$L$7</f>
        <v>46149</v>
      </c>
      <c r="K23" s="45"/>
      <c r="L23" s="44">
        <f>N23-$N$7</f>
        <v>46152</v>
      </c>
      <c r="M23" s="45"/>
      <c r="N23" s="44">
        <f>P23-$P$7</f>
        <v>46182</v>
      </c>
      <c r="O23" s="45"/>
      <c r="P23" s="44">
        <f>R23-$R$7</f>
        <v>46192</v>
      </c>
      <c r="Q23" s="45"/>
      <c r="R23" s="44">
        <f>T23-$T$7</f>
        <v>46212</v>
      </c>
      <c r="S23" s="45"/>
      <c r="T23" s="44">
        <f>V23-$V$7</f>
        <v>46219</v>
      </c>
      <c r="U23" s="45"/>
      <c r="V23" s="44">
        <f>X23-$X$7</f>
        <v>46226</v>
      </c>
      <c r="W23" s="45"/>
      <c r="X23" s="44">
        <f t="shared" ref="X23:X25" si="35">AN23</f>
        <v>46231</v>
      </c>
      <c r="Y23" s="45"/>
      <c r="Z23" s="46">
        <f>X23+$Z$7</f>
        <v>46241</v>
      </c>
      <c r="AA23" s="45"/>
      <c r="AB23" s="32">
        <f>IF(AV23="10. Issued to Contractor","-",IF(AV23="11. Subcontract Agreement signed","-",MAX(AN23,AR23)-$C$6))</f>
        <v>119</v>
      </c>
      <c r="AC23" s="16"/>
      <c r="AD23" s="131">
        <f t="shared" ref="AD23:AD25" si="36">SUM($H$7:$Y$7)</f>
        <v>95</v>
      </c>
      <c r="AE23" s="16"/>
      <c r="AF23" s="96"/>
      <c r="AG23" s="72"/>
      <c r="AH23" s="72">
        <v>14036660</v>
      </c>
      <c r="AI23" s="72"/>
      <c r="AJ23" s="73" t="str">
        <f>IF(AI23&gt;0,SUM(AH23)-SUM(AI23),"")</f>
        <v/>
      </c>
      <c r="AK23" s="101"/>
      <c r="AL23" s="48"/>
      <c r="AM23" s="104">
        <v>100</v>
      </c>
      <c r="AN23" s="74">
        <f>$M$3+AM23-1</f>
        <v>46231</v>
      </c>
      <c r="AO23" s="108">
        <f>AN23-AU23</f>
        <v>24</v>
      </c>
      <c r="AP23" s="48"/>
      <c r="AQ23" s="110"/>
      <c r="AR23" s="75">
        <f>IFERROR(WORKDAY.INTL(AN23,AQ23,11),"")</f>
        <v>46231</v>
      </c>
      <c r="AS23" s="108">
        <f>AR23-AU23</f>
        <v>24</v>
      </c>
      <c r="AT23" s="48"/>
      <c r="AU23" s="114">
        <f t="shared" ref="AU23:AU25" si="37">IF(Y23&gt;0,Y23,IFERROR(MAX(_xlfn.XLOOKUP($AV23,$H$8:$Z$8,$G23:$Y23),$C$6)+(AN23-_xlfn.XLOOKUP($AV23,$H$8:$Z$8,$F23:$X23))*AD23/SUM($H$7:$Y$7),$C$6+SUM(AD23)))</f>
        <v>46207</v>
      </c>
      <c r="AV23" s="120" t="str" cm="1">
        <f t="array" ref="AV23">IF(OR(G23&gt;$C$6,G23=""),$F$8,INDEX($E$8:$Z$8,MATCH(TRUE,(F23:AA23=""),0)))</f>
        <v>1. Tender Docs &amp; BOQ</v>
      </c>
      <c r="AW23" s="117" t="b">
        <f>IF(AND(G23&gt;0,G23&lt;$C$6),TRUE,FALSE)</f>
        <v>0</v>
      </c>
      <c r="AX23" s="76" t="b">
        <f>IF(AND(I23&gt;0,I23&lt;$C$6),TRUE,FALSE)</f>
        <v>0</v>
      </c>
      <c r="AY23" s="76" t="b">
        <f>IF(AND(K23&gt;0,K23&lt;$C$6),TRUE,FALSE)</f>
        <v>0</v>
      </c>
      <c r="AZ23" s="76" t="b">
        <f>IF(AND(M23&gt;0,M23&lt;$C$6),TRUE,FALSE)</f>
        <v>0</v>
      </c>
      <c r="BA23" s="76" t="b">
        <f>IF(AND(O23&gt;0,O23&lt;$C$6),TRUE,FALSE)</f>
        <v>0</v>
      </c>
      <c r="BB23" s="76" t="b">
        <f>IF(AND(Q23&gt;0,Q23&lt;$C$6),TRUE,FALSE)</f>
        <v>0</v>
      </c>
      <c r="BC23" s="76" t="b">
        <f>IF(AND(S23&gt;0,S23&lt;$C$6),TRUE,FALSE)</f>
        <v>0</v>
      </c>
      <c r="BD23" s="76" t="b">
        <f>IF(AND(U23&gt;0,U23&lt;$C$6),TRUE,FALSE)</f>
        <v>0</v>
      </c>
      <c r="BE23" s="76" t="b">
        <f>IF(AND(W23&gt;0,W23&lt;$C$6),TRUE,FALSE)</f>
        <v>0</v>
      </c>
      <c r="BF23" s="76" t="b">
        <f>IF(AND(Y23&gt;0,Y23&lt;$C$6),TRUE,FALSE)</f>
        <v>0</v>
      </c>
      <c r="BG23" s="90" t="b">
        <f>IF(AND(AA23&gt;0,AA23&lt;$C$6),TRUE,FALSE)</f>
        <v>0</v>
      </c>
      <c r="BH23" s="146"/>
    </row>
    <row r="24" spans="1:60" ht="26.25" x14ac:dyDescent="0.25">
      <c r="A24" s="56" cm="1">
        <f t="array" ref="A24">SUMPRODUCT(($AV$10:$AV$59&lt;&gt;"")*(ROW($AV$10:$AV$59)&lt;=ROW()))</f>
        <v>11</v>
      </c>
      <c r="B24" s="57"/>
      <c r="C24" s="58" t="s">
        <v>232</v>
      </c>
      <c r="D24" s="93" t="s">
        <v>3</v>
      </c>
      <c r="E24" s="16"/>
      <c r="F24" s="29">
        <f>H24-$H$7</f>
        <v>46136</v>
      </c>
      <c r="G24" s="42"/>
      <c r="H24" s="29">
        <f>J24-$J$7</f>
        <v>46143</v>
      </c>
      <c r="I24" s="42"/>
      <c r="J24" s="29">
        <f>L24-$L$7</f>
        <v>46149</v>
      </c>
      <c r="K24" s="42"/>
      <c r="L24" s="29">
        <f>N24-$N$7</f>
        <v>46152</v>
      </c>
      <c r="M24" s="42"/>
      <c r="N24" s="29">
        <f>P24-$P$7</f>
        <v>46182</v>
      </c>
      <c r="O24" s="42"/>
      <c r="P24" s="29">
        <f>R24-$R$7</f>
        <v>46192</v>
      </c>
      <c r="Q24" s="42"/>
      <c r="R24" s="29">
        <f>T24-$T$7</f>
        <v>46212</v>
      </c>
      <c r="S24" s="42"/>
      <c r="T24" s="29">
        <f>V24-$V$7</f>
        <v>46219</v>
      </c>
      <c r="U24" s="42"/>
      <c r="V24" s="29">
        <f>X24-$X$7</f>
        <v>46226</v>
      </c>
      <c r="W24" s="42"/>
      <c r="X24" s="29">
        <f t="shared" si="35"/>
        <v>46231</v>
      </c>
      <c r="Y24" s="42"/>
      <c r="Z24" s="30">
        <f>X24+$Z$7</f>
        <v>46241</v>
      </c>
      <c r="AA24" s="42"/>
      <c r="AB24" s="31">
        <f>IF(AV24="10. Issued to Contractor","-",IF(AV24="11. Subcontract Agreement signed","-",MAX(AN24,AR24)-$C$6))</f>
        <v>119</v>
      </c>
      <c r="AC24" s="16"/>
      <c r="AD24" s="131">
        <f t="shared" si="36"/>
        <v>95</v>
      </c>
      <c r="AE24" s="16"/>
      <c r="AF24" s="95"/>
      <c r="AG24" s="67"/>
      <c r="AH24" s="67">
        <v>2807332</v>
      </c>
      <c r="AI24" s="67"/>
      <c r="AJ24" s="68" t="str">
        <f>IF(AI24&gt;0,SUM(AH24)-SUM(AI24),"")</f>
        <v/>
      </c>
      <c r="AK24" s="102"/>
      <c r="AL24" s="48"/>
      <c r="AM24" s="105">
        <v>100</v>
      </c>
      <c r="AN24" s="69">
        <f>$M$3+AM24-1</f>
        <v>46231</v>
      </c>
      <c r="AO24" s="107">
        <f t="shared" ref="AO24" si="38">AN24-AU24</f>
        <v>24</v>
      </c>
      <c r="AP24" s="48"/>
      <c r="AQ24" s="111"/>
      <c r="AR24" s="70">
        <f t="shared" ref="AR24" si="39">IFERROR(WORKDAY.INTL(AN24,AQ24,11),"")</f>
        <v>46231</v>
      </c>
      <c r="AS24" s="107">
        <f t="shared" ref="AS24" si="40">AR24-AU24</f>
        <v>24</v>
      </c>
      <c r="AT24" s="48"/>
      <c r="AU24" s="113">
        <f t="shared" si="37"/>
        <v>46207</v>
      </c>
      <c r="AV24" s="119" t="str" cm="1">
        <f t="array" ref="AV24">IF(OR(G24&gt;$C$6,G24=""),$F$8,INDEX($E$8:$Z$8,MATCH(TRUE,(F24:AA24=""),0)))</f>
        <v>1. Tender Docs &amp; BOQ</v>
      </c>
      <c r="AW24" s="116" t="b">
        <f>IF(AND(G24&gt;0,G24&lt;$C$6),TRUE,FALSE)</f>
        <v>0</v>
      </c>
      <c r="AX24" s="71" t="b">
        <f>IF(AND(I24&gt;0,I24&lt;$C$6),TRUE,FALSE)</f>
        <v>0</v>
      </c>
      <c r="AY24" s="71" t="b">
        <f>IF(AND(K24&gt;0,K24&lt;$C$6),TRUE,FALSE)</f>
        <v>0</v>
      </c>
      <c r="AZ24" s="71" t="b">
        <f>IF(AND(M24&gt;0,M24&lt;$C$6),TRUE,FALSE)</f>
        <v>0</v>
      </c>
      <c r="BA24" s="71" t="b">
        <f>IF(AND(O24&gt;0,O24&lt;$C$6),TRUE,FALSE)</f>
        <v>0</v>
      </c>
      <c r="BB24" s="71" t="b">
        <f>IF(AND(Q24&gt;0,Q24&lt;$C$6),TRUE,FALSE)</f>
        <v>0</v>
      </c>
      <c r="BC24" s="71" t="b">
        <f>IF(AND(S24&gt;0,S24&lt;$C$6),TRUE,FALSE)</f>
        <v>0</v>
      </c>
      <c r="BD24" s="71" t="b">
        <f>IF(AND(U24&gt;0,U24&lt;$C$6),TRUE,FALSE)</f>
        <v>0</v>
      </c>
      <c r="BE24" s="71" t="b">
        <f>IF(AND(W24&gt;0,W24&lt;$C$6),TRUE,FALSE)</f>
        <v>0</v>
      </c>
      <c r="BF24" s="71" t="b">
        <f>IF(AND(Y24&gt;0,Y24&lt;$C$6),TRUE,FALSE)</f>
        <v>0</v>
      </c>
      <c r="BG24" s="89" t="b">
        <f>IF(AND(AA24&gt;0,AA24&lt;$C$6),TRUE,FALSE)</f>
        <v>0</v>
      </c>
      <c r="BH24" s="146"/>
    </row>
    <row r="25" spans="1:60" ht="26.25" x14ac:dyDescent="0.25">
      <c r="A25" s="56" cm="1">
        <f t="array" ref="A25">SUMPRODUCT(($AV$10:$AV$59&lt;&gt;"")*(ROW($AV$10:$AV$59)&lt;=ROW()))</f>
        <v>12</v>
      </c>
      <c r="B25" s="59"/>
      <c r="C25" s="60" t="s">
        <v>351</v>
      </c>
      <c r="D25" s="59" t="s">
        <v>3</v>
      </c>
      <c r="E25" s="43"/>
      <c r="F25" s="44">
        <f>H25-$H$7</f>
        <v>46136</v>
      </c>
      <c r="G25" s="45"/>
      <c r="H25" s="44">
        <f>J25-$J$7</f>
        <v>46143</v>
      </c>
      <c r="I25" s="45"/>
      <c r="J25" s="44">
        <f>L25-$L$7</f>
        <v>46149</v>
      </c>
      <c r="K25" s="45"/>
      <c r="L25" s="44">
        <f>N25-$N$7</f>
        <v>46152</v>
      </c>
      <c r="M25" s="45"/>
      <c r="N25" s="44">
        <f>P25-$P$7</f>
        <v>46182</v>
      </c>
      <c r="O25" s="45"/>
      <c r="P25" s="44">
        <f>R25-$R$7</f>
        <v>46192</v>
      </c>
      <c r="Q25" s="45"/>
      <c r="R25" s="44">
        <f>T25-$T$7</f>
        <v>46212</v>
      </c>
      <c r="S25" s="45"/>
      <c r="T25" s="44">
        <f>V25-$V$7</f>
        <v>46219</v>
      </c>
      <c r="U25" s="45"/>
      <c r="V25" s="44">
        <f>X25-$X$7</f>
        <v>46226</v>
      </c>
      <c r="W25" s="45"/>
      <c r="X25" s="44">
        <f t="shared" si="35"/>
        <v>46231</v>
      </c>
      <c r="Y25" s="45"/>
      <c r="Z25" s="46">
        <f>X25+$Z$7</f>
        <v>46241</v>
      </c>
      <c r="AA25" s="45"/>
      <c r="AB25" s="32">
        <f>IF(AV25="10. Issued to Contractor","-",IF(AV25="11. Subcontract Agreement signed","-",MAX(AN25,AR25)-$C$6))</f>
        <v>119</v>
      </c>
      <c r="AC25" s="16"/>
      <c r="AD25" s="131">
        <f t="shared" si="36"/>
        <v>95</v>
      </c>
      <c r="AE25" s="16"/>
      <c r="AF25" s="96"/>
      <c r="AG25" s="72"/>
      <c r="AH25" s="72">
        <v>40104744</v>
      </c>
      <c r="AI25" s="72"/>
      <c r="AJ25" s="73" t="str">
        <f>IF(AI25&gt;0,SUM(AH25)-SUM(AI25),"")</f>
        <v/>
      </c>
      <c r="AK25" s="101"/>
      <c r="AL25" s="48"/>
      <c r="AM25" s="104">
        <v>100</v>
      </c>
      <c r="AN25" s="74">
        <f>$M$3+AM25-1</f>
        <v>46231</v>
      </c>
      <c r="AO25" s="108">
        <f>AN25-AU25</f>
        <v>24</v>
      </c>
      <c r="AP25" s="48"/>
      <c r="AQ25" s="110"/>
      <c r="AR25" s="75">
        <f>IFERROR(WORKDAY.INTL(AN25,AQ25,11),"")</f>
        <v>46231</v>
      </c>
      <c r="AS25" s="108">
        <f>AR25-AU25</f>
        <v>24</v>
      </c>
      <c r="AT25" s="48"/>
      <c r="AU25" s="114">
        <f t="shared" si="37"/>
        <v>46207</v>
      </c>
      <c r="AV25" s="120" t="str" cm="1">
        <f t="array" ref="AV25">IF(OR(G25&gt;$C$6,G25=""),$F$8,INDEX($E$8:$Z$8,MATCH(TRUE,(F25:AA25=""),0)))</f>
        <v>1. Tender Docs &amp; BOQ</v>
      </c>
      <c r="AW25" s="117" t="b">
        <f>IF(AND(G25&gt;0,G25&lt;$C$6),TRUE,FALSE)</f>
        <v>0</v>
      </c>
      <c r="AX25" s="76" t="b">
        <f>IF(AND(I25&gt;0,I25&lt;$C$6),TRUE,FALSE)</f>
        <v>0</v>
      </c>
      <c r="AY25" s="76" t="b">
        <f>IF(AND(K25&gt;0,K25&lt;$C$6),TRUE,FALSE)</f>
        <v>0</v>
      </c>
      <c r="AZ25" s="76" t="b">
        <f>IF(AND(M25&gt;0,M25&lt;$C$6),TRUE,FALSE)</f>
        <v>0</v>
      </c>
      <c r="BA25" s="76" t="b">
        <f>IF(AND(O25&gt;0,O25&lt;$C$6),TRUE,FALSE)</f>
        <v>0</v>
      </c>
      <c r="BB25" s="76" t="b">
        <f>IF(AND(Q25&gt;0,Q25&lt;$C$6),TRUE,FALSE)</f>
        <v>0</v>
      </c>
      <c r="BC25" s="76" t="b">
        <f>IF(AND(S25&gt;0,S25&lt;$C$6),TRUE,FALSE)</f>
        <v>0</v>
      </c>
      <c r="BD25" s="76" t="b">
        <f>IF(AND(U25&gt;0,U25&lt;$C$6),TRUE,FALSE)</f>
        <v>0</v>
      </c>
      <c r="BE25" s="76" t="b">
        <f>IF(AND(W25&gt;0,W25&lt;$C$6),TRUE,FALSE)</f>
        <v>0</v>
      </c>
      <c r="BF25" s="76" t="b">
        <f>IF(AND(Y25&gt;0,Y25&lt;$C$6),TRUE,FALSE)</f>
        <v>0</v>
      </c>
      <c r="BG25" s="90" t="b">
        <f>IF(AND(AA25&gt;0,AA25&lt;$C$6),TRUE,FALSE)</f>
        <v>0</v>
      </c>
      <c r="BH25" s="146"/>
    </row>
    <row r="26" spans="1:60" ht="23.25" x14ac:dyDescent="0.25">
      <c r="A26" s="54"/>
      <c r="B26" s="49"/>
      <c r="C26" s="50" t="s">
        <v>137</v>
      </c>
      <c r="D26" s="51"/>
      <c r="E26" s="51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1"/>
      <c r="AC26" s="51"/>
      <c r="AD26" s="132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1"/>
      <c r="BE26" s="51"/>
      <c r="BF26" s="51"/>
      <c r="BG26" s="88"/>
      <c r="BH26" s="146"/>
    </row>
    <row r="27" spans="1:60" ht="26.25" x14ac:dyDescent="0.25">
      <c r="A27" s="56" cm="1">
        <f t="array" ref="A27">SUMPRODUCT(($AV$10:$AV$59&lt;&gt;"")*(ROW($AV$10:$AV$59)&lt;=ROW()))</f>
        <v>13</v>
      </c>
      <c r="B27" s="59"/>
      <c r="C27" s="60" t="s">
        <v>362</v>
      </c>
      <c r="D27" s="59" t="s">
        <v>11</v>
      </c>
      <c r="E27" s="43"/>
      <c r="F27" s="44">
        <f t="shared" ref="F27:F35" si="41">H27-$H$7</f>
        <v>46116</v>
      </c>
      <c r="G27" s="45"/>
      <c r="H27" s="44">
        <f t="shared" ref="H27:H35" si="42">J27-$J$7</f>
        <v>46123</v>
      </c>
      <c r="I27" s="45"/>
      <c r="J27" s="44">
        <f t="shared" ref="J27:J35" si="43">L27-$L$7</f>
        <v>46129</v>
      </c>
      <c r="K27" s="45"/>
      <c r="L27" s="44">
        <f t="shared" ref="L27:L35" si="44">N27-$N$7</f>
        <v>46132</v>
      </c>
      <c r="M27" s="45"/>
      <c r="N27" s="44">
        <f t="shared" ref="N27:N35" si="45">P27-$P$7</f>
        <v>46162</v>
      </c>
      <c r="O27" s="45"/>
      <c r="P27" s="44">
        <f t="shared" ref="P27:P35" si="46">R27-$R$7</f>
        <v>46172</v>
      </c>
      <c r="Q27" s="45"/>
      <c r="R27" s="44">
        <f t="shared" ref="R27:R35" si="47">T27-$T$7</f>
        <v>46192</v>
      </c>
      <c r="S27" s="45"/>
      <c r="T27" s="44">
        <f t="shared" ref="T27:T35" si="48">V27-$V$7</f>
        <v>46199</v>
      </c>
      <c r="U27" s="45"/>
      <c r="V27" s="44">
        <f t="shared" ref="V27:V35" si="49">X27-$X$7</f>
        <v>46206</v>
      </c>
      <c r="W27" s="45"/>
      <c r="X27" s="44">
        <f t="shared" ref="X27:X35" si="50">AN27</f>
        <v>46211</v>
      </c>
      <c r="Y27" s="45"/>
      <c r="Z27" s="46">
        <f t="shared" ref="Z27:Z35" si="51">X27+$Z$7</f>
        <v>46221</v>
      </c>
      <c r="AA27" s="45"/>
      <c r="AB27" s="32">
        <f t="shared" ref="AB27:AB35" si="52">IF(AV27="10. Issued to Contractor","-",IF(AV27="11. Subcontract Agreement signed","-",MAX(AN27,AR27)-$C$6))</f>
        <v>99</v>
      </c>
      <c r="AC27" s="16"/>
      <c r="AD27" s="131">
        <f t="shared" ref="AD27:AD47" si="53">SUM($H$7:$Y$7)</f>
        <v>95</v>
      </c>
      <c r="AE27" s="16"/>
      <c r="AF27" s="96"/>
      <c r="AG27" s="72"/>
      <c r="AH27" s="72">
        <v>42511029</v>
      </c>
      <c r="AI27" s="72"/>
      <c r="AJ27" s="73" t="str">
        <f t="shared" ref="AJ27:AJ35" si="54">IF(AI27&gt;0,SUM(AH27)-SUM(AI27),"")</f>
        <v/>
      </c>
      <c r="AK27" s="101"/>
      <c r="AL27" s="48"/>
      <c r="AM27" s="104">
        <v>80</v>
      </c>
      <c r="AN27" s="74">
        <f t="shared" ref="AN27:AN35" si="55">$M$3+AM27-1</f>
        <v>46211</v>
      </c>
      <c r="AO27" s="108">
        <f t="shared" ref="AO27:AO35" si="56">AN27-AU27</f>
        <v>4</v>
      </c>
      <c r="AP27" s="48"/>
      <c r="AQ27" s="110"/>
      <c r="AR27" s="75">
        <f t="shared" ref="AR27:AR35" si="57">IFERROR(WORKDAY.INTL(AN27,AQ27,11),"")</f>
        <v>46211</v>
      </c>
      <c r="AS27" s="108">
        <f t="shared" ref="AS27:AS35" si="58">AR27-AU27</f>
        <v>4</v>
      </c>
      <c r="AT27" s="48"/>
      <c r="AU27" s="114">
        <f t="shared" ref="AU27:AU35" si="59">IF(Y27&gt;0,Y27,IFERROR(MAX(_xlfn.XLOOKUP($AV27,$H$8:$Z$8,$G27:$Y27),$C$6)+(AN27-_xlfn.XLOOKUP($AV27,$H$8:$Z$8,$F27:$X27))*AD27/SUM($H$7:$Y$7),$C$6+SUM(AD27)))</f>
        <v>46207</v>
      </c>
      <c r="AV27" s="120" t="str" cm="1">
        <f t="array" ref="AV27">IF(OR(G27&gt;$C$6,G27=""),$F$8,INDEX($E$8:$Z$8,MATCH(TRUE,(F27:AA27=""),0)))</f>
        <v>1. Tender Docs &amp; BOQ</v>
      </c>
      <c r="AW27" s="117" t="b">
        <f t="shared" ref="AW27:AW35" si="60">IF(AND(G27&gt;0,G27&lt;$C$6),TRUE,FALSE)</f>
        <v>0</v>
      </c>
      <c r="AX27" s="76" t="b">
        <f t="shared" ref="AX27:AX35" si="61">IF(AND(I27&gt;0,I27&lt;$C$6),TRUE,FALSE)</f>
        <v>0</v>
      </c>
      <c r="AY27" s="76" t="b">
        <f t="shared" ref="AY27:AY35" si="62">IF(AND(K27&gt;0,K27&lt;$C$6),TRUE,FALSE)</f>
        <v>0</v>
      </c>
      <c r="AZ27" s="76" t="b">
        <f t="shared" ref="AZ27:AZ35" si="63">IF(AND(M27&gt;0,M27&lt;$C$6),TRUE,FALSE)</f>
        <v>0</v>
      </c>
      <c r="BA27" s="76" t="b">
        <f t="shared" ref="BA27:BA35" si="64">IF(AND(O27&gt;0,O27&lt;$C$6),TRUE,FALSE)</f>
        <v>0</v>
      </c>
      <c r="BB27" s="76" t="b">
        <f t="shared" ref="BB27:BB35" si="65">IF(AND(Q27&gt;0,Q27&lt;$C$6),TRUE,FALSE)</f>
        <v>0</v>
      </c>
      <c r="BC27" s="76" t="b">
        <f t="shared" ref="BC27:BC35" si="66">IF(AND(S27&gt;0,S27&lt;$C$6),TRUE,FALSE)</f>
        <v>0</v>
      </c>
      <c r="BD27" s="76" t="b">
        <f t="shared" ref="BD27:BD35" si="67">IF(AND(U27&gt;0,U27&lt;$C$6),TRUE,FALSE)</f>
        <v>0</v>
      </c>
      <c r="BE27" s="76" t="b">
        <f t="shared" ref="BE27:BE35" si="68">IF(AND(W27&gt;0,W27&lt;$C$6),TRUE,FALSE)</f>
        <v>0</v>
      </c>
      <c r="BF27" s="76" t="b">
        <f t="shared" ref="BF27:BF35" si="69">IF(AND(Y27&gt;0,Y27&lt;$C$6),TRUE,FALSE)</f>
        <v>0</v>
      </c>
      <c r="BG27" s="90" t="b">
        <f t="shared" ref="BG27:BG35" si="70">IF(AND(AA27&gt;0,AA27&lt;$C$6),TRUE,FALSE)</f>
        <v>0</v>
      </c>
      <c r="BH27" s="146"/>
    </row>
    <row r="28" spans="1:60" ht="26.25" x14ac:dyDescent="0.25">
      <c r="A28" s="56" cm="1">
        <f t="array" ref="A28">SUMPRODUCT(($AV$10:$AV$59&lt;&gt;"")*(ROW($AV$10:$AV$59)&lt;=ROW()))</f>
        <v>14</v>
      </c>
      <c r="B28" s="57"/>
      <c r="C28" s="58" t="s">
        <v>239</v>
      </c>
      <c r="D28" s="93"/>
      <c r="E28" s="16"/>
      <c r="F28" s="29">
        <f t="shared" si="41"/>
        <v>46116</v>
      </c>
      <c r="G28" s="42"/>
      <c r="H28" s="29">
        <f t="shared" si="42"/>
        <v>46123</v>
      </c>
      <c r="I28" s="42"/>
      <c r="J28" s="29">
        <f t="shared" si="43"/>
        <v>46129</v>
      </c>
      <c r="K28" s="42"/>
      <c r="L28" s="29">
        <f t="shared" si="44"/>
        <v>46132</v>
      </c>
      <c r="M28" s="42"/>
      <c r="N28" s="29">
        <f t="shared" si="45"/>
        <v>46162</v>
      </c>
      <c r="O28" s="42"/>
      <c r="P28" s="29">
        <f t="shared" si="46"/>
        <v>46172</v>
      </c>
      <c r="Q28" s="42"/>
      <c r="R28" s="29">
        <f t="shared" si="47"/>
        <v>46192</v>
      </c>
      <c r="S28" s="42"/>
      <c r="T28" s="29">
        <f t="shared" si="48"/>
        <v>46199</v>
      </c>
      <c r="U28" s="42"/>
      <c r="V28" s="29">
        <f t="shared" si="49"/>
        <v>46206</v>
      </c>
      <c r="W28" s="42"/>
      <c r="X28" s="29">
        <f t="shared" si="50"/>
        <v>46211</v>
      </c>
      <c r="Y28" s="42"/>
      <c r="Z28" s="30">
        <f t="shared" si="51"/>
        <v>46221</v>
      </c>
      <c r="AA28" s="42"/>
      <c r="AB28" s="31">
        <f t="shared" si="52"/>
        <v>99</v>
      </c>
      <c r="AC28" s="16"/>
      <c r="AD28" s="131">
        <f t="shared" si="53"/>
        <v>95</v>
      </c>
      <c r="AE28" s="16"/>
      <c r="AF28" s="95"/>
      <c r="AG28" s="67"/>
      <c r="AH28" s="67" t="s">
        <v>134</v>
      </c>
      <c r="AI28" s="67"/>
      <c r="AJ28" s="68" t="str">
        <f t="shared" si="54"/>
        <v/>
      </c>
      <c r="AK28" s="102"/>
      <c r="AL28" s="48"/>
      <c r="AM28" s="105">
        <v>80</v>
      </c>
      <c r="AN28" s="69">
        <f t="shared" si="55"/>
        <v>46211</v>
      </c>
      <c r="AO28" s="107">
        <f t="shared" si="56"/>
        <v>4</v>
      </c>
      <c r="AP28" s="48"/>
      <c r="AQ28" s="111"/>
      <c r="AR28" s="70">
        <f t="shared" si="57"/>
        <v>46211</v>
      </c>
      <c r="AS28" s="107">
        <f t="shared" si="58"/>
        <v>4</v>
      </c>
      <c r="AT28" s="48"/>
      <c r="AU28" s="113">
        <f t="shared" si="59"/>
        <v>46207</v>
      </c>
      <c r="AV28" s="119" t="str" cm="1">
        <f t="array" ref="AV28">IF(OR(G28&gt;$C$6,G28=""),$F$8,INDEX($E$8:$Z$8,MATCH(TRUE,(F28:AA28=""),0)))</f>
        <v>1. Tender Docs &amp; BOQ</v>
      </c>
      <c r="AW28" s="116" t="b">
        <f t="shared" si="60"/>
        <v>0</v>
      </c>
      <c r="AX28" s="71" t="b">
        <f t="shared" si="61"/>
        <v>0</v>
      </c>
      <c r="AY28" s="71" t="b">
        <f t="shared" si="62"/>
        <v>0</v>
      </c>
      <c r="AZ28" s="71" t="b">
        <f t="shared" si="63"/>
        <v>0</v>
      </c>
      <c r="BA28" s="71" t="b">
        <f t="shared" si="64"/>
        <v>0</v>
      </c>
      <c r="BB28" s="71" t="b">
        <f t="shared" si="65"/>
        <v>0</v>
      </c>
      <c r="BC28" s="71" t="b">
        <f t="shared" si="66"/>
        <v>0</v>
      </c>
      <c r="BD28" s="71" t="b">
        <f t="shared" si="67"/>
        <v>0</v>
      </c>
      <c r="BE28" s="71" t="b">
        <f t="shared" si="68"/>
        <v>0</v>
      </c>
      <c r="BF28" s="71" t="b">
        <f t="shared" si="69"/>
        <v>0</v>
      </c>
      <c r="BG28" s="89" t="b">
        <f t="shared" si="70"/>
        <v>0</v>
      </c>
      <c r="BH28" s="146"/>
    </row>
    <row r="29" spans="1:60" ht="26.25" x14ac:dyDescent="0.25">
      <c r="A29" s="56" cm="1">
        <f t="array" ref="A29">SUMPRODUCT(($AV$10:$AV$59&lt;&gt;"")*(ROW($AV$10:$AV$59)&lt;=ROW()))</f>
        <v>15</v>
      </c>
      <c r="B29" s="59"/>
      <c r="C29" s="60" t="s">
        <v>363</v>
      </c>
      <c r="D29" s="59"/>
      <c r="E29" s="43"/>
      <c r="F29" s="44">
        <f t="shared" si="41"/>
        <v>46116</v>
      </c>
      <c r="G29" s="45"/>
      <c r="H29" s="44">
        <f t="shared" si="42"/>
        <v>46123</v>
      </c>
      <c r="I29" s="45"/>
      <c r="J29" s="44">
        <f t="shared" si="43"/>
        <v>46129</v>
      </c>
      <c r="K29" s="45"/>
      <c r="L29" s="44">
        <f t="shared" si="44"/>
        <v>46132</v>
      </c>
      <c r="M29" s="45"/>
      <c r="N29" s="44">
        <f t="shared" si="45"/>
        <v>46162</v>
      </c>
      <c r="O29" s="45"/>
      <c r="P29" s="44">
        <f t="shared" si="46"/>
        <v>46172</v>
      </c>
      <c r="Q29" s="45"/>
      <c r="R29" s="44">
        <f t="shared" si="47"/>
        <v>46192</v>
      </c>
      <c r="S29" s="45"/>
      <c r="T29" s="44">
        <f t="shared" si="48"/>
        <v>46199</v>
      </c>
      <c r="U29" s="45"/>
      <c r="V29" s="44">
        <f t="shared" si="49"/>
        <v>46206</v>
      </c>
      <c r="W29" s="45"/>
      <c r="X29" s="44">
        <f t="shared" si="50"/>
        <v>46211</v>
      </c>
      <c r="Y29" s="45"/>
      <c r="Z29" s="46">
        <f t="shared" si="51"/>
        <v>46221</v>
      </c>
      <c r="AA29" s="45"/>
      <c r="AB29" s="32">
        <f t="shared" si="52"/>
        <v>99</v>
      </c>
      <c r="AC29" s="16"/>
      <c r="AD29" s="131">
        <f t="shared" si="53"/>
        <v>95</v>
      </c>
      <c r="AE29" s="16"/>
      <c r="AF29" s="96"/>
      <c r="AG29" s="72"/>
      <c r="AH29" s="72" t="s">
        <v>134</v>
      </c>
      <c r="AI29" s="72"/>
      <c r="AJ29" s="73" t="str">
        <f t="shared" si="54"/>
        <v/>
      </c>
      <c r="AK29" s="101"/>
      <c r="AL29" s="48"/>
      <c r="AM29" s="104">
        <v>80</v>
      </c>
      <c r="AN29" s="74">
        <f t="shared" si="55"/>
        <v>46211</v>
      </c>
      <c r="AO29" s="108">
        <f t="shared" si="56"/>
        <v>4</v>
      </c>
      <c r="AP29" s="48"/>
      <c r="AQ29" s="110"/>
      <c r="AR29" s="75">
        <f t="shared" si="57"/>
        <v>46211</v>
      </c>
      <c r="AS29" s="108">
        <f t="shared" si="58"/>
        <v>4</v>
      </c>
      <c r="AT29" s="48"/>
      <c r="AU29" s="114">
        <f t="shared" si="59"/>
        <v>46207</v>
      </c>
      <c r="AV29" s="120" t="str" cm="1">
        <f t="array" ref="AV29">IF(OR(G29&gt;$C$6,G29=""),$F$8,INDEX($E$8:$Z$8,MATCH(TRUE,(F29:AA29=""),0)))</f>
        <v>1. Tender Docs &amp; BOQ</v>
      </c>
      <c r="AW29" s="117" t="b">
        <f t="shared" si="60"/>
        <v>0</v>
      </c>
      <c r="AX29" s="76" t="b">
        <f t="shared" si="61"/>
        <v>0</v>
      </c>
      <c r="AY29" s="76" t="b">
        <f t="shared" si="62"/>
        <v>0</v>
      </c>
      <c r="AZ29" s="76" t="b">
        <f t="shared" si="63"/>
        <v>0</v>
      </c>
      <c r="BA29" s="76" t="b">
        <f t="shared" si="64"/>
        <v>0</v>
      </c>
      <c r="BB29" s="76" t="b">
        <f t="shared" si="65"/>
        <v>0</v>
      </c>
      <c r="BC29" s="76" t="b">
        <f t="shared" si="66"/>
        <v>0</v>
      </c>
      <c r="BD29" s="76" t="b">
        <f t="shared" si="67"/>
        <v>0</v>
      </c>
      <c r="BE29" s="76" t="b">
        <f t="shared" si="68"/>
        <v>0</v>
      </c>
      <c r="BF29" s="76" t="b">
        <f t="shared" si="69"/>
        <v>0</v>
      </c>
      <c r="BG29" s="90" t="b">
        <f t="shared" si="70"/>
        <v>0</v>
      </c>
      <c r="BH29" s="146"/>
    </row>
    <row r="30" spans="1:60" ht="26.25" x14ac:dyDescent="0.25">
      <c r="A30" s="56" cm="1">
        <f t="array" ref="A30">SUMPRODUCT(($AV$10:$AV$59&lt;&gt;"")*(ROW($AV$10:$AV$59)&lt;=ROW()))</f>
        <v>16</v>
      </c>
      <c r="B30" s="57"/>
      <c r="C30" s="58" t="s">
        <v>364</v>
      </c>
      <c r="D30" s="93"/>
      <c r="E30" s="16"/>
      <c r="F30" s="29">
        <f t="shared" si="41"/>
        <v>46116</v>
      </c>
      <c r="G30" s="42"/>
      <c r="H30" s="29">
        <f t="shared" si="42"/>
        <v>46123</v>
      </c>
      <c r="I30" s="42"/>
      <c r="J30" s="29">
        <f t="shared" si="43"/>
        <v>46129</v>
      </c>
      <c r="K30" s="42"/>
      <c r="L30" s="29">
        <f t="shared" si="44"/>
        <v>46132</v>
      </c>
      <c r="M30" s="42"/>
      <c r="N30" s="29">
        <f t="shared" si="45"/>
        <v>46162</v>
      </c>
      <c r="O30" s="42"/>
      <c r="P30" s="29">
        <f t="shared" si="46"/>
        <v>46172</v>
      </c>
      <c r="Q30" s="42"/>
      <c r="R30" s="29">
        <f t="shared" si="47"/>
        <v>46192</v>
      </c>
      <c r="S30" s="42"/>
      <c r="T30" s="29">
        <f t="shared" si="48"/>
        <v>46199</v>
      </c>
      <c r="U30" s="42"/>
      <c r="V30" s="29">
        <f t="shared" si="49"/>
        <v>46206</v>
      </c>
      <c r="W30" s="42"/>
      <c r="X30" s="29">
        <f t="shared" si="50"/>
        <v>46211</v>
      </c>
      <c r="Y30" s="42"/>
      <c r="Z30" s="30">
        <f t="shared" si="51"/>
        <v>46221</v>
      </c>
      <c r="AA30" s="42"/>
      <c r="AB30" s="31">
        <f t="shared" si="52"/>
        <v>99</v>
      </c>
      <c r="AC30" s="16"/>
      <c r="AD30" s="131">
        <f t="shared" si="53"/>
        <v>95</v>
      </c>
      <c r="AE30" s="16"/>
      <c r="AF30" s="95"/>
      <c r="AG30" s="67"/>
      <c r="AH30" s="67" t="s">
        <v>134</v>
      </c>
      <c r="AI30" s="67"/>
      <c r="AJ30" s="68" t="str">
        <f t="shared" si="54"/>
        <v/>
      </c>
      <c r="AK30" s="102"/>
      <c r="AL30" s="48"/>
      <c r="AM30" s="105">
        <v>80</v>
      </c>
      <c r="AN30" s="69">
        <f t="shared" si="55"/>
        <v>46211</v>
      </c>
      <c r="AO30" s="107">
        <f t="shared" si="56"/>
        <v>4</v>
      </c>
      <c r="AP30" s="48"/>
      <c r="AQ30" s="111"/>
      <c r="AR30" s="70">
        <f t="shared" si="57"/>
        <v>46211</v>
      </c>
      <c r="AS30" s="107">
        <f t="shared" si="58"/>
        <v>4</v>
      </c>
      <c r="AT30" s="48"/>
      <c r="AU30" s="113">
        <f t="shared" si="59"/>
        <v>46207</v>
      </c>
      <c r="AV30" s="119" t="str" cm="1">
        <f t="array" ref="AV30">IF(OR(G30&gt;$C$6,G30=""),$F$8,INDEX($E$8:$Z$8,MATCH(TRUE,(F30:AA30=""),0)))</f>
        <v>1. Tender Docs &amp; BOQ</v>
      </c>
      <c r="AW30" s="116" t="b">
        <f t="shared" si="60"/>
        <v>0</v>
      </c>
      <c r="AX30" s="71" t="b">
        <f t="shared" si="61"/>
        <v>0</v>
      </c>
      <c r="AY30" s="71" t="b">
        <f t="shared" si="62"/>
        <v>0</v>
      </c>
      <c r="AZ30" s="71" t="b">
        <f t="shared" si="63"/>
        <v>0</v>
      </c>
      <c r="BA30" s="71" t="b">
        <f t="shared" si="64"/>
        <v>0</v>
      </c>
      <c r="BB30" s="71" t="b">
        <f t="shared" si="65"/>
        <v>0</v>
      </c>
      <c r="BC30" s="71" t="b">
        <f t="shared" si="66"/>
        <v>0</v>
      </c>
      <c r="BD30" s="71" t="b">
        <f t="shared" si="67"/>
        <v>0</v>
      </c>
      <c r="BE30" s="71" t="b">
        <f t="shared" si="68"/>
        <v>0</v>
      </c>
      <c r="BF30" s="71" t="b">
        <f t="shared" si="69"/>
        <v>0</v>
      </c>
      <c r="BG30" s="89" t="b">
        <f t="shared" si="70"/>
        <v>0</v>
      </c>
      <c r="BH30" s="146"/>
    </row>
    <row r="31" spans="1:60" ht="26.25" x14ac:dyDescent="0.25">
      <c r="A31" s="56" cm="1">
        <f t="array" ref="A31">SUMPRODUCT(($AV$10:$AV$59&lt;&gt;"")*(ROW($AV$10:$AV$59)&lt;=ROW()))</f>
        <v>17</v>
      </c>
      <c r="B31" s="59"/>
      <c r="C31" s="60" t="s">
        <v>242</v>
      </c>
      <c r="D31" s="59"/>
      <c r="E31" s="43"/>
      <c r="F31" s="44">
        <f t="shared" si="41"/>
        <v>46116</v>
      </c>
      <c r="G31" s="45"/>
      <c r="H31" s="44">
        <f t="shared" si="42"/>
        <v>46123</v>
      </c>
      <c r="I31" s="45"/>
      <c r="J31" s="44">
        <f t="shared" si="43"/>
        <v>46129</v>
      </c>
      <c r="K31" s="45"/>
      <c r="L31" s="44">
        <f t="shared" si="44"/>
        <v>46132</v>
      </c>
      <c r="M31" s="45"/>
      <c r="N31" s="44">
        <f t="shared" si="45"/>
        <v>46162</v>
      </c>
      <c r="O31" s="45"/>
      <c r="P31" s="44">
        <f t="shared" si="46"/>
        <v>46172</v>
      </c>
      <c r="Q31" s="45"/>
      <c r="R31" s="44">
        <f t="shared" si="47"/>
        <v>46192</v>
      </c>
      <c r="S31" s="45"/>
      <c r="T31" s="44">
        <f t="shared" si="48"/>
        <v>46199</v>
      </c>
      <c r="U31" s="45"/>
      <c r="V31" s="44">
        <f t="shared" si="49"/>
        <v>46206</v>
      </c>
      <c r="W31" s="45"/>
      <c r="X31" s="44">
        <f t="shared" si="50"/>
        <v>46211</v>
      </c>
      <c r="Y31" s="45"/>
      <c r="Z31" s="46">
        <f t="shared" si="51"/>
        <v>46221</v>
      </c>
      <c r="AA31" s="45"/>
      <c r="AB31" s="32">
        <f t="shared" si="52"/>
        <v>99</v>
      </c>
      <c r="AC31" s="16"/>
      <c r="AD31" s="131">
        <f t="shared" si="53"/>
        <v>95</v>
      </c>
      <c r="AE31" s="16"/>
      <c r="AF31" s="96"/>
      <c r="AG31" s="72"/>
      <c r="AH31" s="72" t="s">
        <v>134</v>
      </c>
      <c r="AI31" s="72"/>
      <c r="AJ31" s="73" t="str">
        <f t="shared" si="54"/>
        <v/>
      </c>
      <c r="AK31" s="101"/>
      <c r="AL31" s="48"/>
      <c r="AM31" s="104">
        <v>80</v>
      </c>
      <c r="AN31" s="74">
        <f t="shared" si="55"/>
        <v>46211</v>
      </c>
      <c r="AO31" s="108">
        <f t="shared" si="56"/>
        <v>4</v>
      </c>
      <c r="AP31" s="48"/>
      <c r="AQ31" s="110"/>
      <c r="AR31" s="75">
        <f t="shared" si="57"/>
        <v>46211</v>
      </c>
      <c r="AS31" s="108">
        <f t="shared" si="58"/>
        <v>4</v>
      </c>
      <c r="AT31" s="48"/>
      <c r="AU31" s="114">
        <f t="shared" si="59"/>
        <v>46207</v>
      </c>
      <c r="AV31" s="120" t="str" cm="1">
        <f t="array" ref="AV31">IF(OR(G31&gt;$C$6,G31=""),$F$8,INDEX($E$8:$Z$8,MATCH(TRUE,(F31:AA31=""),0)))</f>
        <v>1. Tender Docs &amp; BOQ</v>
      </c>
      <c r="AW31" s="117" t="b">
        <f t="shared" si="60"/>
        <v>0</v>
      </c>
      <c r="AX31" s="76" t="b">
        <f t="shared" si="61"/>
        <v>0</v>
      </c>
      <c r="AY31" s="76" t="b">
        <f t="shared" si="62"/>
        <v>0</v>
      </c>
      <c r="AZ31" s="76" t="b">
        <f t="shared" si="63"/>
        <v>0</v>
      </c>
      <c r="BA31" s="76" t="b">
        <f t="shared" si="64"/>
        <v>0</v>
      </c>
      <c r="BB31" s="76" t="b">
        <f t="shared" si="65"/>
        <v>0</v>
      </c>
      <c r="BC31" s="76" t="b">
        <f t="shared" si="66"/>
        <v>0</v>
      </c>
      <c r="BD31" s="76" t="b">
        <f t="shared" si="67"/>
        <v>0</v>
      </c>
      <c r="BE31" s="76" t="b">
        <f t="shared" si="68"/>
        <v>0</v>
      </c>
      <c r="BF31" s="76" t="b">
        <f t="shared" si="69"/>
        <v>0</v>
      </c>
      <c r="BG31" s="90" t="b">
        <f t="shared" si="70"/>
        <v>0</v>
      </c>
      <c r="BH31" s="146"/>
    </row>
    <row r="32" spans="1:60" ht="26.25" x14ac:dyDescent="0.25">
      <c r="A32" s="56" cm="1">
        <f t="array" ref="A32">SUMPRODUCT(($AV$10:$AV$59&lt;&gt;"")*(ROW($AV$10:$AV$59)&lt;=ROW()))</f>
        <v>18</v>
      </c>
      <c r="B32" s="57"/>
      <c r="C32" s="58" t="s">
        <v>243</v>
      </c>
      <c r="D32" s="93"/>
      <c r="E32" s="16"/>
      <c r="F32" s="29">
        <f t="shared" si="41"/>
        <v>46116</v>
      </c>
      <c r="G32" s="42"/>
      <c r="H32" s="29">
        <f t="shared" si="42"/>
        <v>46123</v>
      </c>
      <c r="I32" s="42"/>
      <c r="J32" s="29">
        <f t="shared" si="43"/>
        <v>46129</v>
      </c>
      <c r="K32" s="42"/>
      <c r="L32" s="29">
        <f t="shared" si="44"/>
        <v>46132</v>
      </c>
      <c r="M32" s="42"/>
      <c r="N32" s="29">
        <f t="shared" si="45"/>
        <v>46162</v>
      </c>
      <c r="O32" s="42"/>
      <c r="P32" s="29">
        <f t="shared" si="46"/>
        <v>46172</v>
      </c>
      <c r="Q32" s="42"/>
      <c r="R32" s="29">
        <f t="shared" si="47"/>
        <v>46192</v>
      </c>
      <c r="S32" s="42"/>
      <c r="T32" s="29">
        <f t="shared" si="48"/>
        <v>46199</v>
      </c>
      <c r="U32" s="42"/>
      <c r="V32" s="29">
        <f t="shared" si="49"/>
        <v>46206</v>
      </c>
      <c r="W32" s="42"/>
      <c r="X32" s="29">
        <f t="shared" si="50"/>
        <v>46211</v>
      </c>
      <c r="Y32" s="42"/>
      <c r="Z32" s="30">
        <f t="shared" si="51"/>
        <v>46221</v>
      </c>
      <c r="AA32" s="42"/>
      <c r="AB32" s="31">
        <f t="shared" si="52"/>
        <v>99</v>
      </c>
      <c r="AC32" s="16"/>
      <c r="AD32" s="131">
        <f t="shared" si="53"/>
        <v>95</v>
      </c>
      <c r="AE32" s="16"/>
      <c r="AF32" s="95"/>
      <c r="AG32" s="67"/>
      <c r="AH32" s="67" t="s">
        <v>134</v>
      </c>
      <c r="AI32" s="67"/>
      <c r="AJ32" s="68" t="str">
        <f t="shared" si="54"/>
        <v/>
      </c>
      <c r="AK32" s="102"/>
      <c r="AL32" s="48"/>
      <c r="AM32" s="105">
        <v>80</v>
      </c>
      <c r="AN32" s="69">
        <f t="shared" si="55"/>
        <v>46211</v>
      </c>
      <c r="AO32" s="107">
        <f t="shared" si="56"/>
        <v>4</v>
      </c>
      <c r="AP32" s="48"/>
      <c r="AQ32" s="111"/>
      <c r="AR32" s="70">
        <f t="shared" si="57"/>
        <v>46211</v>
      </c>
      <c r="AS32" s="107">
        <f t="shared" si="58"/>
        <v>4</v>
      </c>
      <c r="AT32" s="48"/>
      <c r="AU32" s="113">
        <f t="shared" si="59"/>
        <v>46207</v>
      </c>
      <c r="AV32" s="119" t="str" cm="1">
        <f t="array" ref="AV32">IF(OR(G32&gt;$C$6,G32=""),$F$8,INDEX($E$8:$Z$8,MATCH(TRUE,(F32:AA32=""),0)))</f>
        <v>1. Tender Docs &amp; BOQ</v>
      </c>
      <c r="AW32" s="116" t="b">
        <f t="shared" si="60"/>
        <v>0</v>
      </c>
      <c r="AX32" s="71" t="b">
        <f t="shared" si="61"/>
        <v>0</v>
      </c>
      <c r="AY32" s="71" t="b">
        <f t="shared" si="62"/>
        <v>0</v>
      </c>
      <c r="AZ32" s="71" t="b">
        <f t="shared" si="63"/>
        <v>0</v>
      </c>
      <c r="BA32" s="71" t="b">
        <f t="shared" si="64"/>
        <v>0</v>
      </c>
      <c r="BB32" s="71" t="b">
        <f t="shared" si="65"/>
        <v>0</v>
      </c>
      <c r="BC32" s="71" t="b">
        <f t="shared" si="66"/>
        <v>0</v>
      </c>
      <c r="BD32" s="71" t="b">
        <f t="shared" si="67"/>
        <v>0</v>
      </c>
      <c r="BE32" s="71" t="b">
        <f t="shared" si="68"/>
        <v>0</v>
      </c>
      <c r="BF32" s="71" t="b">
        <f t="shared" si="69"/>
        <v>0</v>
      </c>
      <c r="BG32" s="89" t="b">
        <f t="shared" si="70"/>
        <v>0</v>
      </c>
      <c r="BH32" s="146"/>
    </row>
    <row r="33" spans="1:60" ht="26.25" x14ac:dyDescent="0.25">
      <c r="A33" s="56" cm="1">
        <f t="array" ref="A33">SUMPRODUCT(($AV$10:$AV$59&lt;&gt;"")*(ROW($AV$10:$AV$59)&lt;=ROW()))</f>
        <v>19</v>
      </c>
      <c r="B33" s="59"/>
      <c r="C33" s="60" t="s">
        <v>246</v>
      </c>
      <c r="D33" s="59"/>
      <c r="E33" s="43"/>
      <c r="F33" s="44">
        <f t="shared" si="41"/>
        <v>46116</v>
      </c>
      <c r="G33" s="45"/>
      <c r="H33" s="44">
        <f t="shared" si="42"/>
        <v>46123</v>
      </c>
      <c r="I33" s="45"/>
      <c r="J33" s="44">
        <f t="shared" si="43"/>
        <v>46129</v>
      </c>
      <c r="K33" s="45"/>
      <c r="L33" s="44">
        <f t="shared" si="44"/>
        <v>46132</v>
      </c>
      <c r="M33" s="45"/>
      <c r="N33" s="44">
        <f t="shared" si="45"/>
        <v>46162</v>
      </c>
      <c r="O33" s="45"/>
      <c r="P33" s="44">
        <f t="shared" si="46"/>
        <v>46172</v>
      </c>
      <c r="Q33" s="45"/>
      <c r="R33" s="44">
        <f t="shared" si="47"/>
        <v>46192</v>
      </c>
      <c r="S33" s="45"/>
      <c r="T33" s="44">
        <f t="shared" si="48"/>
        <v>46199</v>
      </c>
      <c r="U33" s="45"/>
      <c r="V33" s="44">
        <f t="shared" si="49"/>
        <v>46206</v>
      </c>
      <c r="W33" s="45"/>
      <c r="X33" s="44">
        <f t="shared" si="50"/>
        <v>46211</v>
      </c>
      <c r="Y33" s="45"/>
      <c r="Z33" s="46">
        <f t="shared" si="51"/>
        <v>46221</v>
      </c>
      <c r="AA33" s="45"/>
      <c r="AB33" s="32">
        <f t="shared" si="52"/>
        <v>99</v>
      </c>
      <c r="AC33" s="16"/>
      <c r="AD33" s="131">
        <f t="shared" si="53"/>
        <v>95</v>
      </c>
      <c r="AE33" s="16"/>
      <c r="AF33" s="96"/>
      <c r="AG33" s="72"/>
      <c r="AH33" s="72" t="s">
        <v>134</v>
      </c>
      <c r="AI33" s="72"/>
      <c r="AJ33" s="73" t="str">
        <f t="shared" si="54"/>
        <v/>
      </c>
      <c r="AK33" s="101"/>
      <c r="AL33" s="48"/>
      <c r="AM33" s="104">
        <v>80</v>
      </c>
      <c r="AN33" s="74">
        <f t="shared" si="55"/>
        <v>46211</v>
      </c>
      <c r="AO33" s="108">
        <f t="shared" si="56"/>
        <v>4</v>
      </c>
      <c r="AP33" s="48"/>
      <c r="AQ33" s="110"/>
      <c r="AR33" s="75">
        <f t="shared" si="57"/>
        <v>46211</v>
      </c>
      <c r="AS33" s="108">
        <f t="shared" si="58"/>
        <v>4</v>
      </c>
      <c r="AT33" s="48"/>
      <c r="AU33" s="114">
        <f t="shared" si="59"/>
        <v>46207</v>
      </c>
      <c r="AV33" s="120" t="str" cm="1">
        <f t="array" ref="AV33">IF(OR(G33&gt;$C$6,G33=""),$F$8,INDEX($E$8:$Z$8,MATCH(TRUE,(F33:AA33=""),0)))</f>
        <v>1. Tender Docs &amp; BOQ</v>
      </c>
      <c r="AW33" s="117" t="b">
        <f t="shared" si="60"/>
        <v>0</v>
      </c>
      <c r="AX33" s="76" t="b">
        <f t="shared" si="61"/>
        <v>0</v>
      </c>
      <c r="AY33" s="76" t="b">
        <f t="shared" si="62"/>
        <v>0</v>
      </c>
      <c r="AZ33" s="76" t="b">
        <f t="shared" si="63"/>
        <v>0</v>
      </c>
      <c r="BA33" s="76" t="b">
        <f t="shared" si="64"/>
        <v>0</v>
      </c>
      <c r="BB33" s="76" t="b">
        <f t="shared" si="65"/>
        <v>0</v>
      </c>
      <c r="BC33" s="76" t="b">
        <f t="shared" si="66"/>
        <v>0</v>
      </c>
      <c r="BD33" s="76" t="b">
        <f t="shared" si="67"/>
        <v>0</v>
      </c>
      <c r="BE33" s="76" t="b">
        <f t="shared" si="68"/>
        <v>0</v>
      </c>
      <c r="BF33" s="76" t="b">
        <f t="shared" si="69"/>
        <v>0</v>
      </c>
      <c r="BG33" s="90" t="b">
        <f t="shared" si="70"/>
        <v>0</v>
      </c>
      <c r="BH33" s="146"/>
    </row>
    <row r="34" spans="1:60" ht="26.25" x14ac:dyDescent="0.25">
      <c r="A34" s="56" cm="1">
        <f t="array" ref="A34">SUMPRODUCT(($AV$10:$AV$59&lt;&gt;"")*(ROW($AV$10:$AV$59)&lt;=ROW()))</f>
        <v>20</v>
      </c>
      <c r="B34" s="57"/>
      <c r="C34" s="58" t="s">
        <v>365</v>
      </c>
      <c r="D34" s="93"/>
      <c r="E34" s="16"/>
      <c r="F34" s="29">
        <f t="shared" si="41"/>
        <v>46116</v>
      </c>
      <c r="G34" s="42"/>
      <c r="H34" s="29">
        <f t="shared" si="42"/>
        <v>46123</v>
      </c>
      <c r="I34" s="42"/>
      <c r="J34" s="29">
        <f t="shared" si="43"/>
        <v>46129</v>
      </c>
      <c r="K34" s="42"/>
      <c r="L34" s="29">
        <f t="shared" si="44"/>
        <v>46132</v>
      </c>
      <c r="M34" s="42"/>
      <c r="N34" s="29">
        <f t="shared" si="45"/>
        <v>46162</v>
      </c>
      <c r="O34" s="42"/>
      <c r="P34" s="29">
        <f t="shared" si="46"/>
        <v>46172</v>
      </c>
      <c r="Q34" s="42"/>
      <c r="R34" s="29">
        <f t="shared" si="47"/>
        <v>46192</v>
      </c>
      <c r="S34" s="42"/>
      <c r="T34" s="29">
        <f t="shared" si="48"/>
        <v>46199</v>
      </c>
      <c r="U34" s="42"/>
      <c r="V34" s="29">
        <f t="shared" si="49"/>
        <v>46206</v>
      </c>
      <c r="W34" s="42"/>
      <c r="X34" s="29">
        <f t="shared" si="50"/>
        <v>46211</v>
      </c>
      <c r="Y34" s="42"/>
      <c r="Z34" s="30">
        <f t="shared" si="51"/>
        <v>46221</v>
      </c>
      <c r="AA34" s="42"/>
      <c r="AB34" s="31">
        <f t="shared" si="52"/>
        <v>99</v>
      </c>
      <c r="AC34" s="16"/>
      <c r="AD34" s="131">
        <f t="shared" si="53"/>
        <v>95</v>
      </c>
      <c r="AE34" s="16"/>
      <c r="AF34" s="95"/>
      <c r="AG34" s="67"/>
      <c r="AH34" s="67" t="s">
        <v>134</v>
      </c>
      <c r="AI34" s="67"/>
      <c r="AJ34" s="68" t="str">
        <f t="shared" si="54"/>
        <v/>
      </c>
      <c r="AK34" s="102"/>
      <c r="AL34" s="48"/>
      <c r="AM34" s="105">
        <v>80</v>
      </c>
      <c r="AN34" s="69">
        <f t="shared" si="55"/>
        <v>46211</v>
      </c>
      <c r="AO34" s="107">
        <f t="shared" si="56"/>
        <v>4</v>
      </c>
      <c r="AP34" s="48"/>
      <c r="AQ34" s="111"/>
      <c r="AR34" s="70">
        <f t="shared" si="57"/>
        <v>46211</v>
      </c>
      <c r="AS34" s="107">
        <f t="shared" si="58"/>
        <v>4</v>
      </c>
      <c r="AT34" s="48"/>
      <c r="AU34" s="113">
        <f t="shared" si="59"/>
        <v>46207</v>
      </c>
      <c r="AV34" s="119" t="str" cm="1">
        <f t="array" ref="AV34">IF(OR(G34&gt;$C$6,G34=""),$F$8,INDEX($E$8:$Z$8,MATCH(TRUE,(F34:AA34=""),0)))</f>
        <v>1. Tender Docs &amp; BOQ</v>
      </c>
      <c r="AW34" s="116" t="b">
        <f t="shared" si="60"/>
        <v>0</v>
      </c>
      <c r="AX34" s="71" t="b">
        <f t="shared" si="61"/>
        <v>0</v>
      </c>
      <c r="AY34" s="71" t="b">
        <f t="shared" si="62"/>
        <v>0</v>
      </c>
      <c r="AZ34" s="71" t="b">
        <f t="shared" si="63"/>
        <v>0</v>
      </c>
      <c r="BA34" s="71" t="b">
        <f t="shared" si="64"/>
        <v>0</v>
      </c>
      <c r="BB34" s="71" t="b">
        <f t="shared" si="65"/>
        <v>0</v>
      </c>
      <c r="BC34" s="71" t="b">
        <f t="shared" si="66"/>
        <v>0</v>
      </c>
      <c r="BD34" s="71" t="b">
        <f t="shared" si="67"/>
        <v>0</v>
      </c>
      <c r="BE34" s="71" t="b">
        <f t="shared" si="68"/>
        <v>0</v>
      </c>
      <c r="BF34" s="71" t="b">
        <f t="shared" si="69"/>
        <v>0</v>
      </c>
      <c r="BG34" s="89" t="b">
        <f t="shared" si="70"/>
        <v>0</v>
      </c>
      <c r="BH34" s="146"/>
    </row>
    <row r="35" spans="1:60" ht="26.25" x14ac:dyDescent="0.25">
      <c r="A35" s="56" cm="1">
        <f t="array" ref="A35">SUMPRODUCT(($AV$10:$AV$59&lt;&gt;"")*(ROW($AV$10:$AV$59)&lt;=ROW()))</f>
        <v>21</v>
      </c>
      <c r="B35" s="59"/>
      <c r="C35" s="60" t="s">
        <v>366</v>
      </c>
      <c r="D35" s="59" t="s">
        <v>11</v>
      </c>
      <c r="E35" s="43"/>
      <c r="F35" s="44">
        <f t="shared" si="41"/>
        <v>46116</v>
      </c>
      <c r="G35" s="45"/>
      <c r="H35" s="44">
        <f t="shared" si="42"/>
        <v>46123</v>
      </c>
      <c r="I35" s="45"/>
      <c r="J35" s="44">
        <f t="shared" si="43"/>
        <v>46129</v>
      </c>
      <c r="K35" s="45"/>
      <c r="L35" s="44">
        <f t="shared" si="44"/>
        <v>46132</v>
      </c>
      <c r="M35" s="45"/>
      <c r="N35" s="44">
        <f t="shared" si="45"/>
        <v>46162</v>
      </c>
      <c r="O35" s="45"/>
      <c r="P35" s="44">
        <f t="shared" si="46"/>
        <v>46172</v>
      </c>
      <c r="Q35" s="45"/>
      <c r="R35" s="44">
        <f t="shared" si="47"/>
        <v>46192</v>
      </c>
      <c r="S35" s="45"/>
      <c r="T35" s="44">
        <f t="shared" si="48"/>
        <v>46199</v>
      </c>
      <c r="U35" s="45"/>
      <c r="V35" s="44">
        <f t="shared" si="49"/>
        <v>46206</v>
      </c>
      <c r="W35" s="45"/>
      <c r="X35" s="44">
        <f t="shared" si="50"/>
        <v>46211</v>
      </c>
      <c r="Y35" s="45"/>
      <c r="Z35" s="46">
        <f t="shared" si="51"/>
        <v>46221</v>
      </c>
      <c r="AA35" s="45"/>
      <c r="AB35" s="32">
        <f t="shared" si="52"/>
        <v>99</v>
      </c>
      <c r="AC35" s="16"/>
      <c r="AD35" s="131">
        <f t="shared" si="53"/>
        <v>95</v>
      </c>
      <c r="AE35" s="16"/>
      <c r="AF35" s="96"/>
      <c r="AG35" s="72"/>
      <c r="AH35" s="72">
        <v>31081177</v>
      </c>
      <c r="AI35" s="72"/>
      <c r="AJ35" s="73" t="str">
        <f t="shared" si="54"/>
        <v/>
      </c>
      <c r="AK35" s="101"/>
      <c r="AL35" s="48"/>
      <c r="AM35" s="104">
        <v>80</v>
      </c>
      <c r="AN35" s="74">
        <f t="shared" si="55"/>
        <v>46211</v>
      </c>
      <c r="AO35" s="108">
        <f t="shared" si="56"/>
        <v>4</v>
      </c>
      <c r="AP35" s="48"/>
      <c r="AQ35" s="110"/>
      <c r="AR35" s="75">
        <f t="shared" si="57"/>
        <v>46211</v>
      </c>
      <c r="AS35" s="108">
        <f t="shared" si="58"/>
        <v>4</v>
      </c>
      <c r="AT35" s="48"/>
      <c r="AU35" s="114">
        <f t="shared" si="59"/>
        <v>46207</v>
      </c>
      <c r="AV35" s="120" t="str" cm="1">
        <f t="array" ref="AV35">IF(OR(G35&gt;$C$6,G35=""),$F$8,INDEX($E$8:$Z$8,MATCH(TRUE,(F35:AA35=""),0)))</f>
        <v>1. Tender Docs &amp; BOQ</v>
      </c>
      <c r="AW35" s="117" t="b">
        <f t="shared" si="60"/>
        <v>0</v>
      </c>
      <c r="AX35" s="76" t="b">
        <f t="shared" si="61"/>
        <v>0</v>
      </c>
      <c r="AY35" s="76" t="b">
        <f t="shared" si="62"/>
        <v>0</v>
      </c>
      <c r="AZ35" s="76" t="b">
        <f t="shared" si="63"/>
        <v>0</v>
      </c>
      <c r="BA35" s="76" t="b">
        <f t="shared" si="64"/>
        <v>0</v>
      </c>
      <c r="BB35" s="76" t="b">
        <f t="shared" si="65"/>
        <v>0</v>
      </c>
      <c r="BC35" s="76" t="b">
        <f t="shared" si="66"/>
        <v>0</v>
      </c>
      <c r="BD35" s="76" t="b">
        <f t="shared" si="67"/>
        <v>0</v>
      </c>
      <c r="BE35" s="76" t="b">
        <f t="shared" si="68"/>
        <v>0</v>
      </c>
      <c r="BF35" s="76" t="b">
        <f t="shared" si="69"/>
        <v>0</v>
      </c>
      <c r="BG35" s="90" t="b">
        <f t="shared" si="70"/>
        <v>0</v>
      </c>
      <c r="BH35" s="146"/>
    </row>
    <row r="36" spans="1:60" ht="23.25" x14ac:dyDescent="0.25">
      <c r="A36" s="54"/>
      <c r="B36" s="49"/>
      <c r="C36" s="50" t="s">
        <v>156</v>
      </c>
      <c r="D36" s="51"/>
      <c r="E36" s="51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1"/>
      <c r="AC36" s="51"/>
      <c r="AD36" s="132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51"/>
      <c r="BD36" s="51"/>
      <c r="BE36" s="51"/>
      <c r="BF36" s="51"/>
      <c r="BG36" s="88"/>
      <c r="BH36" s="146"/>
    </row>
    <row r="37" spans="1:60" ht="26.25" x14ac:dyDescent="0.25">
      <c r="A37" s="56" cm="1">
        <f t="array" ref="A37">SUMPRODUCT(($AV$10:$AV$59&lt;&gt;"")*(ROW($AV$10:$AV$59)&lt;=ROW()))</f>
        <v>22</v>
      </c>
      <c r="B37" s="59"/>
      <c r="C37" s="60" t="s">
        <v>252</v>
      </c>
      <c r="D37" s="59" t="s">
        <v>3</v>
      </c>
      <c r="E37" s="43"/>
      <c r="F37" s="44">
        <f t="shared" ref="F37:F47" si="71">H37-$H$7</f>
        <v>46126</v>
      </c>
      <c r="G37" s="45"/>
      <c r="H37" s="44">
        <f t="shared" ref="H37:H47" si="72">J37-$J$7</f>
        <v>46133</v>
      </c>
      <c r="I37" s="45"/>
      <c r="J37" s="44">
        <f t="shared" ref="J37:J47" si="73">L37-$L$7</f>
        <v>46139</v>
      </c>
      <c r="K37" s="45"/>
      <c r="L37" s="44">
        <f t="shared" ref="L37:L47" si="74">N37-$N$7</f>
        <v>46142</v>
      </c>
      <c r="M37" s="45"/>
      <c r="N37" s="44">
        <f t="shared" ref="N37:N47" si="75">P37-$P$7</f>
        <v>46172</v>
      </c>
      <c r="O37" s="45"/>
      <c r="P37" s="44">
        <f t="shared" ref="P37:P47" si="76">R37-$R$7</f>
        <v>46182</v>
      </c>
      <c r="Q37" s="45"/>
      <c r="R37" s="44">
        <f t="shared" ref="R37:R47" si="77">T37-$T$7</f>
        <v>46202</v>
      </c>
      <c r="S37" s="45"/>
      <c r="T37" s="44">
        <f t="shared" ref="T37:T47" si="78">V37-$V$7</f>
        <v>46209</v>
      </c>
      <c r="U37" s="45"/>
      <c r="V37" s="44">
        <f t="shared" ref="V37:V47" si="79">X37-$X$7</f>
        <v>46216</v>
      </c>
      <c r="W37" s="45"/>
      <c r="X37" s="44">
        <f t="shared" ref="X37:X38" si="80">AN37</f>
        <v>46221</v>
      </c>
      <c r="Y37" s="45"/>
      <c r="Z37" s="46">
        <f t="shared" ref="Z37:Z47" si="81">X37+$Z$7</f>
        <v>46231</v>
      </c>
      <c r="AA37" s="45"/>
      <c r="AB37" s="32">
        <f t="shared" ref="AB37:AB47" si="82">IF(AV37="10. Issued to Contractor","-",IF(AV37="11. Subcontract Agreement signed","-",MAX(AN37,AR37)-$C$6))</f>
        <v>109</v>
      </c>
      <c r="AC37" s="16"/>
      <c r="AD37" s="131">
        <f t="shared" ref="AD37:AD38" si="83">SUM($H$7:$Y$7)</f>
        <v>95</v>
      </c>
      <c r="AE37" s="16"/>
      <c r="AF37" s="96"/>
      <c r="AG37" s="72"/>
      <c r="AH37" s="72">
        <v>14253226</v>
      </c>
      <c r="AI37" s="72"/>
      <c r="AJ37" s="73" t="str">
        <f t="shared" ref="AJ37:AJ47" si="84">IF(AI37&gt;0,SUM(AH37)-SUM(AI37),"")</f>
        <v/>
      </c>
      <c r="AK37" s="101"/>
      <c r="AL37" s="48"/>
      <c r="AM37" s="104">
        <v>90</v>
      </c>
      <c r="AN37" s="74">
        <f t="shared" ref="AN37:AN47" si="85">$M$3+AM37-1</f>
        <v>46221</v>
      </c>
      <c r="AO37" s="108">
        <f t="shared" ref="AO37:AO47" si="86">AN37-AU37</f>
        <v>14</v>
      </c>
      <c r="AP37" s="48"/>
      <c r="AQ37" s="110"/>
      <c r="AR37" s="75">
        <f t="shared" ref="AR37:AR47" si="87">IFERROR(WORKDAY.INTL(AN37,AQ37,11),"")</f>
        <v>46221</v>
      </c>
      <c r="AS37" s="108">
        <f t="shared" ref="AS37:AS47" si="88">AR37-AU37</f>
        <v>14</v>
      </c>
      <c r="AT37" s="48"/>
      <c r="AU37" s="114">
        <f t="shared" ref="AU37:AU38" si="89">IF(Y37&gt;0,Y37,IFERROR(MAX(_xlfn.XLOOKUP($AV37,$H$8:$Z$8,$G37:$Y37),$C$6)+(AN37-_xlfn.XLOOKUP($AV37,$H$8:$Z$8,$F37:$X37))*AD37/SUM($H$7:$Y$7),$C$6+SUM(AD37)))</f>
        <v>46207</v>
      </c>
      <c r="AV37" s="120" t="str" cm="1">
        <f t="array" ref="AV37">IF(OR(G37&gt;$C$6,G37=""),$F$8,INDEX($E$8:$Z$8,MATCH(TRUE,(F37:AA37=""),0)))</f>
        <v>1. Tender Docs &amp; BOQ</v>
      </c>
      <c r="AW37" s="117" t="b">
        <f t="shared" ref="AW37:AW47" si="90">IF(AND(G37&gt;0,G37&lt;$C$6),TRUE,FALSE)</f>
        <v>0</v>
      </c>
      <c r="AX37" s="76" t="b">
        <f t="shared" ref="AX37:AX47" si="91">IF(AND(I37&gt;0,I37&lt;$C$6),TRUE,FALSE)</f>
        <v>0</v>
      </c>
      <c r="AY37" s="76" t="b">
        <f t="shared" ref="AY37:AY47" si="92">IF(AND(K37&gt;0,K37&lt;$C$6),TRUE,FALSE)</f>
        <v>0</v>
      </c>
      <c r="AZ37" s="76" t="b">
        <f t="shared" ref="AZ37:AZ47" si="93">IF(AND(M37&gt;0,M37&lt;$C$6),TRUE,FALSE)</f>
        <v>0</v>
      </c>
      <c r="BA37" s="76" t="b">
        <f t="shared" ref="BA37:BA47" si="94">IF(AND(O37&gt;0,O37&lt;$C$6),TRUE,FALSE)</f>
        <v>0</v>
      </c>
      <c r="BB37" s="76" t="b">
        <f t="shared" ref="BB37:BB47" si="95">IF(AND(Q37&gt;0,Q37&lt;$C$6),TRUE,FALSE)</f>
        <v>0</v>
      </c>
      <c r="BC37" s="76" t="b">
        <f t="shared" ref="BC37:BC47" si="96">IF(AND(S37&gt;0,S37&lt;$C$6),TRUE,FALSE)</f>
        <v>0</v>
      </c>
      <c r="BD37" s="76" t="b">
        <f t="shared" ref="BD37:BD47" si="97">IF(AND(U37&gt;0,U37&lt;$C$6),TRUE,FALSE)</f>
        <v>0</v>
      </c>
      <c r="BE37" s="76" t="b">
        <f t="shared" ref="BE37:BE47" si="98">IF(AND(W37&gt;0,W37&lt;$C$6),TRUE,FALSE)</f>
        <v>0</v>
      </c>
      <c r="BF37" s="76" t="b">
        <f t="shared" ref="BF37:BF47" si="99">IF(AND(Y37&gt;0,Y37&lt;$C$6),TRUE,FALSE)</f>
        <v>0</v>
      </c>
      <c r="BG37" s="90" t="b">
        <f t="shared" ref="BG37:BG47" si="100">IF(AND(AA37&gt;0,AA37&lt;$C$6),TRUE,FALSE)</f>
        <v>0</v>
      </c>
      <c r="BH37" s="146"/>
    </row>
    <row r="38" spans="1:60" ht="26.25" x14ac:dyDescent="0.25">
      <c r="A38" s="56" cm="1">
        <f t="array" ref="A38">SUMPRODUCT(($AV$10:$AV$59&lt;&gt;"")*(ROW($AV$10:$AV$59)&lt;=ROW()))</f>
        <v>23</v>
      </c>
      <c r="B38" s="57"/>
      <c r="C38" s="58" t="s">
        <v>253</v>
      </c>
      <c r="D38" s="93" t="s">
        <v>3</v>
      </c>
      <c r="E38" s="16"/>
      <c r="F38" s="29">
        <f t="shared" si="71"/>
        <v>46126</v>
      </c>
      <c r="G38" s="42"/>
      <c r="H38" s="29">
        <f t="shared" si="72"/>
        <v>46133</v>
      </c>
      <c r="I38" s="42"/>
      <c r="J38" s="29">
        <f t="shared" si="73"/>
        <v>46139</v>
      </c>
      <c r="K38" s="42"/>
      <c r="L38" s="29">
        <f t="shared" si="74"/>
        <v>46142</v>
      </c>
      <c r="M38" s="42"/>
      <c r="N38" s="29">
        <f t="shared" si="75"/>
        <v>46172</v>
      </c>
      <c r="O38" s="42"/>
      <c r="P38" s="29">
        <f t="shared" si="76"/>
        <v>46182</v>
      </c>
      <c r="Q38" s="42"/>
      <c r="R38" s="29">
        <f t="shared" si="77"/>
        <v>46202</v>
      </c>
      <c r="S38" s="42"/>
      <c r="T38" s="29">
        <f t="shared" si="78"/>
        <v>46209</v>
      </c>
      <c r="U38" s="42"/>
      <c r="V38" s="29">
        <f t="shared" si="79"/>
        <v>46216</v>
      </c>
      <c r="W38" s="42"/>
      <c r="X38" s="29">
        <f t="shared" si="80"/>
        <v>46221</v>
      </c>
      <c r="Y38" s="42"/>
      <c r="Z38" s="30">
        <f t="shared" si="81"/>
        <v>46231</v>
      </c>
      <c r="AA38" s="42"/>
      <c r="AB38" s="31">
        <f t="shared" si="82"/>
        <v>109</v>
      </c>
      <c r="AC38" s="16"/>
      <c r="AD38" s="131">
        <f t="shared" si="83"/>
        <v>95</v>
      </c>
      <c r="AE38" s="16"/>
      <c r="AF38" s="95"/>
      <c r="AG38" s="67"/>
      <c r="AH38" s="67" t="s">
        <v>134</v>
      </c>
      <c r="AI38" s="67"/>
      <c r="AJ38" s="68" t="str">
        <f t="shared" si="84"/>
        <v/>
      </c>
      <c r="AK38" s="102"/>
      <c r="AL38" s="48"/>
      <c r="AM38" s="105">
        <v>90</v>
      </c>
      <c r="AN38" s="69">
        <f t="shared" si="85"/>
        <v>46221</v>
      </c>
      <c r="AO38" s="107">
        <f t="shared" si="86"/>
        <v>14</v>
      </c>
      <c r="AP38" s="48"/>
      <c r="AQ38" s="111"/>
      <c r="AR38" s="70">
        <f t="shared" si="87"/>
        <v>46221</v>
      </c>
      <c r="AS38" s="107">
        <f t="shared" si="88"/>
        <v>14</v>
      </c>
      <c r="AT38" s="48"/>
      <c r="AU38" s="113">
        <f t="shared" si="89"/>
        <v>46207</v>
      </c>
      <c r="AV38" s="119" t="str" cm="1">
        <f t="array" ref="AV38">IF(OR(G38&gt;$C$6,G38=""),$F$8,INDEX($E$8:$Z$8,MATCH(TRUE,(F38:AA38=""),0)))</f>
        <v>1. Tender Docs &amp; BOQ</v>
      </c>
      <c r="AW38" s="116" t="b">
        <f t="shared" si="90"/>
        <v>0</v>
      </c>
      <c r="AX38" s="71" t="b">
        <f t="shared" si="91"/>
        <v>0</v>
      </c>
      <c r="AY38" s="71" t="b">
        <f t="shared" si="92"/>
        <v>0</v>
      </c>
      <c r="AZ38" s="71" t="b">
        <f t="shared" si="93"/>
        <v>0</v>
      </c>
      <c r="BA38" s="71" t="b">
        <f t="shared" si="94"/>
        <v>0</v>
      </c>
      <c r="BB38" s="71" t="b">
        <f t="shared" si="95"/>
        <v>0</v>
      </c>
      <c r="BC38" s="71" t="b">
        <f t="shared" si="96"/>
        <v>0</v>
      </c>
      <c r="BD38" s="71" t="b">
        <f t="shared" si="97"/>
        <v>0</v>
      </c>
      <c r="BE38" s="71" t="b">
        <f t="shared" si="98"/>
        <v>0</v>
      </c>
      <c r="BF38" s="71" t="b">
        <f t="shared" si="99"/>
        <v>0</v>
      </c>
      <c r="BG38" s="89" t="b">
        <f t="shared" si="100"/>
        <v>0</v>
      </c>
      <c r="BH38" s="146"/>
    </row>
    <row r="39" spans="1:60" ht="26.25" x14ac:dyDescent="0.25">
      <c r="A39" s="56" cm="1">
        <f t="array" ref="A39">SUMPRODUCT(($AV$10:$AV$59&lt;&gt;"")*(ROW($AV$10:$AV$59)&lt;=ROW()))</f>
        <v>24</v>
      </c>
      <c r="B39" s="59"/>
      <c r="C39" s="60" t="s">
        <v>367</v>
      </c>
      <c r="D39" s="59" t="s">
        <v>7</v>
      </c>
      <c r="E39" s="43"/>
      <c r="F39" s="44">
        <f t="shared" si="71"/>
        <v>46126</v>
      </c>
      <c r="G39" s="45"/>
      <c r="H39" s="44">
        <f t="shared" si="72"/>
        <v>46133</v>
      </c>
      <c r="I39" s="45"/>
      <c r="J39" s="44">
        <f t="shared" si="73"/>
        <v>46139</v>
      </c>
      <c r="K39" s="45"/>
      <c r="L39" s="44">
        <f t="shared" si="74"/>
        <v>46142</v>
      </c>
      <c r="M39" s="45"/>
      <c r="N39" s="44">
        <f t="shared" si="75"/>
        <v>46172</v>
      </c>
      <c r="O39" s="45"/>
      <c r="P39" s="44">
        <f t="shared" si="76"/>
        <v>46182</v>
      </c>
      <c r="Q39" s="45"/>
      <c r="R39" s="44">
        <f t="shared" si="77"/>
        <v>46202</v>
      </c>
      <c r="S39" s="45"/>
      <c r="T39" s="44">
        <f t="shared" si="78"/>
        <v>46209</v>
      </c>
      <c r="U39" s="45"/>
      <c r="V39" s="44">
        <f t="shared" si="79"/>
        <v>46216</v>
      </c>
      <c r="W39" s="45"/>
      <c r="X39" s="44">
        <f>AN39</f>
        <v>46221</v>
      </c>
      <c r="Y39" s="45"/>
      <c r="Z39" s="46">
        <f t="shared" si="81"/>
        <v>46231</v>
      </c>
      <c r="AA39" s="45"/>
      <c r="AB39" s="32">
        <f t="shared" si="82"/>
        <v>109</v>
      </c>
      <c r="AC39" s="16"/>
      <c r="AD39" s="131">
        <f t="shared" si="53"/>
        <v>95</v>
      </c>
      <c r="AE39" s="16"/>
      <c r="AF39" s="96"/>
      <c r="AG39" s="72"/>
      <c r="AH39" s="72" t="s">
        <v>134</v>
      </c>
      <c r="AI39" s="72"/>
      <c r="AJ39" s="73" t="str">
        <f t="shared" si="84"/>
        <v/>
      </c>
      <c r="AK39" s="101"/>
      <c r="AL39" s="48"/>
      <c r="AM39" s="104">
        <v>90</v>
      </c>
      <c r="AN39" s="74">
        <f t="shared" si="85"/>
        <v>46221</v>
      </c>
      <c r="AO39" s="108">
        <f t="shared" si="86"/>
        <v>14</v>
      </c>
      <c r="AP39" s="48"/>
      <c r="AQ39" s="110"/>
      <c r="AR39" s="75">
        <f t="shared" si="87"/>
        <v>46221</v>
      </c>
      <c r="AS39" s="108">
        <f t="shared" si="88"/>
        <v>14</v>
      </c>
      <c r="AT39" s="48"/>
      <c r="AU39" s="114">
        <f>IF(Y39&gt;0,Y39,IFERROR(MAX(_xlfn.XLOOKUP($AV39,$H$8:$Z$8,$G39:$Y39),$C$6)+(AN39-_xlfn.XLOOKUP($AV39,$H$8:$Z$8,$F39:$X39))*AD39/SUM($H$7:$Y$7),$C$6+SUM(AD39)))</f>
        <v>46207</v>
      </c>
      <c r="AV39" s="120" t="str" cm="1">
        <f t="array" ref="AV39">IF(OR(G39&gt;$C$6,G39=""),$F$8,INDEX($E$8:$Z$8,MATCH(TRUE,(F39:AA39=""),0)))</f>
        <v>1. Tender Docs &amp; BOQ</v>
      </c>
      <c r="AW39" s="117" t="b">
        <f t="shared" si="90"/>
        <v>0</v>
      </c>
      <c r="AX39" s="76" t="b">
        <f t="shared" si="91"/>
        <v>0</v>
      </c>
      <c r="AY39" s="76" t="b">
        <f t="shared" si="92"/>
        <v>0</v>
      </c>
      <c r="AZ39" s="76" t="b">
        <f t="shared" si="93"/>
        <v>0</v>
      </c>
      <c r="BA39" s="76" t="b">
        <f t="shared" si="94"/>
        <v>0</v>
      </c>
      <c r="BB39" s="76" t="b">
        <f t="shared" si="95"/>
        <v>0</v>
      </c>
      <c r="BC39" s="76" t="b">
        <f t="shared" si="96"/>
        <v>0</v>
      </c>
      <c r="BD39" s="76" t="b">
        <f t="shared" si="97"/>
        <v>0</v>
      </c>
      <c r="BE39" s="76" t="b">
        <f t="shared" si="98"/>
        <v>0</v>
      </c>
      <c r="BF39" s="76" t="b">
        <f t="shared" si="99"/>
        <v>0</v>
      </c>
      <c r="BG39" s="90" t="b">
        <f t="shared" si="100"/>
        <v>0</v>
      </c>
      <c r="BH39" s="146"/>
    </row>
    <row r="40" spans="1:60" ht="26.25" x14ac:dyDescent="0.25">
      <c r="A40" s="56" cm="1">
        <f t="array" ref="A40">SUMPRODUCT(($AV$10:$AV$59&lt;&gt;"")*(ROW($AV$10:$AV$59)&lt;=ROW()))</f>
        <v>25</v>
      </c>
      <c r="B40" s="57"/>
      <c r="C40" s="58" t="s">
        <v>368</v>
      </c>
      <c r="D40" s="93" t="s">
        <v>7</v>
      </c>
      <c r="E40" s="16"/>
      <c r="F40" s="29">
        <f t="shared" si="71"/>
        <v>46126</v>
      </c>
      <c r="G40" s="42"/>
      <c r="H40" s="29">
        <f t="shared" si="72"/>
        <v>46133</v>
      </c>
      <c r="I40" s="42"/>
      <c r="J40" s="29">
        <f t="shared" si="73"/>
        <v>46139</v>
      </c>
      <c r="K40" s="42"/>
      <c r="L40" s="29">
        <f t="shared" si="74"/>
        <v>46142</v>
      </c>
      <c r="M40" s="42"/>
      <c r="N40" s="29">
        <f t="shared" si="75"/>
        <v>46172</v>
      </c>
      <c r="O40" s="42"/>
      <c r="P40" s="29">
        <f t="shared" si="76"/>
        <v>46182</v>
      </c>
      <c r="Q40" s="42"/>
      <c r="R40" s="29">
        <f t="shared" si="77"/>
        <v>46202</v>
      </c>
      <c r="S40" s="42"/>
      <c r="T40" s="29">
        <f t="shared" si="78"/>
        <v>46209</v>
      </c>
      <c r="U40" s="42"/>
      <c r="V40" s="29">
        <f t="shared" si="79"/>
        <v>46216</v>
      </c>
      <c r="W40" s="42"/>
      <c r="X40" s="29">
        <f>AN40</f>
        <v>46221</v>
      </c>
      <c r="Y40" s="42"/>
      <c r="Z40" s="30">
        <f t="shared" si="81"/>
        <v>46231</v>
      </c>
      <c r="AA40" s="42"/>
      <c r="AB40" s="31">
        <f t="shared" si="82"/>
        <v>109</v>
      </c>
      <c r="AC40" s="16"/>
      <c r="AD40" s="131">
        <f t="shared" si="53"/>
        <v>95</v>
      </c>
      <c r="AE40" s="16"/>
      <c r="AF40" s="95"/>
      <c r="AG40" s="67"/>
      <c r="AH40" s="67" t="s">
        <v>134</v>
      </c>
      <c r="AI40" s="67"/>
      <c r="AJ40" s="68" t="str">
        <f t="shared" si="84"/>
        <v/>
      </c>
      <c r="AK40" s="102"/>
      <c r="AL40" s="48"/>
      <c r="AM40" s="105">
        <v>90</v>
      </c>
      <c r="AN40" s="69">
        <f t="shared" si="85"/>
        <v>46221</v>
      </c>
      <c r="AO40" s="107">
        <f t="shared" si="86"/>
        <v>14</v>
      </c>
      <c r="AP40" s="48"/>
      <c r="AQ40" s="111"/>
      <c r="AR40" s="70">
        <f t="shared" si="87"/>
        <v>46221</v>
      </c>
      <c r="AS40" s="107">
        <f t="shared" si="88"/>
        <v>14</v>
      </c>
      <c r="AT40" s="48"/>
      <c r="AU40" s="113">
        <f>IF(Y40&gt;0,Y40,IFERROR(MAX(_xlfn.XLOOKUP($AV40,$H$8:$Z$8,$G40:$Y40),$C$6)+(AN40-_xlfn.XLOOKUP($AV40,$H$8:$Z$8,$F40:$X40))*AD40/SUM($H$7:$Y$7),$C$6+SUM(AD40)))</f>
        <v>46207</v>
      </c>
      <c r="AV40" s="119" t="str" cm="1">
        <f t="array" ref="AV40">IF(OR(G40&gt;$C$6,G40=""),$F$8,INDEX($E$8:$Z$8,MATCH(TRUE,(F40:AA40=""),0)))</f>
        <v>1. Tender Docs &amp; BOQ</v>
      </c>
      <c r="AW40" s="116" t="b">
        <f t="shared" si="90"/>
        <v>0</v>
      </c>
      <c r="AX40" s="71" t="b">
        <f t="shared" si="91"/>
        <v>0</v>
      </c>
      <c r="AY40" s="71" t="b">
        <f t="shared" si="92"/>
        <v>0</v>
      </c>
      <c r="AZ40" s="71" t="b">
        <f t="shared" si="93"/>
        <v>0</v>
      </c>
      <c r="BA40" s="71" t="b">
        <f t="shared" si="94"/>
        <v>0</v>
      </c>
      <c r="BB40" s="71" t="b">
        <f t="shared" si="95"/>
        <v>0</v>
      </c>
      <c r="BC40" s="71" t="b">
        <f t="shared" si="96"/>
        <v>0</v>
      </c>
      <c r="BD40" s="71" t="b">
        <f t="shared" si="97"/>
        <v>0</v>
      </c>
      <c r="BE40" s="71" t="b">
        <f t="shared" si="98"/>
        <v>0</v>
      </c>
      <c r="BF40" s="71" t="b">
        <f t="shared" si="99"/>
        <v>0</v>
      </c>
      <c r="BG40" s="89" t="b">
        <f t="shared" si="100"/>
        <v>0</v>
      </c>
      <c r="BH40" s="146"/>
    </row>
    <row r="41" spans="1:60" ht="26.25" x14ac:dyDescent="0.25">
      <c r="A41" s="56" cm="1">
        <f t="array" ref="A41">SUMPRODUCT(($AV$10:$AV$59&lt;&gt;"")*(ROW($AV$10:$AV$59)&lt;=ROW()))</f>
        <v>26</v>
      </c>
      <c r="B41" s="59"/>
      <c r="C41" s="60" t="s">
        <v>369</v>
      </c>
      <c r="D41" s="59" t="s">
        <v>13</v>
      </c>
      <c r="E41" s="43"/>
      <c r="F41" s="44">
        <f t="shared" si="71"/>
        <v>46126</v>
      </c>
      <c r="G41" s="45"/>
      <c r="H41" s="44">
        <f t="shared" si="72"/>
        <v>46133</v>
      </c>
      <c r="I41" s="45"/>
      <c r="J41" s="44">
        <f t="shared" si="73"/>
        <v>46139</v>
      </c>
      <c r="K41" s="45"/>
      <c r="L41" s="44">
        <f t="shared" si="74"/>
        <v>46142</v>
      </c>
      <c r="M41" s="45"/>
      <c r="N41" s="44">
        <f t="shared" si="75"/>
        <v>46172</v>
      </c>
      <c r="O41" s="45"/>
      <c r="P41" s="44">
        <f t="shared" si="76"/>
        <v>46182</v>
      </c>
      <c r="Q41" s="45"/>
      <c r="R41" s="44">
        <f t="shared" si="77"/>
        <v>46202</v>
      </c>
      <c r="S41" s="45"/>
      <c r="T41" s="44">
        <f t="shared" si="78"/>
        <v>46209</v>
      </c>
      <c r="U41" s="45"/>
      <c r="V41" s="44">
        <f t="shared" si="79"/>
        <v>46216</v>
      </c>
      <c r="W41" s="45"/>
      <c r="X41" s="44">
        <f>AN41</f>
        <v>46221</v>
      </c>
      <c r="Y41" s="45"/>
      <c r="Z41" s="46">
        <f t="shared" si="81"/>
        <v>46231</v>
      </c>
      <c r="AA41" s="45"/>
      <c r="AB41" s="32">
        <f t="shared" si="82"/>
        <v>109</v>
      </c>
      <c r="AC41" s="16"/>
      <c r="AD41" s="131">
        <f t="shared" si="53"/>
        <v>95</v>
      </c>
      <c r="AE41" s="16"/>
      <c r="AF41" s="96"/>
      <c r="AG41" s="72"/>
      <c r="AH41" s="72" t="s">
        <v>134</v>
      </c>
      <c r="AI41" s="72"/>
      <c r="AJ41" s="73" t="str">
        <f t="shared" si="84"/>
        <v/>
      </c>
      <c r="AK41" s="101"/>
      <c r="AL41" s="48"/>
      <c r="AM41" s="104">
        <v>90</v>
      </c>
      <c r="AN41" s="74">
        <f t="shared" si="85"/>
        <v>46221</v>
      </c>
      <c r="AO41" s="108">
        <f t="shared" si="86"/>
        <v>14</v>
      </c>
      <c r="AP41" s="48"/>
      <c r="AQ41" s="110"/>
      <c r="AR41" s="75">
        <f t="shared" si="87"/>
        <v>46221</v>
      </c>
      <c r="AS41" s="108">
        <f t="shared" si="88"/>
        <v>14</v>
      </c>
      <c r="AT41" s="48"/>
      <c r="AU41" s="114">
        <f>IF(Y41&gt;0,Y41,IFERROR(MAX(_xlfn.XLOOKUP($AV41,$H$8:$Z$8,$G41:$Y41),$C$6)+(AN41-_xlfn.XLOOKUP($AV41,$H$8:$Z$8,$F41:$X41))*AD41/SUM($H$7:$Y$7),$C$6+SUM(AD41)))</f>
        <v>46207</v>
      </c>
      <c r="AV41" s="120" t="str" cm="1">
        <f t="array" ref="AV41">IF(OR(G41&gt;$C$6,G41=""),$F$8,INDEX($E$8:$Z$8,MATCH(TRUE,(F41:AA41=""),0)))</f>
        <v>1. Tender Docs &amp; BOQ</v>
      </c>
      <c r="AW41" s="117" t="b">
        <f t="shared" si="90"/>
        <v>0</v>
      </c>
      <c r="AX41" s="76" t="b">
        <f t="shared" si="91"/>
        <v>0</v>
      </c>
      <c r="AY41" s="76" t="b">
        <f t="shared" si="92"/>
        <v>0</v>
      </c>
      <c r="AZ41" s="76" t="b">
        <f t="shared" si="93"/>
        <v>0</v>
      </c>
      <c r="BA41" s="76" t="b">
        <f t="shared" si="94"/>
        <v>0</v>
      </c>
      <c r="BB41" s="76" t="b">
        <f t="shared" si="95"/>
        <v>0</v>
      </c>
      <c r="BC41" s="76" t="b">
        <f t="shared" si="96"/>
        <v>0</v>
      </c>
      <c r="BD41" s="76" t="b">
        <f t="shared" si="97"/>
        <v>0</v>
      </c>
      <c r="BE41" s="76" t="b">
        <f t="shared" si="98"/>
        <v>0</v>
      </c>
      <c r="BF41" s="76" t="b">
        <f t="shared" si="99"/>
        <v>0</v>
      </c>
      <c r="BG41" s="90" t="b">
        <f t="shared" si="100"/>
        <v>0</v>
      </c>
      <c r="BH41" s="48"/>
    </row>
    <row r="42" spans="1:60" ht="26.25" x14ac:dyDescent="0.25">
      <c r="A42" s="56" cm="1">
        <f t="array" ref="A42">SUMPRODUCT(($AV$10:$AV$59&lt;&gt;"")*(ROW($AV$10:$AV$59)&lt;=ROW()))</f>
        <v>27</v>
      </c>
      <c r="B42" s="57"/>
      <c r="C42" s="58" t="s">
        <v>370</v>
      </c>
      <c r="D42" s="93" t="s">
        <v>107</v>
      </c>
      <c r="E42" s="16"/>
      <c r="F42" s="29">
        <f t="shared" si="71"/>
        <v>46126</v>
      </c>
      <c r="G42" s="42"/>
      <c r="H42" s="29">
        <f t="shared" si="72"/>
        <v>46133</v>
      </c>
      <c r="I42" s="42"/>
      <c r="J42" s="29">
        <f t="shared" si="73"/>
        <v>46139</v>
      </c>
      <c r="K42" s="42"/>
      <c r="L42" s="29">
        <f t="shared" si="74"/>
        <v>46142</v>
      </c>
      <c r="M42" s="42"/>
      <c r="N42" s="29">
        <f t="shared" si="75"/>
        <v>46172</v>
      </c>
      <c r="O42" s="42"/>
      <c r="P42" s="29">
        <f t="shared" si="76"/>
        <v>46182</v>
      </c>
      <c r="Q42" s="42"/>
      <c r="R42" s="29">
        <f t="shared" si="77"/>
        <v>46202</v>
      </c>
      <c r="S42" s="42"/>
      <c r="T42" s="29">
        <f t="shared" si="78"/>
        <v>46209</v>
      </c>
      <c r="U42" s="42"/>
      <c r="V42" s="29">
        <f t="shared" si="79"/>
        <v>46216</v>
      </c>
      <c r="W42" s="42"/>
      <c r="X42" s="29">
        <f>AN42</f>
        <v>46221</v>
      </c>
      <c r="Y42" s="42"/>
      <c r="Z42" s="30">
        <f t="shared" si="81"/>
        <v>46231</v>
      </c>
      <c r="AA42" s="42"/>
      <c r="AB42" s="31">
        <f t="shared" si="82"/>
        <v>109</v>
      </c>
      <c r="AC42" s="16"/>
      <c r="AD42" s="131">
        <f t="shared" si="53"/>
        <v>95</v>
      </c>
      <c r="AE42" s="16"/>
      <c r="AF42" s="95"/>
      <c r="AG42" s="67"/>
      <c r="AH42" s="67" t="s">
        <v>134</v>
      </c>
      <c r="AI42" s="67"/>
      <c r="AJ42" s="68" t="str">
        <f t="shared" si="84"/>
        <v/>
      </c>
      <c r="AK42" s="102"/>
      <c r="AL42" s="48"/>
      <c r="AM42" s="105">
        <v>90</v>
      </c>
      <c r="AN42" s="69">
        <f t="shared" si="85"/>
        <v>46221</v>
      </c>
      <c r="AO42" s="107">
        <f t="shared" si="86"/>
        <v>14</v>
      </c>
      <c r="AP42" s="48"/>
      <c r="AQ42" s="111"/>
      <c r="AR42" s="70">
        <f t="shared" si="87"/>
        <v>46221</v>
      </c>
      <c r="AS42" s="107">
        <f t="shared" si="88"/>
        <v>14</v>
      </c>
      <c r="AT42" s="48"/>
      <c r="AU42" s="113">
        <f>IF(Y42&gt;0,Y42,IFERROR(MAX(_xlfn.XLOOKUP($AV42,$H$8:$Z$8,$G42:$Y42),$C$6)+(AN42-_xlfn.XLOOKUP($AV42,$H$8:$Z$8,$F42:$X42))*AD42/SUM($H$7:$Y$7),$C$6+SUM(AD42)))</f>
        <v>46207</v>
      </c>
      <c r="AV42" s="119" t="str" cm="1">
        <f t="array" ref="AV42">IF(OR(G42&gt;$C$6,G42=""),$F$8,INDEX($E$8:$Z$8,MATCH(TRUE,(F42:AA42=""),0)))</f>
        <v>1. Tender Docs &amp; BOQ</v>
      </c>
      <c r="AW42" s="116" t="b">
        <f t="shared" si="90"/>
        <v>0</v>
      </c>
      <c r="AX42" s="71" t="b">
        <f t="shared" si="91"/>
        <v>0</v>
      </c>
      <c r="AY42" s="71" t="b">
        <f t="shared" si="92"/>
        <v>0</v>
      </c>
      <c r="AZ42" s="71" t="b">
        <f t="shared" si="93"/>
        <v>0</v>
      </c>
      <c r="BA42" s="71" t="b">
        <f t="shared" si="94"/>
        <v>0</v>
      </c>
      <c r="BB42" s="71" t="b">
        <f t="shared" si="95"/>
        <v>0</v>
      </c>
      <c r="BC42" s="71" t="b">
        <f t="shared" si="96"/>
        <v>0</v>
      </c>
      <c r="BD42" s="71" t="b">
        <f t="shared" si="97"/>
        <v>0</v>
      </c>
      <c r="BE42" s="71" t="b">
        <f t="shared" si="98"/>
        <v>0</v>
      </c>
      <c r="BF42" s="71" t="b">
        <f t="shared" si="99"/>
        <v>0</v>
      </c>
      <c r="BG42" s="89" t="b">
        <f t="shared" si="100"/>
        <v>0</v>
      </c>
      <c r="BH42" s="48"/>
    </row>
    <row r="43" spans="1:60" ht="26.25" x14ac:dyDescent="0.25">
      <c r="A43" s="56" cm="1">
        <f t="array" ref="A43">SUMPRODUCT(($AV$10:$AV$59&lt;&gt;"")*(ROW($AV$10:$AV$59)&lt;=ROW()))</f>
        <v>28</v>
      </c>
      <c r="B43" s="59"/>
      <c r="C43" s="60" t="s">
        <v>338</v>
      </c>
      <c r="D43" s="59" t="s">
        <v>107</v>
      </c>
      <c r="E43" s="43"/>
      <c r="F43" s="44">
        <f t="shared" si="71"/>
        <v>46126</v>
      </c>
      <c r="G43" s="45"/>
      <c r="H43" s="44">
        <f t="shared" si="72"/>
        <v>46133</v>
      </c>
      <c r="I43" s="45"/>
      <c r="J43" s="44">
        <f t="shared" si="73"/>
        <v>46139</v>
      </c>
      <c r="K43" s="45"/>
      <c r="L43" s="44">
        <f t="shared" si="74"/>
        <v>46142</v>
      </c>
      <c r="M43" s="45"/>
      <c r="N43" s="44">
        <f t="shared" si="75"/>
        <v>46172</v>
      </c>
      <c r="O43" s="45"/>
      <c r="P43" s="44">
        <f t="shared" si="76"/>
        <v>46182</v>
      </c>
      <c r="Q43" s="45"/>
      <c r="R43" s="44">
        <f t="shared" si="77"/>
        <v>46202</v>
      </c>
      <c r="S43" s="45"/>
      <c r="T43" s="44">
        <f t="shared" si="78"/>
        <v>46209</v>
      </c>
      <c r="U43" s="45"/>
      <c r="V43" s="44">
        <f t="shared" si="79"/>
        <v>46216</v>
      </c>
      <c r="W43" s="45"/>
      <c r="X43" s="44">
        <f t="shared" ref="X43:X44" si="101">AN43</f>
        <v>46221</v>
      </c>
      <c r="Y43" s="45"/>
      <c r="Z43" s="46">
        <f t="shared" si="81"/>
        <v>46231</v>
      </c>
      <c r="AA43" s="45"/>
      <c r="AB43" s="32">
        <f t="shared" si="82"/>
        <v>109</v>
      </c>
      <c r="AC43" s="16"/>
      <c r="AD43" s="131">
        <f t="shared" si="53"/>
        <v>95</v>
      </c>
      <c r="AE43" s="16"/>
      <c r="AF43" s="96"/>
      <c r="AG43" s="72"/>
      <c r="AH43" s="72" t="s">
        <v>134</v>
      </c>
      <c r="AI43" s="72"/>
      <c r="AJ43" s="73" t="str">
        <f t="shared" si="84"/>
        <v/>
      </c>
      <c r="AK43" s="101"/>
      <c r="AL43" s="48"/>
      <c r="AM43" s="104">
        <v>90</v>
      </c>
      <c r="AN43" s="74">
        <f t="shared" si="85"/>
        <v>46221</v>
      </c>
      <c r="AO43" s="108">
        <f t="shared" si="86"/>
        <v>14</v>
      </c>
      <c r="AP43" s="48"/>
      <c r="AQ43" s="110"/>
      <c r="AR43" s="75">
        <f t="shared" si="87"/>
        <v>46221</v>
      </c>
      <c r="AS43" s="108">
        <f t="shared" si="88"/>
        <v>14</v>
      </c>
      <c r="AT43" s="48"/>
      <c r="AU43" s="114">
        <f t="shared" ref="AU43:AU44" si="102">IF(Y43&gt;0,Y43,IFERROR(MAX(_xlfn.XLOOKUP($AV43,$H$8:$Z$8,$G43:$Y43),$C$6)+(AN43-_xlfn.XLOOKUP($AV43,$H$8:$Z$8,$F43:$X43))*AD43/SUM($H$7:$Y$7),$C$6+SUM(AD43)))</f>
        <v>46207</v>
      </c>
      <c r="AV43" s="120" t="str" cm="1">
        <f t="array" ref="AV43">IF(OR(G43&gt;$C$6,G43=""),$F$8,INDEX($E$8:$Z$8,MATCH(TRUE,(F43:AA43=""),0)))</f>
        <v>1. Tender Docs &amp; BOQ</v>
      </c>
      <c r="AW43" s="117" t="b">
        <f t="shared" si="90"/>
        <v>0</v>
      </c>
      <c r="AX43" s="76" t="b">
        <f t="shared" si="91"/>
        <v>0</v>
      </c>
      <c r="AY43" s="76" t="b">
        <f t="shared" si="92"/>
        <v>0</v>
      </c>
      <c r="AZ43" s="76" t="b">
        <f t="shared" si="93"/>
        <v>0</v>
      </c>
      <c r="BA43" s="76" t="b">
        <f t="shared" si="94"/>
        <v>0</v>
      </c>
      <c r="BB43" s="76" t="b">
        <f t="shared" si="95"/>
        <v>0</v>
      </c>
      <c r="BC43" s="76" t="b">
        <f t="shared" si="96"/>
        <v>0</v>
      </c>
      <c r="BD43" s="76" t="b">
        <f t="shared" si="97"/>
        <v>0</v>
      </c>
      <c r="BE43" s="76" t="b">
        <f t="shared" si="98"/>
        <v>0</v>
      </c>
      <c r="BF43" s="76" t="b">
        <f t="shared" si="99"/>
        <v>0</v>
      </c>
      <c r="BG43" s="90" t="b">
        <f t="shared" si="100"/>
        <v>0</v>
      </c>
      <c r="BH43" s="48"/>
    </row>
    <row r="44" spans="1:60" ht="26.25" x14ac:dyDescent="0.25">
      <c r="A44" s="56" cm="1">
        <f t="array" ref="A44">SUMPRODUCT(($AV$10:$AV$59&lt;&gt;"")*(ROW($AV$10:$AV$59)&lt;=ROW()))</f>
        <v>29</v>
      </c>
      <c r="B44" s="57"/>
      <c r="C44" s="58" t="s">
        <v>371</v>
      </c>
      <c r="D44" s="93" t="s">
        <v>13</v>
      </c>
      <c r="E44" s="16"/>
      <c r="F44" s="29">
        <f t="shared" si="71"/>
        <v>46156</v>
      </c>
      <c r="G44" s="42"/>
      <c r="H44" s="29">
        <f t="shared" si="72"/>
        <v>46163</v>
      </c>
      <c r="I44" s="42"/>
      <c r="J44" s="29">
        <f t="shared" si="73"/>
        <v>46169</v>
      </c>
      <c r="K44" s="42"/>
      <c r="L44" s="29">
        <f t="shared" si="74"/>
        <v>46172</v>
      </c>
      <c r="M44" s="42"/>
      <c r="N44" s="29">
        <f t="shared" si="75"/>
        <v>46202</v>
      </c>
      <c r="O44" s="42"/>
      <c r="P44" s="29">
        <f t="shared" si="76"/>
        <v>46212</v>
      </c>
      <c r="Q44" s="42"/>
      <c r="R44" s="29">
        <f t="shared" si="77"/>
        <v>46232</v>
      </c>
      <c r="S44" s="42"/>
      <c r="T44" s="29">
        <f t="shared" si="78"/>
        <v>46239</v>
      </c>
      <c r="U44" s="42"/>
      <c r="V44" s="29">
        <f t="shared" si="79"/>
        <v>46246</v>
      </c>
      <c r="W44" s="42"/>
      <c r="X44" s="29">
        <f t="shared" si="101"/>
        <v>46251</v>
      </c>
      <c r="Y44" s="42"/>
      <c r="Z44" s="30">
        <f t="shared" si="81"/>
        <v>46261</v>
      </c>
      <c r="AA44" s="42"/>
      <c r="AB44" s="31">
        <f t="shared" si="82"/>
        <v>139</v>
      </c>
      <c r="AC44" s="16"/>
      <c r="AD44" s="131">
        <f t="shared" si="53"/>
        <v>95</v>
      </c>
      <c r="AE44" s="16"/>
      <c r="AF44" s="95"/>
      <c r="AG44" s="67"/>
      <c r="AH44" s="67">
        <v>5614664</v>
      </c>
      <c r="AI44" s="67"/>
      <c r="AJ44" s="68" t="str">
        <f t="shared" si="84"/>
        <v/>
      </c>
      <c r="AK44" s="102"/>
      <c r="AL44" s="48"/>
      <c r="AM44" s="105">
        <v>120</v>
      </c>
      <c r="AN44" s="69">
        <f t="shared" si="85"/>
        <v>46251</v>
      </c>
      <c r="AO44" s="107">
        <f t="shared" si="86"/>
        <v>44</v>
      </c>
      <c r="AP44" s="48"/>
      <c r="AQ44" s="111"/>
      <c r="AR44" s="70">
        <f t="shared" si="87"/>
        <v>46251</v>
      </c>
      <c r="AS44" s="107">
        <f t="shared" si="88"/>
        <v>44</v>
      </c>
      <c r="AT44" s="48"/>
      <c r="AU44" s="113">
        <f t="shared" si="102"/>
        <v>46207</v>
      </c>
      <c r="AV44" s="119" t="str" cm="1">
        <f t="array" ref="AV44">IF(OR(G44&gt;$C$6,G44=""),$F$8,INDEX($E$8:$Z$8,MATCH(TRUE,(F44:AA44=""),0)))</f>
        <v>1. Tender Docs &amp; BOQ</v>
      </c>
      <c r="AW44" s="116" t="b">
        <f t="shared" si="90"/>
        <v>0</v>
      </c>
      <c r="AX44" s="71" t="b">
        <f t="shared" si="91"/>
        <v>0</v>
      </c>
      <c r="AY44" s="71" t="b">
        <f t="shared" si="92"/>
        <v>0</v>
      </c>
      <c r="AZ44" s="71" t="b">
        <f t="shared" si="93"/>
        <v>0</v>
      </c>
      <c r="BA44" s="71" t="b">
        <f t="shared" si="94"/>
        <v>0</v>
      </c>
      <c r="BB44" s="71" t="b">
        <f t="shared" si="95"/>
        <v>0</v>
      </c>
      <c r="BC44" s="71" t="b">
        <f t="shared" si="96"/>
        <v>0</v>
      </c>
      <c r="BD44" s="71" t="b">
        <f t="shared" si="97"/>
        <v>0</v>
      </c>
      <c r="BE44" s="71" t="b">
        <f t="shared" si="98"/>
        <v>0</v>
      </c>
      <c r="BF44" s="71" t="b">
        <f t="shared" si="99"/>
        <v>0</v>
      </c>
      <c r="BG44" s="89" t="b">
        <f t="shared" si="100"/>
        <v>0</v>
      </c>
      <c r="BH44" s="48"/>
    </row>
    <row r="45" spans="1:60" ht="26.25" x14ac:dyDescent="0.25">
      <c r="A45" s="56" cm="1">
        <f t="array" ref="A45">SUMPRODUCT(($AV$10:$AV$59&lt;&gt;"")*(ROW($AV$10:$AV$59)&lt;=ROW()))</f>
        <v>30</v>
      </c>
      <c r="B45" s="59"/>
      <c r="C45" s="60" t="s">
        <v>372</v>
      </c>
      <c r="D45" s="59"/>
      <c r="E45" s="43"/>
      <c r="F45" s="44">
        <f t="shared" si="71"/>
        <v>46156</v>
      </c>
      <c r="G45" s="45"/>
      <c r="H45" s="44">
        <f t="shared" si="72"/>
        <v>46163</v>
      </c>
      <c r="I45" s="45"/>
      <c r="J45" s="44">
        <f t="shared" si="73"/>
        <v>46169</v>
      </c>
      <c r="K45" s="45"/>
      <c r="L45" s="44">
        <f t="shared" si="74"/>
        <v>46172</v>
      </c>
      <c r="M45" s="45"/>
      <c r="N45" s="44">
        <f t="shared" si="75"/>
        <v>46202</v>
      </c>
      <c r="O45" s="45"/>
      <c r="P45" s="44">
        <f t="shared" si="76"/>
        <v>46212</v>
      </c>
      <c r="Q45" s="45"/>
      <c r="R45" s="44">
        <f t="shared" si="77"/>
        <v>46232</v>
      </c>
      <c r="S45" s="45"/>
      <c r="T45" s="44">
        <f t="shared" si="78"/>
        <v>46239</v>
      </c>
      <c r="U45" s="45"/>
      <c r="V45" s="44">
        <f t="shared" si="79"/>
        <v>46246</v>
      </c>
      <c r="W45" s="45"/>
      <c r="X45" s="44">
        <f>AN45</f>
        <v>46251</v>
      </c>
      <c r="Y45" s="45"/>
      <c r="Z45" s="46">
        <f t="shared" si="81"/>
        <v>46261</v>
      </c>
      <c r="AA45" s="45"/>
      <c r="AB45" s="32">
        <f t="shared" si="82"/>
        <v>139</v>
      </c>
      <c r="AC45" s="16"/>
      <c r="AD45" s="131">
        <f t="shared" si="53"/>
        <v>95</v>
      </c>
      <c r="AE45" s="16"/>
      <c r="AF45" s="96"/>
      <c r="AG45" s="72"/>
      <c r="AH45" s="72" t="s">
        <v>134</v>
      </c>
      <c r="AI45" s="72"/>
      <c r="AJ45" s="73" t="str">
        <f t="shared" si="84"/>
        <v/>
      </c>
      <c r="AK45" s="101"/>
      <c r="AL45" s="48"/>
      <c r="AM45" s="104">
        <v>120</v>
      </c>
      <c r="AN45" s="74">
        <f t="shared" si="85"/>
        <v>46251</v>
      </c>
      <c r="AO45" s="108">
        <f t="shared" si="86"/>
        <v>44</v>
      </c>
      <c r="AP45" s="48"/>
      <c r="AQ45" s="110"/>
      <c r="AR45" s="75">
        <f t="shared" si="87"/>
        <v>46251</v>
      </c>
      <c r="AS45" s="108">
        <f t="shared" si="88"/>
        <v>44</v>
      </c>
      <c r="AT45" s="48"/>
      <c r="AU45" s="114">
        <f>IF(Y45&gt;0,Y45,IFERROR(MAX(_xlfn.XLOOKUP($AV45,$H$8:$Z$8,$G45:$Y45),$C$6)+(AN45-_xlfn.XLOOKUP($AV45,$H$8:$Z$8,$F45:$X45))*AD45/SUM($H$7:$Y$7),$C$6+SUM(AD45)))</f>
        <v>46207</v>
      </c>
      <c r="AV45" s="120" t="str" cm="1">
        <f t="array" ref="AV45">IF(OR(G45&gt;$C$6,G45=""),$F$8,INDEX($E$8:$Z$8,MATCH(TRUE,(F45:AA45=""),0)))</f>
        <v>1. Tender Docs &amp; BOQ</v>
      </c>
      <c r="AW45" s="117" t="b">
        <f t="shared" si="90"/>
        <v>0</v>
      </c>
      <c r="AX45" s="76" t="b">
        <f t="shared" si="91"/>
        <v>0</v>
      </c>
      <c r="AY45" s="76" t="b">
        <f t="shared" si="92"/>
        <v>0</v>
      </c>
      <c r="AZ45" s="76" t="b">
        <f t="shared" si="93"/>
        <v>0</v>
      </c>
      <c r="BA45" s="76" t="b">
        <f t="shared" si="94"/>
        <v>0</v>
      </c>
      <c r="BB45" s="76" t="b">
        <f t="shared" si="95"/>
        <v>0</v>
      </c>
      <c r="BC45" s="76" t="b">
        <f t="shared" si="96"/>
        <v>0</v>
      </c>
      <c r="BD45" s="76" t="b">
        <f t="shared" si="97"/>
        <v>0</v>
      </c>
      <c r="BE45" s="76" t="b">
        <f t="shared" si="98"/>
        <v>0</v>
      </c>
      <c r="BF45" s="76" t="b">
        <f t="shared" si="99"/>
        <v>0</v>
      </c>
      <c r="BG45" s="90" t="b">
        <f t="shared" si="100"/>
        <v>0</v>
      </c>
      <c r="BH45" s="48"/>
    </row>
    <row r="46" spans="1:60" ht="26.25" x14ac:dyDescent="0.25">
      <c r="A46" s="56" cm="1">
        <f t="array" ref="A46">SUMPRODUCT(($AV$10:$AV$59&lt;&gt;"")*(ROW($AV$10:$AV$59)&lt;=ROW()))</f>
        <v>31</v>
      </c>
      <c r="B46" s="57"/>
      <c r="C46" s="58" t="s">
        <v>373</v>
      </c>
      <c r="D46" s="93"/>
      <c r="E46" s="16"/>
      <c r="F46" s="29">
        <f t="shared" si="71"/>
        <v>46156</v>
      </c>
      <c r="G46" s="42"/>
      <c r="H46" s="29">
        <f t="shared" si="72"/>
        <v>46163</v>
      </c>
      <c r="I46" s="42"/>
      <c r="J46" s="29">
        <f t="shared" si="73"/>
        <v>46169</v>
      </c>
      <c r="K46" s="42"/>
      <c r="L46" s="29">
        <f t="shared" si="74"/>
        <v>46172</v>
      </c>
      <c r="M46" s="42"/>
      <c r="N46" s="29">
        <f t="shared" si="75"/>
        <v>46202</v>
      </c>
      <c r="O46" s="42"/>
      <c r="P46" s="29">
        <f t="shared" si="76"/>
        <v>46212</v>
      </c>
      <c r="Q46" s="42"/>
      <c r="R46" s="29">
        <f t="shared" si="77"/>
        <v>46232</v>
      </c>
      <c r="S46" s="42"/>
      <c r="T46" s="29">
        <f t="shared" si="78"/>
        <v>46239</v>
      </c>
      <c r="U46" s="42"/>
      <c r="V46" s="29">
        <f t="shared" si="79"/>
        <v>46246</v>
      </c>
      <c r="W46" s="42"/>
      <c r="X46" s="29">
        <f>AN46</f>
        <v>46251</v>
      </c>
      <c r="Y46" s="42"/>
      <c r="Z46" s="30">
        <f t="shared" si="81"/>
        <v>46261</v>
      </c>
      <c r="AA46" s="42"/>
      <c r="AB46" s="31">
        <f t="shared" si="82"/>
        <v>139</v>
      </c>
      <c r="AC46" s="16"/>
      <c r="AD46" s="131">
        <f t="shared" si="53"/>
        <v>95</v>
      </c>
      <c r="AE46" s="16"/>
      <c r="AF46" s="95"/>
      <c r="AG46" s="67"/>
      <c r="AH46" s="67" t="s">
        <v>134</v>
      </c>
      <c r="AI46" s="67"/>
      <c r="AJ46" s="68" t="str">
        <f t="shared" si="84"/>
        <v/>
      </c>
      <c r="AK46" s="102"/>
      <c r="AL46" s="48"/>
      <c r="AM46" s="105">
        <v>120</v>
      </c>
      <c r="AN46" s="69">
        <f t="shared" si="85"/>
        <v>46251</v>
      </c>
      <c r="AO46" s="107">
        <f t="shared" si="86"/>
        <v>44</v>
      </c>
      <c r="AP46" s="48"/>
      <c r="AQ46" s="111"/>
      <c r="AR46" s="70">
        <f t="shared" si="87"/>
        <v>46251</v>
      </c>
      <c r="AS46" s="107">
        <f t="shared" si="88"/>
        <v>44</v>
      </c>
      <c r="AT46" s="48"/>
      <c r="AU46" s="113">
        <f>IF(Y46&gt;0,Y46,IFERROR(MAX(_xlfn.XLOOKUP($AV46,$H$8:$Z$8,$G46:$Y46),$C$6)+(AN46-_xlfn.XLOOKUP($AV46,$H$8:$Z$8,$F46:$X46))*AD46/SUM($H$7:$Y$7),$C$6+SUM(AD46)))</f>
        <v>46207</v>
      </c>
      <c r="AV46" s="119" t="str" cm="1">
        <f t="array" ref="AV46">IF(OR(G46&gt;$C$6,G46=""),$F$8,INDEX($E$8:$Z$8,MATCH(TRUE,(F46:AA46=""),0)))</f>
        <v>1. Tender Docs &amp; BOQ</v>
      </c>
      <c r="AW46" s="116" t="b">
        <f t="shared" si="90"/>
        <v>0</v>
      </c>
      <c r="AX46" s="71" t="b">
        <f t="shared" si="91"/>
        <v>0</v>
      </c>
      <c r="AY46" s="71" t="b">
        <f t="shared" si="92"/>
        <v>0</v>
      </c>
      <c r="AZ46" s="71" t="b">
        <f t="shared" si="93"/>
        <v>0</v>
      </c>
      <c r="BA46" s="71" t="b">
        <f t="shared" si="94"/>
        <v>0</v>
      </c>
      <c r="BB46" s="71" t="b">
        <f t="shared" si="95"/>
        <v>0</v>
      </c>
      <c r="BC46" s="71" t="b">
        <f t="shared" si="96"/>
        <v>0</v>
      </c>
      <c r="BD46" s="71" t="b">
        <f t="shared" si="97"/>
        <v>0</v>
      </c>
      <c r="BE46" s="71" t="b">
        <f t="shared" si="98"/>
        <v>0</v>
      </c>
      <c r="BF46" s="71" t="b">
        <f t="shared" si="99"/>
        <v>0</v>
      </c>
      <c r="BG46" s="89" t="b">
        <f t="shared" si="100"/>
        <v>0</v>
      </c>
      <c r="BH46" s="48"/>
    </row>
    <row r="47" spans="1:60" ht="26.25" x14ac:dyDescent="0.25">
      <c r="A47" s="56" cm="1">
        <f t="array" ref="A47">SUMPRODUCT(($AV$10:$AV$59&lt;&gt;"")*(ROW($AV$10:$AV$59)&lt;=ROW()))</f>
        <v>32</v>
      </c>
      <c r="B47" s="59"/>
      <c r="C47" s="60" t="s">
        <v>289</v>
      </c>
      <c r="D47" s="59" t="s">
        <v>3</v>
      </c>
      <c r="E47" s="43"/>
      <c r="F47" s="44">
        <f t="shared" si="71"/>
        <v>46156</v>
      </c>
      <c r="G47" s="45"/>
      <c r="H47" s="44">
        <f t="shared" si="72"/>
        <v>46163</v>
      </c>
      <c r="I47" s="45"/>
      <c r="J47" s="44">
        <f t="shared" si="73"/>
        <v>46169</v>
      </c>
      <c r="K47" s="45"/>
      <c r="L47" s="44">
        <f t="shared" si="74"/>
        <v>46172</v>
      </c>
      <c r="M47" s="45"/>
      <c r="N47" s="44">
        <f t="shared" si="75"/>
        <v>46202</v>
      </c>
      <c r="O47" s="45"/>
      <c r="P47" s="44">
        <f t="shared" si="76"/>
        <v>46212</v>
      </c>
      <c r="Q47" s="45"/>
      <c r="R47" s="44">
        <f t="shared" si="77"/>
        <v>46232</v>
      </c>
      <c r="S47" s="45"/>
      <c r="T47" s="44">
        <f t="shared" si="78"/>
        <v>46239</v>
      </c>
      <c r="U47" s="45"/>
      <c r="V47" s="44">
        <f t="shared" si="79"/>
        <v>46246</v>
      </c>
      <c r="W47" s="45"/>
      <c r="X47" s="44">
        <f>AN47</f>
        <v>46251</v>
      </c>
      <c r="Y47" s="45"/>
      <c r="Z47" s="46">
        <f t="shared" si="81"/>
        <v>46261</v>
      </c>
      <c r="AA47" s="45"/>
      <c r="AB47" s="32">
        <f t="shared" si="82"/>
        <v>139</v>
      </c>
      <c r="AC47" s="16"/>
      <c r="AD47" s="131">
        <f t="shared" si="53"/>
        <v>95</v>
      </c>
      <c r="AE47" s="16"/>
      <c r="AF47" s="96"/>
      <c r="AG47" s="72"/>
      <c r="AH47" s="72" t="s">
        <v>134</v>
      </c>
      <c r="AI47" s="72"/>
      <c r="AJ47" s="73" t="str">
        <f t="shared" si="84"/>
        <v/>
      </c>
      <c r="AK47" s="101"/>
      <c r="AL47" s="48"/>
      <c r="AM47" s="104">
        <v>120</v>
      </c>
      <c r="AN47" s="74">
        <f t="shared" si="85"/>
        <v>46251</v>
      </c>
      <c r="AO47" s="108">
        <f t="shared" si="86"/>
        <v>44</v>
      </c>
      <c r="AP47" s="48"/>
      <c r="AQ47" s="110"/>
      <c r="AR47" s="75">
        <f t="shared" si="87"/>
        <v>46251</v>
      </c>
      <c r="AS47" s="108">
        <f t="shared" si="88"/>
        <v>44</v>
      </c>
      <c r="AT47" s="48"/>
      <c r="AU47" s="114">
        <f>IF(Y47&gt;0,Y47,IFERROR(MAX(_xlfn.XLOOKUP($AV47,$H$8:$Z$8,$G47:$Y47),$C$6)+(AN47-_xlfn.XLOOKUP($AV47,$H$8:$Z$8,$F47:$X47))*AD47/SUM($H$7:$Y$7),$C$6+SUM(AD47)))</f>
        <v>46207</v>
      </c>
      <c r="AV47" s="120" t="str" cm="1">
        <f t="array" ref="AV47">IF(OR(G47&gt;$C$6,G47=""),$F$8,INDEX($E$8:$Z$8,MATCH(TRUE,(F47:AA47=""),0)))</f>
        <v>1. Tender Docs &amp; BOQ</v>
      </c>
      <c r="AW47" s="117" t="b">
        <f t="shared" si="90"/>
        <v>0</v>
      </c>
      <c r="AX47" s="76" t="b">
        <f t="shared" si="91"/>
        <v>0</v>
      </c>
      <c r="AY47" s="76" t="b">
        <f t="shared" si="92"/>
        <v>0</v>
      </c>
      <c r="AZ47" s="76" t="b">
        <f t="shared" si="93"/>
        <v>0</v>
      </c>
      <c r="BA47" s="76" t="b">
        <f t="shared" si="94"/>
        <v>0</v>
      </c>
      <c r="BB47" s="76" t="b">
        <f t="shared" si="95"/>
        <v>0</v>
      </c>
      <c r="BC47" s="76" t="b">
        <f t="shared" si="96"/>
        <v>0</v>
      </c>
      <c r="BD47" s="76" t="b">
        <f t="shared" si="97"/>
        <v>0</v>
      </c>
      <c r="BE47" s="76" t="b">
        <f t="shared" si="98"/>
        <v>0</v>
      </c>
      <c r="BF47" s="76" t="b">
        <f t="shared" si="99"/>
        <v>0</v>
      </c>
      <c r="BG47" s="90" t="b">
        <f t="shared" si="100"/>
        <v>0</v>
      </c>
      <c r="BH47" s="48"/>
    </row>
    <row r="48" spans="1:60" ht="26.25" x14ac:dyDescent="0.25">
      <c r="A48" s="54"/>
      <c r="B48" s="49"/>
      <c r="C48" s="50" t="s">
        <v>163</v>
      </c>
      <c r="D48" s="51"/>
      <c r="E48" s="51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1"/>
      <c r="AC48" s="51"/>
      <c r="AD48" s="132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51"/>
      <c r="AQ48" s="51"/>
      <c r="AR48" s="51"/>
      <c r="AS48" s="51"/>
      <c r="AT48" s="51"/>
      <c r="AU48" s="51"/>
      <c r="AV48" s="51"/>
      <c r="AW48" s="51"/>
      <c r="AX48" s="51"/>
      <c r="AY48" s="51"/>
      <c r="AZ48" s="51"/>
      <c r="BA48" s="51"/>
      <c r="BB48" s="51"/>
      <c r="BC48" s="51"/>
      <c r="BD48" s="51"/>
      <c r="BE48" s="51"/>
      <c r="BF48" s="51"/>
      <c r="BG48" s="88"/>
      <c r="BH48" s="48"/>
    </row>
    <row r="49" spans="1:60" ht="26.25" x14ac:dyDescent="0.25">
      <c r="A49" s="56" cm="1">
        <f t="array" ref="A49">SUMPRODUCT(($AV$10:$AV$59&lt;&gt;"")*(ROW($AV$10:$AV$59)&lt;=ROW()))</f>
        <v>33</v>
      </c>
      <c r="B49" s="59"/>
      <c r="C49" s="60" t="s">
        <v>212</v>
      </c>
      <c r="D49" s="59" t="s">
        <v>107</v>
      </c>
      <c r="E49" s="43"/>
      <c r="F49" s="44">
        <f t="shared" ref="F49:F59" si="103">H49-$H$7</f>
        <v>46066</v>
      </c>
      <c r="G49" s="45">
        <v>46049</v>
      </c>
      <c r="H49" s="44">
        <f t="shared" ref="H49:H59" si="104">J49-$J$7</f>
        <v>46073</v>
      </c>
      <c r="I49" s="45">
        <v>46049</v>
      </c>
      <c r="J49" s="44">
        <f t="shared" ref="J49:J59" si="105">L49-$L$7</f>
        <v>46079</v>
      </c>
      <c r="K49" s="45">
        <v>46049</v>
      </c>
      <c r="L49" s="44">
        <f t="shared" ref="L49:L59" si="106">N49-$N$7</f>
        <v>46082</v>
      </c>
      <c r="M49" s="45">
        <v>46049</v>
      </c>
      <c r="N49" s="44">
        <f t="shared" ref="N49:N59" si="107">P49-$P$7</f>
        <v>46112</v>
      </c>
      <c r="O49" s="45">
        <v>46049</v>
      </c>
      <c r="P49" s="44">
        <f t="shared" ref="P49:P59" si="108">R49-$R$7</f>
        <v>46122</v>
      </c>
      <c r="Q49" s="45">
        <v>46049</v>
      </c>
      <c r="R49" s="44">
        <f t="shared" ref="R49:R59" si="109">T49-$T$7</f>
        <v>46142</v>
      </c>
      <c r="S49" s="45">
        <v>46069</v>
      </c>
      <c r="T49" s="44">
        <f t="shared" ref="T49:T59" si="110">V49-$V$7</f>
        <v>46149</v>
      </c>
      <c r="U49" s="45"/>
      <c r="V49" s="44">
        <f t="shared" ref="V49:V59" si="111">X49-$X$7</f>
        <v>46156</v>
      </c>
      <c r="W49" s="45"/>
      <c r="X49" s="44">
        <f t="shared" ref="X49:X59" si="112">AN49</f>
        <v>46161</v>
      </c>
      <c r="Y49" s="45"/>
      <c r="Z49" s="46">
        <f t="shared" ref="Z49:Z59" si="113">X49+$Z$7</f>
        <v>46171</v>
      </c>
      <c r="AA49" s="45"/>
      <c r="AB49" s="32">
        <f t="shared" ref="AB49:AB59" si="114">IF(AV49="10. Issued to Contractor","-",IF(AV49="11. Subcontract Agreement signed","-",MAX(AN49,AR49)-$C$6))</f>
        <v>49</v>
      </c>
      <c r="AC49" s="16"/>
      <c r="AD49" s="131">
        <f t="shared" ref="AD49:AD59" si="115">SUM($H$7:$Y$7)</f>
        <v>95</v>
      </c>
      <c r="AE49" s="16"/>
      <c r="AF49" s="96"/>
      <c r="AG49" s="72"/>
      <c r="AH49" s="72">
        <v>6417366</v>
      </c>
      <c r="AI49" s="72"/>
      <c r="AJ49" s="73" t="str">
        <f t="shared" ref="AJ49:AJ59" si="116">IF(AI49&gt;0,SUM(AH49)-SUM(AI49),"")</f>
        <v/>
      </c>
      <c r="AK49" s="101"/>
      <c r="AL49" s="48"/>
      <c r="AM49" s="104">
        <v>30</v>
      </c>
      <c r="AN49" s="74">
        <f t="shared" ref="AN49:AN59" si="117">$M$3+AM49-1</f>
        <v>46161</v>
      </c>
      <c r="AO49" s="108">
        <f t="shared" ref="AO49:AO51" si="118">AN49-AU49</f>
        <v>30</v>
      </c>
      <c r="AP49" s="48"/>
      <c r="AQ49" s="110"/>
      <c r="AR49" s="75">
        <f t="shared" ref="AR49:AR51" si="119">IFERROR(WORKDAY.INTL(AN49,AQ49,11),"")</f>
        <v>46161</v>
      </c>
      <c r="AS49" s="108">
        <f t="shared" ref="AS49:AS51" si="120">AR49-AU49</f>
        <v>30</v>
      </c>
      <c r="AT49" s="48"/>
      <c r="AU49" s="114">
        <f t="shared" ref="AU49:AU59" si="121">IF(Y49&gt;0,Y49,IFERROR(MAX(_xlfn.XLOOKUP($AV49,$H$8:$Z$8,$G49:$Y49),$C$6)+(AN49-_xlfn.XLOOKUP($AV49,$H$8:$Z$8,$F49:$X49))*AD49/SUM($H$7:$Y$7),$C$6+SUM(AD49)))</f>
        <v>46131</v>
      </c>
      <c r="AV49" s="120" t="str" cm="1">
        <f t="array" ref="AV49">IF(OR(G49&gt;$C$6,G49=""),$F$8,INDEX($E$8:$Z$8,MATCH(TRUE,(F49:AA49=""),0)))</f>
        <v>8. Tech &amp; Com Review</v>
      </c>
      <c r="AW49" s="117" t="b">
        <f t="shared" ref="AW49:AW59" si="122">IF(AND(G49&gt;0,G49&lt;$C$6),TRUE,FALSE)</f>
        <v>1</v>
      </c>
      <c r="AX49" s="76" t="b">
        <f t="shared" ref="AX49:AX59" si="123">IF(AND(I49&gt;0,I49&lt;$C$6),TRUE,FALSE)</f>
        <v>1</v>
      </c>
      <c r="AY49" s="76" t="b">
        <f t="shared" ref="AY49:AY59" si="124">IF(AND(K49&gt;0,K49&lt;$C$6),TRUE,FALSE)</f>
        <v>1</v>
      </c>
      <c r="AZ49" s="76" t="b">
        <f t="shared" ref="AZ49:AZ59" si="125">IF(AND(M49&gt;0,M49&lt;$C$6),TRUE,FALSE)</f>
        <v>1</v>
      </c>
      <c r="BA49" s="76" t="b">
        <f t="shared" ref="BA49:BA59" si="126">IF(AND(O49&gt;0,O49&lt;$C$6),TRUE,FALSE)</f>
        <v>1</v>
      </c>
      <c r="BB49" s="76" t="b">
        <f t="shared" ref="BB49:BB59" si="127">IF(AND(Q49&gt;0,Q49&lt;$C$6),TRUE,FALSE)</f>
        <v>1</v>
      </c>
      <c r="BC49" s="76" t="b">
        <f t="shared" ref="BC49:BC59" si="128">IF(AND(S49&gt;0,S49&lt;$C$6),TRUE,FALSE)</f>
        <v>1</v>
      </c>
      <c r="BD49" s="76" t="b">
        <f t="shared" ref="BD49:BD59" si="129">IF(AND(U49&gt;0,U49&lt;$C$6),TRUE,FALSE)</f>
        <v>0</v>
      </c>
      <c r="BE49" s="76" t="b">
        <f t="shared" ref="BE49:BE59" si="130">IF(AND(W49&gt;0,W49&lt;$C$6),TRUE,FALSE)</f>
        <v>0</v>
      </c>
      <c r="BF49" s="76" t="b">
        <f t="shared" ref="BF49:BF59" si="131">IF(AND(Y49&gt;0,Y49&lt;$C$6),TRUE,FALSE)</f>
        <v>0</v>
      </c>
      <c r="BG49" s="90" t="b">
        <f t="shared" ref="BG49:BG59" si="132">IF(AND(AA49&gt;0,AA49&lt;$C$6),TRUE,FALSE)</f>
        <v>0</v>
      </c>
      <c r="BH49" s="48"/>
    </row>
    <row r="50" spans="1:60" ht="26.25" x14ac:dyDescent="0.25">
      <c r="A50" s="56" cm="1">
        <f t="array" ref="A50">SUMPRODUCT(($AV$10:$AV$59&lt;&gt;"")*(ROW($AV$10:$AV$59)&lt;=ROW()))</f>
        <v>34</v>
      </c>
      <c r="B50" s="57"/>
      <c r="C50" s="58" t="s">
        <v>374</v>
      </c>
      <c r="D50" s="93" t="s">
        <v>7</v>
      </c>
      <c r="E50" s="16"/>
      <c r="F50" s="29">
        <f t="shared" si="103"/>
        <v>46156</v>
      </c>
      <c r="G50" s="42"/>
      <c r="H50" s="29">
        <f t="shared" si="104"/>
        <v>46163</v>
      </c>
      <c r="I50" s="42"/>
      <c r="J50" s="29">
        <f t="shared" si="105"/>
        <v>46169</v>
      </c>
      <c r="K50" s="42"/>
      <c r="L50" s="29">
        <f t="shared" si="106"/>
        <v>46172</v>
      </c>
      <c r="M50" s="42"/>
      <c r="N50" s="29">
        <f t="shared" si="107"/>
        <v>46202</v>
      </c>
      <c r="O50" s="42"/>
      <c r="P50" s="29">
        <f t="shared" si="108"/>
        <v>46212</v>
      </c>
      <c r="Q50" s="42"/>
      <c r="R50" s="29">
        <f t="shared" si="109"/>
        <v>46232</v>
      </c>
      <c r="S50" s="42"/>
      <c r="T50" s="29">
        <f t="shared" si="110"/>
        <v>46239</v>
      </c>
      <c r="U50" s="42"/>
      <c r="V50" s="29">
        <f t="shared" si="111"/>
        <v>46246</v>
      </c>
      <c r="W50" s="42"/>
      <c r="X50" s="29">
        <f t="shared" si="112"/>
        <v>46251</v>
      </c>
      <c r="Y50" s="42"/>
      <c r="Z50" s="30">
        <f t="shared" si="113"/>
        <v>46261</v>
      </c>
      <c r="AA50" s="42"/>
      <c r="AB50" s="31">
        <f t="shared" si="114"/>
        <v>139</v>
      </c>
      <c r="AC50" s="16"/>
      <c r="AD50" s="131">
        <f t="shared" si="115"/>
        <v>95</v>
      </c>
      <c r="AE50" s="16"/>
      <c r="AF50" s="95"/>
      <c r="AG50" s="67"/>
      <c r="AH50" s="67">
        <v>601571</v>
      </c>
      <c r="AI50" s="67"/>
      <c r="AJ50" s="68" t="str">
        <f t="shared" si="116"/>
        <v/>
      </c>
      <c r="AK50" s="102"/>
      <c r="AL50" s="48"/>
      <c r="AM50" s="105">
        <v>120</v>
      </c>
      <c r="AN50" s="69">
        <f t="shared" si="117"/>
        <v>46251</v>
      </c>
      <c r="AO50" s="107">
        <f t="shared" si="118"/>
        <v>44</v>
      </c>
      <c r="AP50" s="48"/>
      <c r="AQ50" s="111"/>
      <c r="AR50" s="70">
        <f t="shared" si="119"/>
        <v>46251</v>
      </c>
      <c r="AS50" s="107">
        <f t="shared" si="120"/>
        <v>44</v>
      </c>
      <c r="AT50" s="48"/>
      <c r="AU50" s="113">
        <f t="shared" si="121"/>
        <v>46207</v>
      </c>
      <c r="AV50" s="119" t="str" cm="1">
        <f t="array" ref="AV50">IF(OR(G50&gt;$C$6,G50=""),$F$8,INDEX($E$8:$Z$8,MATCH(TRUE,(F50:AA50=""),0)))</f>
        <v>1. Tender Docs &amp; BOQ</v>
      </c>
      <c r="AW50" s="116" t="b">
        <f t="shared" si="122"/>
        <v>0</v>
      </c>
      <c r="AX50" s="71" t="b">
        <f t="shared" si="123"/>
        <v>0</v>
      </c>
      <c r="AY50" s="71" t="b">
        <f t="shared" si="124"/>
        <v>0</v>
      </c>
      <c r="AZ50" s="71" t="b">
        <f t="shared" si="125"/>
        <v>0</v>
      </c>
      <c r="BA50" s="71" t="b">
        <f t="shared" si="126"/>
        <v>0</v>
      </c>
      <c r="BB50" s="71" t="b">
        <f t="shared" si="127"/>
        <v>0</v>
      </c>
      <c r="BC50" s="71" t="b">
        <f t="shared" si="128"/>
        <v>0</v>
      </c>
      <c r="BD50" s="71" t="b">
        <f t="shared" si="129"/>
        <v>0</v>
      </c>
      <c r="BE50" s="71" t="b">
        <f t="shared" si="130"/>
        <v>0</v>
      </c>
      <c r="BF50" s="71" t="b">
        <f t="shared" si="131"/>
        <v>0</v>
      </c>
      <c r="BG50" s="89" t="b">
        <f t="shared" si="132"/>
        <v>0</v>
      </c>
      <c r="BH50" s="48"/>
    </row>
    <row r="51" spans="1:60" ht="26.25" x14ac:dyDescent="0.25">
      <c r="A51" s="56" cm="1">
        <f t="array" ref="A51">SUMPRODUCT(($AV$10:$AV$59&lt;&gt;"")*(ROW($AV$10:$AV$59)&lt;=ROW()))</f>
        <v>35</v>
      </c>
      <c r="B51" s="59"/>
      <c r="C51" s="60" t="s">
        <v>375</v>
      </c>
      <c r="D51" s="59" t="s">
        <v>13</v>
      </c>
      <c r="E51" s="43"/>
      <c r="F51" s="44">
        <f t="shared" si="103"/>
        <v>46156</v>
      </c>
      <c r="G51" s="45"/>
      <c r="H51" s="44">
        <f t="shared" si="104"/>
        <v>46163</v>
      </c>
      <c r="I51" s="45"/>
      <c r="J51" s="44">
        <f t="shared" si="105"/>
        <v>46169</v>
      </c>
      <c r="K51" s="45"/>
      <c r="L51" s="44">
        <f t="shared" si="106"/>
        <v>46172</v>
      </c>
      <c r="M51" s="45"/>
      <c r="N51" s="44">
        <f t="shared" si="107"/>
        <v>46202</v>
      </c>
      <c r="O51" s="45"/>
      <c r="P51" s="44">
        <f t="shared" si="108"/>
        <v>46212</v>
      </c>
      <c r="Q51" s="45"/>
      <c r="R51" s="44">
        <f t="shared" si="109"/>
        <v>46232</v>
      </c>
      <c r="S51" s="45"/>
      <c r="T51" s="44">
        <f t="shared" si="110"/>
        <v>46239</v>
      </c>
      <c r="U51" s="45"/>
      <c r="V51" s="44">
        <f t="shared" si="111"/>
        <v>46246</v>
      </c>
      <c r="W51" s="45"/>
      <c r="X51" s="44">
        <f t="shared" si="112"/>
        <v>46251</v>
      </c>
      <c r="Y51" s="45"/>
      <c r="Z51" s="46">
        <f t="shared" si="113"/>
        <v>46261</v>
      </c>
      <c r="AA51" s="45"/>
      <c r="AB51" s="32">
        <f t="shared" si="114"/>
        <v>139</v>
      </c>
      <c r="AC51" s="16"/>
      <c r="AD51" s="131">
        <f t="shared" si="115"/>
        <v>95</v>
      </c>
      <c r="AE51" s="16"/>
      <c r="AF51" s="96"/>
      <c r="AG51" s="72"/>
      <c r="AH51" s="72">
        <v>8622520</v>
      </c>
      <c r="AI51" s="72"/>
      <c r="AJ51" s="73" t="str">
        <f t="shared" si="116"/>
        <v/>
      </c>
      <c r="AK51" s="101"/>
      <c r="AL51" s="48"/>
      <c r="AM51" s="104">
        <v>120</v>
      </c>
      <c r="AN51" s="74">
        <f t="shared" si="117"/>
        <v>46251</v>
      </c>
      <c r="AO51" s="108">
        <f t="shared" si="118"/>
        <v>44</v>
      </c>
      <c r="AP51" s="48"/>
      <c r="AQ51" s="110"/>
      <c r="AR51" s="75">
        <f t="shared" si="119"/>
        <v>46251</v>
      </c>
      <c r="AS51" s="108">
        <f t="shared" si="120"/>
        <v>44</v>
      </c>
      <c r="AT51" s="48"/>
      <c r="AU51" s="114">
        <f t="shared" si="121"/>
        <v>46207</v>
      </c>
      <c r="AV51" s="120" t="str" cm="1">
        <f t="array" ref="AV51">IF(OR(G51&gt;$C$6,G51=""),$F$8,INDEX($E$8:$Z$8,MATCH(TRUE,(F51:AA51=""),0)))</f>
        <v>1. Tender Docs &amp; BOQ</v>
      </c>
      <c r="AW51" s="117" t="b">
        <f t="shared" si="122"/>
        <v>0</v>
      </c>
      <c r="AX51" s="76" t="b">
        <f t="shared" si="123"/>
        <v>0</v>
      </c>
      <c r="AY51" s="76" t="b">
        <f t="shared" si="124"/>
        <v>0</v>
      </c>
      <c r="AZ51" s="76" t="b">
        <f t="shared" si="125"/>
        <v>0</v>
      </c>
      <c r="BA51" s="76" t="b">
        <f t="shared" si="126"/>
        <v>0</v>
      </c>
      <c r="BB51" s="76" t="b">
        <f t="shared" si="127"/>
        <v>0</v>
      </c>
      <c r="BC51" s="76" t="b">
        <f t="shared" si="128"/>
        <v>0</v>
      </c>
      <c r="BD51" s="76" t="b">
        <f t="shared" si="129"/>
        <v>0</v>
      </c>
      <c r="BE51" s="76" t="b">
        <f t="shared" si="130"/>
        <v>0</v>
      </c>
      <c r="BF51" s="76" t="b">
        <f t="shared" si="131"/>
        <v>0</v>
      </c>
      <c r="BG51" s="90" t="b">
        <f t="shared" si="132"/>
        <v>0</v>
      </c>
      <c r="BH51" s="48"/>
    </row>
    <row r="52" spans="1:60" ht="26.25" x14ac:dyDescent="0.25">
      <c r="A52" s="56" cm="1">
        <f t="array" ref="A52">SUMPRODUCT(($AV$10:$AV$59&lt;&gt;"")*(ROW($AV$10:$AV$59)&lt;=ROW()))</f>
        <v>36</v>
      </c>
      <c r="B52" s="57"/>
      <c r="C52" s="58" t="s">
        <v>184</v>
      </c>
      <c r="D52" s="93" t="s">
        <v>13</v>
      </c>
      <c r="E52" s="16"/>
      <c r="F52" s="29">
        <f t="shared" si="103"/>
        <v>46156</v>
      </c>
      <c r="G52" s="42"/>
      <c r="H52" s="29">
        <f t="shared" si="104"/>
        <v>46163</v>
      </c>
      <c r="I52" s="42"/>
      <c r="J52" s="29">
        <f t="shared" si="105"/>
        <v>46169</v>
      </c>
      <c r="K52" s="42"/>
      <c r="L52" s="29">
        <f t="shared" si="106"/>
        <v>46172</v>
      </c>
      <c r="M52" s="42"/>
      <c r="N52" s="29">
        <f t="shared" si="107"/>
        <v>46202</v>
      </c>
      <c r="O52" s="42"/>
      <c r="P52" s="29">
        <f t="shared" si="108"/>
        <v>46212</v>
      </c>
      <c r="Q52" s="42"/>
      <c r="R52" s="29">
        <f t="shared" si="109"/>
        <v>46232</v>
      </c>
      <c r="S52" s="42"/>
      <c r="T52" s="29">
        <f t="shared" si="110"/>
        <v>46239</v>
      </c>
      <c r="U52" s="42"/>
      <c r="V52" s="29">
        <f t="shared" si="111"/>
        <v>46246</v>
      </c>
      <c r="W52" s="42"/>
      <c r="X52" s="29">
        <f t="shared" si="112"/>
        <v>46251</v>
      </c>
      <c r="Y52" s="42"/>
      <c r="Z52" s="30">
        <f t="shared" si="113"/>
        <v>46261</v>
      </c>
      <c r="AA52" s="42"/>
      <c r="AB52" s="31">
        <f t="shared" si="114"/>
        <v>139</v>
      </c>
      <c r="AC52" s="16"/>
      <c r="AD52" s="131">
        <f t="shared" si="115"/>
        <v>95</v>
      </c>
      <c r="AE52" s="16"/>
      <c r="AF52" s="95"/>
      <c r="AG52" s="67"/>
      <c r="AH52" s="67">
        <v>4010474</v>
      </c>
      <c r="AI52" s="67"/>
      <c r="AJ52" s="68" t="str">
        <f t="shared" si="116"/>
        <v/>
      </c>
      <c r="AK52" s="102"/>
      <c r="AL52" s="48"/>
      <c r="AM52" s="105">
        <v>120</v>
      </c>
      <c r="AN52" s="69">
        <f t="shared" si="117"/>
        <v>46251</v>
      </c>
      <c r="AO52" s="107">
        <f>AN52-AU52</f>
        <v>44</v>
      </c>
      <c r="AP52" s="48"/>
      <c r="AQ52" s="111"/>
      <c r="AR52" s="70">
        <f>IFERROR(WORKDAY.INTL(AN52,AQ52,11),"")</f>
        <v>46251</v>
      </c>
      <c r="AS52" s="107">
        <f>AR52-AU52</f>
        <v>44</v>
      </c>
      <c r="AT52" s="48"/>
      <c r="AU52" s="113">
        <f t="shared" si="121"/>
        <v>46207</v>
      </c>
      <c r="AV52" s="119" t="str" cm="1">
        <f t="array" ref="AV52">IF(OR(G52&gt;$C$6,G52=""),$F$8,INDEX($E$8:$Z$8,MATCH(TRUE,(F52:AA52=""),0)))</f>
        <v>1. Tender Docs &amp; BOQ</v>
      </c>
      <c r="AW52" s="116" t="b">
        <f t="shared" si="122"/>
        <v>0</v>
      </c>
      <c r="AX52" s="71" t="b">
        <f t="shared" si="123"/>
        <v>0</v>
      </c>
      <c r="AY52" s="71" t="b">
        <f t="shared" si="124"/>
        <v>0</v>
      </c>
      <c r="AZ52" s="71" t="b">
        <f t="shared" si="125"/>
        <v>0</v>
      </c>
      <c r="BA52" s="71" t="b">
        <f t="shared" si="126"/>
        <v>0</v>
      </c>
      <c r="BB52" s="71" t="b">
        <f t="shared" si="127"/>
        <v>0</v>
      </c>
      <c r="BC52" s="71" t="b">
        <f t="shared" si="128"/>
        <v>0</v>
      </c>
      <c r="BD52" s="71" t="b">
        <f t="shared" si="129"/>
        <v>0</v>
      </c>
      <c r="BE52" s="71" t="b">
        <f t="shared" si="130"/>
        <v>0</v>
      </c>
      <c r="BF52" s="71" t="b">
        <f t="shared" si="131"/>
        <v>0</v>
      </c>
      <c r="BG52" s="89" t="b">
        <f t="shared" si="132"/>
        <v>0</v>
      </c>
      <c r="BH52" s="48"/>
    </row>
    <row r="53" spans="1:60" ht="26.25" x14ac:dyDescent="0.25">
      <c r="A53" s="56" cm="1">
        <f t="array" ref="A53">SUMPRODUCT(($AV$10:$AV$59&lt;&gt;"")*(ROW($AV$10:$AV$59)&lt;=ROW()))</f>
        <v>37</v>
      </c>
      <c r="B53" s="59"/>
      <c r="C53" s="60" t="s">
        <v>264</v>
      </c>
      <c r="D53" s="59" t="s">
        <v>13</v>
      </c>
      <c r="E53" s="43"/>
      <c r="F53" s="44">
        <f t="shared" si="103"/>
        <v>46156</v>
      </c>
      <c r="G53" s="45"/>
      <c r="H53" s="44">
        <f t="shared" si="104"/>
        <v>46163</v>
      </c>
      <c r="I53" s="45"/>
      <c r="J53" s="44">
        <f t="shared" si="105"/>
        <v>46169</v>
      </c>
      <c r="K53" s="45"/>
      <c r="L53" s="44">
        <f t="shared" si="106"/>
        <v>46172</v>
      </c>
      <c r="M53" s="45"/>
      <c r="N53" s="44">
        <f t="shared" si="107"/>
        <v>46202</v>
      </c>
      <c r="O53" s="45"/>
      <c r="P53" s="44">
        <f t="shared" si="108"/>
        <v>46212</v>
      </c>
      <c r="Q53" s="45"/>
      <c r="R53" s="44">
        <f t="shared" si="109"/>
        <v>46232</v>
      </c>
      <c r="S53" s="45"/>
      <c r="T53" s="44">
        <f t="shared" si="110"/>
        <v>46239</v>
      </c>
      <c r="U53" s="45"/>
      <c r="V53" s="44">
        <f t="shared" si="111"/>
        <v>46246</v>
      </c>
      <c r="W53" s="45"/>
      <c r="X53" s="44">
        <f t="shared" si="112"/>
        <v>46251</v>
      </c>
      <c r="Y53" s="45"/>
      <c r="Z53" s="46">
        <f t="shared" si="113"/>
        <v>46261</v>
      </c>
      <c r="AA53" s="45"/>
      <c r="AB53" s="32">
        <f t="shared" si="114"/>
        <v>139</v>
      </c>
      <c r="AC53" s="16"/>
      <c r="AD53" s="131">
        <f t="shared" si="115"/>
        <v>95</v>
      </c>
      <c r="AE53" s="16"/>
      <c r="AF53" s="96"/>
      <c r="AG53" s="72"/>
      <c r="AH53" s="72">
        <v>1804713</v>
      </c>
      <c r="AI53" s="72"/>
      <c r="AJ53" s="73" t="str">
        <f t="shared" si="116"/>
        <v/>
      </c>
      <c r="AK53" s="101"/>
      <c r="AL53" s="48"/>
      <c r="AM53" s="104">
        <v>120</v>
      </c>
      <c r="AN53" s="74">
        <f t="shared" si="117"/>
        <v>46251</v>
      </c>
      <c r="AO53" s="108">
        <f t="shared" ref="AO53:AO59" si="133">AN53-AU53</f>
        <v>44</v>
      </c>
      <c r="AP53" s="48"/>
      <c r="AQ53" s="110"/>
      <c r="AR53" s="75">
        <f t="shared" ref="AR53:AR59" si="134">IFERROR(WORKDAY.INTL(AN53,AQ53,11),"")</f>
        <v>46251</v>
      </c>
      <c r="AS53" s="108">
        <f t="shared" ref="AS53:AS59" si="135">AR53-AU53</f>
        <v>44</v>
      </c>
      <c r="AT53" s="48"/>
      <c r="AU53" s="114">
        <f t="shared" si="121"/>
        <v>46207</v>
      </c>
      <c r="AV53" s="120" t="str" cm="1">
        <f t="array" ref="AV53">IF(OR(G53&gt;$C$6,G53=""),$F$8,INDEX($E$8:$Z$8,MATCH(TRUE,(F53:AA53=""),0)))</f>
        <v>1. Tender Docs &amp; BOQ</v>
      </c>
      <c r="AW53" s="117" t="b">
        <f t="shared" si="122"/>
        <v>0</v>
      </c>
      <c r="AX53" s="76" t="b">
        <f t="shared" si="123"/>
        <v>0</v>
      </c>
      <c r="AY53" s="76" t="b">
        <f t="shared" si="124"/>
        <v>0</v>
      </c>
      <c r="AZ53" s="76" t="b">
        <f t="shared" si="125"/>
        <v>0</v>
      </c>
      <c r="BA53" s="76" t="b">
        <f t="shared" si="126"/>
        <v>0</v>
      </c>
      <c r="BB53" s="76" t="b">
        <f t="shared" si="127"/>
        <v>0</v>
      </c>
      <c r="BC53" s="76" t="b">
        <f t="shared" si="128"/>
        <v>0</v>
      </c>
      <c r="BD53" s="76" t="b">
        <f t="shared" si="129"/>
        <v>0</v>
      </c>
      <c r="BE53" s="76" t="b">
        <f t="shared" si="130"/>
        <v>0</v>
      </c>
      <c r="BF53" s="76" t="b">
        <f t="shared" si="131"/>
        <v>0</v>
      </c>
      <c r="BG53" s="90" t="b">
        <f t="shared" si="132"/>
        <v>0</v>
      </c>
      <c r="BH53" s="48"/>
    </row>
    <row r="54" spans="1:60" ht="26.25" x14ac:dyDescent="0.25">
      <c r="A54" s="56" cm="1">
        <f t="array" ref="A54">SUMPRODUCT(($AV$10:$AV$59&lt;&gt;"")*(ROW($AV$10:$AV$59)&lt;=ROW()))</f>
        <v>38</v>
      </c>
      <c r="B54" s="57"/>
      <c r="C54" s="58" t="s">
        <v>168</v>
      </c>
      <c r="D54" s="93" t="s">
        <v>13</v>
      </c>
      <c r="E54" s="16"/>
      <c r="F54" s="29">
        <f t="shared" si="103"/>
        <v>46156</v>
      </c>
      <c r="G54" s="42"/>
      <c r="H54" s="29">
        <f t="shared" si="104"/>
        <v>46163</v>
      </c>
      <c r="I54" s="42"/>
      <c r="J54" s="29">
        <f t="shared" si="105"/>
        <v>46169</v>
      </c>
      <c r="K54" s="42"/>
      <c r="L54" s="29">
        <f t="shared" si="106"/>
        <v>46172</v>
      </c>
      <c r="M54" s="42"/>
      <c r="N54" s="29">
        <f t="shared" si="107"/>
        <v>46202</v>
      </c>
      <c r="O54" s="42"/>
      <c r="P54" s="29">
        <f t="shared" si="108"/>
        <v>46212</v>
      </c>
      <c r="Q54" s="42"/>
      <c r="R54" s="29">
        <f t="shared" si="109"/>
        <v>46232</v>
      </c>
      <c r="S54" s="42"/>
      <c r="T54" s="29">
        <f t="shared" si="110"/>
        <v>46239</v>
      </c>
      <c r="U54" s="42"/>
      <c r="V54" s="29">
        <f t="shared" si="111"/>
        <v>46246</v>
      </c>
      <c r="W54" s="42"/>
      <c r="X54" s="29">
        <f t="shared" si="112"/>
        <v>46251</v>
      </c>
      <c r="Y54" s="42"/>
      <c r="Z54" s="30">
        <f t="shared" si="113"/>
        <v>46261</v>
      </c>
      <c r="AA54" s="42"/>
      <c r="AB54" s="31">
        <f t="shared" si="114"/>
        <v>139</v>
      </c>
      <c r="AC54" s="16"/>
      <c r="AD54" s="131">
        <f t="shared" si="115"/>
        <v>95</v>
      </c>
      <c r="AE54" s="16"/>
      <c r="AF54" s="95"/>
      <c r="AG54" s="67"/>
      <c r="AH54" s="67" t="s">
        <v>134</v>
      </c>
      <c r="AI54" s="67"/>
      <c r="AJ54" s="68" t="str">
        <f t="shared" si="116"/>
        <v/>
      </c>
      <c r="AK54" s="102"/>
      <c r="AL54" s="48"/>
      <c r="AM54" s="105">
        <v>120</v>
      </c>
      <c r="AN54" s="69">
        <f t="shared" si="117"/>
        <v>46251</v>
      </c>
      <c r="AO54" s="107">
        <f t="shared" si="133"/>
        <v>44</v>
      </c>
      <c r="AP54" s="48"/>
      <c r="AQ54" s="111"/>
      <c r="AR54" s="70">
        <f t="shared" si="134"/>
        <v>46251</v>
      </c>
      <c r="AS54" s="107">
        <f t="shared" si="135"/>
        <v>44</v>
      </c>
      <c r="AT54" s="48"/>
      <c r="AU54" s="113">
        <f t="shared" si="121"/>
        <v>46207</v>
      </c>
      <c r="AV54" s="119" t="str" cm="1">
        <f t="array" ref="AV54">IF(OR(G54&gt;$C$6,G54=""),$F$8,INDEX($E$8:$Z$8,MATCH(TRUE,(F54:AA54=""),0)))</f>
        <v>1. Tender Docs &amp; BOQ</v>
      </c>
      <c r="AW54" s="116" t="b">
        <f t="shared" si="122"/>
        <v>0</v>
      </c>
      <c r="AX54" s="71" t="b">
        <f t="shared" si="123"/>
        <v>0</v>
      </c>
      <c r="AY54" s="71" t="b">
        <f t="shared" si="124"/>
        <v>0</v>
      </c>
      <c r="AZ54" s="71" t="b">
        <f t="shared" si="125"/>
        <v>0</v>
      </c>
      <c r="BA54" s="71" t="b">
        <f t="shared" si="126"/>
        <v>0</v>
      </c>
      <c r="BB54" s="71" t="b">
        <f t="shared" si="127"/>
        <v>0</v>
      </c>
      <c r="BC54" s="71" t="b">
        <f t="shared" si="128"/>
        <v>0</v>
      </c>
      <c r="BD54" s="71" t="b">
        <f t="shared" si="129"/>
        <v>0</v>
      </c>
      <c r="BE54" s="71" t="b">
        <f t="shared" si="130"/>
        <v>0</v>
      </c>
      <c r="BF54" s="71" t="b">
        <f t="shared" si="131"/>
        <v>0</v>
      </c>
      <c r="BG54" s="89" t="b">
        <f t="shared" si="132"/>
        <v>0</v>
      </c>
      <c r="BH54" s="48"/>
    </row>
    <row r="55" spans="1:60" ht="26.25" x14ac:dyDescent="0.25">
      <c r="A55" s="56" cm="1">
        <f t="array" ref="A55">SUMPRODUCT(($AV$10:$AV$59&lt;&gt;"")*(ROW($AV$10:$AV$59)&lt;=ROW()))</f>
        <v>39</v>
      </c>
      <c r="B55" s="59"/>
      <c r="C55" s="60" t="s">
        <v>267</v>
      </c>
      <c r="D55" s="59" t="s">
        <v>13</v>
      </c>
      <c r="E55" s="43"/>
      <c r="F55" s="44">
        <f t="shared" si="103"/>
        <v>46336</v>
      </c>
      <c r="G55" s="45"/>
      <c r="H55" s="44">
        <f t="shared" si="104"/>
        <v>46343</v>
      </c>
      <c r="I55" s="45"/>
      <c r="J55" s="44">
        <f t="shared" si="105"/>
        <v>46349</v>
      </c>
      <c r="K55" s="45"/>
      <c r="L55" s="44">
        <f t="shared" si="106"/>
        <v>46352</v>
      </c>
      <c r="M55" s="45"/>
      <c r="N55" s="44">
        <f t="shared" si="107"/>
        <v>46382</v>
      </c>
      <c r="O55" s="45"/>
      <c r="P55" s="44">
        <f t="shared" si="108"/>
        <v>46392</v>
      </c>
      <c r="Q55" s="45"/>
      <c r="R55" s="44">
        <f t="shared" si="109"/>
        <v>46412</v>
      </c>
      <c r="S55" s="45"/>
      <c r="T55" s="44">
        <f t="shared" si="110"/>
        <v>46419</v>
      </c>
      <c r="U55" s="45"/>
      <c r="V55" s="44">
        <f t="shared" si="111"/>
        <v>46426</v>
      </c>
      <c r="W55" s="45"/>
      <c r="X55" s="44">
        <f t="shared" si="112"/>
        <v>46431</v>
      </c>
      <c r="Y55" s="45"/>
      <c r="Z55" s="46">
        <f t="shared" si="113"/>
        <v>46441</v>
      </c>
      <c r="AA55" s="45"/>
      <c r="AB55" s="32">
        <f t="shared" si="114"/>
        <v>319</v>
      </c>
      <c r="AC55" s="16"/>
      <c r="AD55" s="131">
        <f t="shared" si="115"/>
        <v>95</v>
      </c>
      <c r="AE55" s="16"/>
      <c r="AF55" s="96"/>
      <c r="AG55" s="72"/>
      <c r="AH55" s="72">
        <v>2005237</v>
      </c>
      <c r="AI55" s="72"/>
      <c r="AJ55" s="73" t="str">
        <f t="shared" si="116"/>
        <v/>
      </c>
      <c r="AK55" s="101"/>
      <c r="AL55" s="48"/>
      <c r="AM55" s="104">
        <v>300</v>
      </c>
      <c r="AN55" s="74">
        <f t="shared" si="117"/>
        <v>46431</v>
      </c>
      <c r="AO55" s="108">
        <f t="shared" si="133"/>
        <v>224</v>
      </c>
      <c r="AP55" s="48"/>
      <c r="AQ55" s="110"/>
      <c r="AR55" s="75">
        <f t="shared" si="134"/>
        <v>46431</v>
      </c>
      <c r="AS55" s="108">
        <f t="shared" si="135"/>
        <v>224</v>
      </c>
      <c r="AT55" s="48"/>
      <c r="AU55" s="114">
        <f t="shared" si="121"/>
        <v>46207</v>
      </c>
      <c r="AV55" s="120" t="str" cm="1">
        <f t="array" ref="AV55">IF(OR(G55&gt;$C$6,G55=""),$F$8,INDEX($E$8:$Z$8,MATCH(TRUE,(F55:AA55=""),0)))</f>
        <v>1. Tender Docs &amp; BOQ</v>
      </c>
      <c r="AW55" s="117" t="b">
        <f t="shared" si="122"/>
        <v>0</v>
      </c>
      <c r="AX55" s="76" t="b">
        <f t="shared" si="123"/>
        <v>0</v>
      </c>
      <c r="AY55" s="76" t="b">
        <f t="shared" si="124"/>
        <v>0</v>
      </c>
      <c r="AZ55" s="76" t="b">
        <f t="shared" si="125"/>
        <v>0</v>
      </c>
      <c r="BA55" s="76" t="b">
        <f t="shared" si="126"/>
        <v>0</v>
      </c>
      <c r="BB55" s="76" t="b">
        <f t="shared" si="127"/>
        <v>0</v>
      </c>
      <c r="BC55" s="76" t="b">
        <f t="shared" si="128"/>
        <v>0</v>
      </c>
      <c r="BD55" s="76" t="b">
        <f t="shared" si="129"/>
        <v>0</v>
      </c>
      <c r="BE55" s="76" t="b">
        <f t="shared" si="130"/>
        <v>0</v>
      </c>
      <c r="BF55" s="76" t="b">
        <f t="shared" si="131"/>
        <v>0</v>
      </c>
      <c r="BG55" s="90" t="b">
        <f t="shared" si="132"/>
        <v>0</v>
      </c>
      <c r="BH55" s="48"/>
    </row>
    <row r="56" spans="1:60" ht="26.25" x14ac:dyDescent="0.25">
      <c r="A56" s="56" cm="1">
        <f t="array" ref="A56">SUMPRODUCT(($AV$10:$AV$59&lt;&gt;"")*(ROW($AV$10:$AV$59)&lt;=ROW()))</f>
        <v>40</v>
      </c>
      <c r="B56" s="57"/>
      <c r="C56" s="58" t="s">
        <v>376</v>
      </c>
      <c r="D56" s="93" t="s">
        <v>13</v>
      </c>
      <c r="E56" s="16"/>
      <c r="F56" s="29">
        <f t="shared" si="103"/>
        <v>46336</v>
      </c>
      <c r="G56" s="42"/>
      <c r="H56" s="29">
        <f t="shared" si="104"/>
        <v>46343</v>
      </c>
      <c r="I56" s="42"/>
      <c r="J56" s="29">
        <f t="shared" si="105"/>
        <v>46349</v>
      </c>
      <c r="K56" s="42"/>
      <c r="L56" s="29">
        <f t="shared" si="106"/>
        <v>46352</v>
      </c>
      <c r="M56" s="42"/>
      <c r="N56" s="29">
        <f t="shared" si="107"/>
        <v>46382</v>
      </c>
      <c r="O56" s="42"/>
      <c r="P56" s="29">
        <f t="shared" si="108"/>
        <v>46392</v>
      </c>
      <c r="Q56" s="42"/>
      <c r="R56" s="29">
        <f t="shared" si="109"/>
        <v>46412</v>
      </c>
      <c r="S56" s="42"/>
      <c r="T56" s="29">
        <f t="shared" si="110"/>
        <v>46419</v>
      </c>
      <c r="U56" s="42"/>
      <c r="V56" s="29">
        <f t="shared" si="111"/>
        <v>46426</v>
      </c>
      <c r="W56" s="42"/>
      <c r="X56" s="29">
        <f t="shared" si="112"/>
        <v>46431</v>
      </c>
      <c r="Y56" s="42"/>
      <c r="Z56" s="30">
        <f t="shared" si="113"/>
        <v>46441</v>
      </c>
      <c r="AA56" s="42"/>
      <c r="AB56" s="31">
        <f t="shared" si="114"/>
        <v>319</v>
      </c>
      <c r="AC56" s="16"/>
      <c r="AD56" s="131">
        <f t="shared" si="115"/>
        <v>95</v>
      </c>
      <c r="AE56" s="16"/>
      <c r="AF56" s="97"/>
      <c r="AG56" s="67"/>
      <c r="AH56" s="67">
        <v>501309</v>
      </c>
      <c r="AI56" s="67"/>
      <c r="AJ56" s="68" t="str">
        <f t="shared" si="116"/>
        <v/>
      </c>
      <c r="AK56" s="102"/>
      <c r="AL56" s="48"/>
      <c r="AM56" s="105">
        <v>300</v>
      </c>
      <c r="AN56" s="69">
        <f t="shared" si="117"/>
        <v>46431</v>
      </c>
      <c r="AO56" s="107">
        <f t="shared" si="133"/>
        <v>224</v>
      </c>
      <c r="AP56" s="48"/>
      <c r="AQ56" s="111"/>
      <c r="AR56" s="70">
        <f t="shared" si="134"/>
        <v>46431</v>
      </c>
      <c r="AS56" s="107">
        <f t="shared" si="135"/>
        <v>224</v>
      </c>
      <c r="AT56" s="48"/>
      <c r="AU56" s="113">
        <f t="shared" si="121"/>
        <v>46207</v>
      </c>
      <c r="AV56" s="119" t="str" cm="1">
        <f t="array" ref="AV56">IF(OR(G56&gt;$C$6,G56=""),$F$8,INDEX($E$8:$Z$8,MATCH(TRUE,(F56:AA56=""),0)))</f>
        <v>1. Tender Docs &amp; BOQ</v>
      </c>
      <c r="AW56" s="116" t="b">
        <f t="shared" si="122"/>
        <v>0</v>
      </c>
      <c r="AX56" s="71" t="b">
        <f t="shared" si="123"/>
        <v>0</v>
      </c>
      <c r="AY56" s="71" t="b">
        <f t="shared" si="124"/>
        <v>0</v>
      </c>
      <c r="AZ56" s="71" t="b">
        <f t="shared" si="125"/>
        <v>0</v>
      </c>
      <c r="BA56" s="71" t="b">
        <f t="shared" si="126"/>
        <v>0</v>
      </c>
      <c r="BB56" s="71" t="b">
        <f t="shared" si="127"/>
        <v>0</v>
      </c>
      <c r="BC56" s="71" t="b">
        <f t="shared" si="128"/>
        <v>0</v>
      </c>
      <c r="BD56" s="71" t="b">
        <f t="shared" si="129"/>
        <v>0</v>
      </c>
      <c r="BE56" s="71" t="b">
        <f t="shared" si="130"/>
        <v>0</v>
      </c>
      <c r="BF56" s="71" t="b">
        <f t="shared" si="131"/>
        <v>0</v>
      </c>
      <c r="BG56" s="89" t="b">
        <f t="shared" si="132"/>
        <v>0</v>
      </c>
      <c r="BH56" s="48"/>
    </row>
    <row r="57" spans="1:60" ht="26.25" x14ac:dyDescent="0.25">
      <c r="A57" s="56" cm="1">
        <f t="array" ref="A57">SUMPRODUCT(($AV$10:$AV$59&lt;&gt;"")*(ROW($AV$10:$AV$59)&lt;=ROW()))</f>
        <v>41</v>
      </c>
      <c r="B57" s="59"/>
      <c r="C57" s="60" t="s">
        <v>377</v>
      </c>
      <c r="D57" s="59" t="s">
        <v>13</v>
      </c>
      <c r="E57" s="43"/>
      <c r="F57" s="44">
        <f t="shared" si="103"/>
        <v>46336</v>
      </c>
      <c r="G57" s="45"/>
      <c r="H57" s="44">
        <f t="shared" si="104"/>
        <v>46343</v>
      </c>
      <c r="I57" s="45"/>
      <c r="J57" s="44">
        <f t="shared" si="105"/>
        <v>46349</v>
      </c>
      <c r="K57" s="45"/>
      <c r="L57" s="44">
        <f t="shared" si="106"/>
        <v>46352</v>
      </c>
      <c r="M57" s="45"/>
      <c r="N57" s="44">
        <f t="shared" si="107"/>
        <v>46382</v>
      </c>
      <c r="O57" s="45"/>
      <c r="P57" s="44">
        <f t="shared" si="108"/>
        <v>46392</v>
      </c>
      <c r="Q57" s="45"/>
      <c r="R57" s="44">
        <f t="shared" si="109"/>
        <v>46412</v>
      </c>
      <c r="S57" s="45"/>
      <c r="T57" s="44">
        <f t="shared" si="110"/>
        <v>46419</v>
      </c>
      <c r="U57" s="45"/>
      <c r="V57" s="44">
        <f t="shared" si="111"/>
        <v>46426</v>
      </c>
      <c r="W57" s="45"/>
      <c r="X57" s="44">
        <f t="shared" si="112"/>
        <v>46431</v>
      </c>
      <c r="Y57" s="45"/>
      <c r="Z57" s="46">
        <f t="shared" si="113"/>
        <v>46441</v>
      </c>
      <c r="AA57" s="45"/>
      <c r="AB57" s="32">
        <f t="shared" si="114"/>
        <v>319</v>
      </c>
      <c r="AC57" s="16"/>
      <c r="AD57" s="131">
        <f t="shared" si="115"/>
        <v>95</v>
      </c>
      <c r="AE57" s="16"/>
      <c r="AF57" s="96"/>
      <c r="AG57" s="72"/>
      <c r="AH57" s="72">
        <v>401047</v>
      </c>
      <c r="AI57" s="72"/>
      <c r="AJ57" s="73" t="str">
        <f t="shared" si="116"/>
        <v/>
      </c>
      <c r="AK57" s="101"/>
      <c r="AL57" s="48"/>
      <c r="AM57" s="104">
        <v>300</v>
      </c>
      <c r="AN57" s="74">
        <f t="shared" si="117"/>
        <v>46431</v>
      </c>
      <c r="AO57" s="108">
        <f t="shared" si="133"/>
        <v>224</v>
      </c>
      <c r="AP57" s="48"/>
      <c r="AQ57" s="110"/>
      <c r="AR57" s="75">
        <f t="shared" si="134"/>
        <v>46431</v>
      </c>
      <c r="AS57" s="108">
        <f t="shared" si="135"/>
        <v>224</v>
      </c>
      <c r="AT57" s="48"/>
      <c r="AU57" s="114">
        <f t="shared" si="121"/>
        <v>46207</v>
      </c>
      <c r="AV57" s="120" t="str" cm="1">
        <f t="array" ref="AV57">IF(OR(G57&gt;$C$6,G57=""),$F$8,INDEX($E$8:$Z$8,MATCH(TRUE,(F57:AA57=""),0)))</f>
        <v>1. Tender Docs &amp; BOQ</v>
      </c>
      <c r="AW57" s="117" t="b">
        <f t="shared" si="122"/>
        <v>0</v>
      </c>
      <c r="AX57" s="76" t="b">
        <f t="shared" si="123"/>
        <v>0</v>
      </c>
      <c r="AY57" s="76" t="b">
        <f t="shared" si="124"/>
        <v>0</v>
      </c>
      <c r="AZ57" s="76" t="b">
        <f t="shared" si="125"/>
        <v>0</v>
      </c>
      <c r="BA57" s="76" t="b">
        <f t="shared" si="126"/>
        <v>0</v>
      </c>
      <c r="BB57" s="76" t="b">
        <f t="shared" si="127"/>
        <v>0</v>
      </c>
      <c r="BC57" s="76" t="b">
        <f t="shared" si="128"/>
        <v>0</v>
      </c>
      <c r="BD57" s="76" t="b">
        <f t="shared" si="129"/>
        <v>0</v>
      </c>
      <c r="BE57" s="76" t="b">
        <f t="shared" si="130"/>
        <v>0</v>
      </c>
      <c r="BF57" s="76" t="b">
        <f t="shared" si="131"/>
        <v>0</v>
      </c>
      <c r="BG57" s="90" t="b">
        <f t="shared" si="132"/>
        <v>0</v>
      </c>
      <c r="BH57" s="48"/>
    </row>
    <row r="58" spans="1:60" ht="26.25" x14ac:dyDescent="0.25">
      <c r="A58" s="56" cm="1">
        <f t="array" ref="A58">SUMPRODUCT(($AV$10:$AV$59&lt;&gt;"")*(ROW($AV$10:$AV$59)&lt;=ROW()))</f>
        <v>42</v>
      </c>
      <c r="B58" s="57"/>
      <c r="C58" s="58" t="s">
        <v>378</v>
      </c>
      <c r="D58" s="93" t="s">
        <v>13</v>
      </c>
      <c r="E58" s="16"/>
      <c r="F58" s="29">
        <f t="shared" si="103"/>
        <v>46336</v>
      </c>
      <c r="G58" s="42"/>
      <c r="H58" s="29">
        <f t="shared" si="104"/>
        <v>46343</v>
      </c>
      <c r="I58" s="42"/>
      <c r="J58" s="29">
        <f t="shared" si="105"/>
        <v>46349</v>
      </c>
      <c r="K58" s="42"/>
      <c r="L58" s="29">
        <f t="shared" si="106"/>
        <v>46352</v>
      </c>
      <c r="M58" s="42"/>
      <c r="N58" s="29">
        <f t="shared" si="107"/>
        <v>46382</v>
      </c>
      <c r="O58" s="42"/>
      <c r="P58" s="29">
        <f t="shared" si="108"/>
        <v>46392</v>
      </c>
      <c r="Q58" s="42"/>
      <c r="R58" s="29">
        <f t="shared" si="109"/>
        <v>46412</v>
      </c>
      <c r="S58" s="42"/>
      <c r="T58" s="29">
        <f t="shared" si="110"/>
        <v>46419</v>
      </c>
      <c r="U58" s="42"/>
      <c r="V58" s="29">
        <f t="shared" si="111"/>
        <v>46426</v>
      </c>
      <c r="W58" s="42"/>
      <c r="X58" s="29">
        <f t="shared" si="112"/>
        <v>46431</v>
      </c>
      <c r="Y58" s="42"/>
      <c r="Z58" s="30">
        <f t="shared" si="113"/>
        <v>46441</v>
      </c>
      <c r="AA58" s="42"/>
      <c r="AB58" s="31">
        <f t="shared" si="114"/>
        <v>319</v>
      </c>
      <c r="AC58" s="16"/>
      <c r="AD58" s="131">
        <f t="shared" si="115"/>
        <v>95</v>
      </c>
      <c r="AE58" s="16"/>
      <c r="AF58" s="95"/>
      <c r="AG58" s="67"/>
      <c r="AH58" s="67">
        <v>56147</v>
      </c>
      <c r="AI58" s="67"/>
      <c r="AJ58" s="68" t="str">
        <f t="shared" si="116"/>
        <v/>
      </c>
      <c r="AK58" s="102"/>
      <c r="AL58" s="48"/>
      <c r="AM58" s="105">
        <v>300</v>
      </c>
      <c r="AN58" s="69">
        <f t="shared" si="117"/>
        <v>46431</v>
      </c>
      <c r="AO58" s="107">
        <f t="shared" si="133"/>
        <v>224</v>
      </c>
      <c r="AP58" s="48"/>
      <c r="AQ58" s="111"/>
      <c r="AR58" s="70">
        <f t="shared" si="134"/>
        <v>46431</v>
      </c>
      <c r="AS58" s="107">
        <f t="shared" si="135"/>
        <v>224</v>
      </c>
      <c r="AT58" s="48"/>
      <c r="AU58" s="113">
        <f t="shared" si="121"/>
        <v>46207</v>
      </c>
      <c r="AV58" s="119" t="str" cm="1">
        <f t="array" ref="AV58">IF(OR(G58&gt;$C$6,G58=""),$F$8,INDEX($E$8:$Z$8,MATCH(TRUE,(F58:AA58=""),0)))</f>
        <v>1. Tender Docs &amp; BOQ</v>
      </c>
      <c r="AW58" s="116" t="b">
        <f t="shared" si="122"/>
        <v>0</v>
      </c>
      <c r="AX58" s="71" t="b">
        <f t="shared" si="123"/>
        <v>0</v>
      </c>
      <c r="AY58" s="71" t="b">
        <f t="shared" si="124"/>
        <v>0</v>
      </c>
      <c r="AZ58" s="71" t="b">
        <f t="shared" si="125"/>
        <v>0</v>
      </c>
      <c r="BA58" s="71" t="b">
        <f t="shared" si="126"/>
        <v>0</v>
      </c>
      <c r="BB58" s="71" t="b">
        <f t="shared" si="127"/>
        <v>0</v>
      </c>
      <c r="BC58" s="71" t="b">
        <f t="shared" si="128"/>
        <v>0</v>
      </c>
      <c r="BD58" s="71" t="b">
        <f t="shared" si="129"/>
        <v>0</v>
      </c>
      <c r="BE58" s="71" t="b">
        <f t="shared" si="130"/>
        <v>0</v>
      </c>
      <c r="BF58" s="71" t="b">
        <f t="shared" si="131"/>
        <v>0</v>
      </c>
      <c r="BG58" s="89" t="b">
        <f t="shared" si="132"/>
        <v>0</v>
      </c>
      <c r="BH58" s="48"/>
    </row>
    <row r="59" spans="1:60" ht="26.25" x14ac:dyDescent="0.25">
      <c r="A59" s="56" cm="1">
        <f t="array" ref="A59">SUMPRODUCT(($AV$10:$AV$59&lt;&gt;"")*(ROW($AV$10:$AV$59)&lt;=ROW()))</f>
        <v>43</v>
      </c>
      <c r="B59" s="59"/>
      <c r="C59" s="60" t="s">
        <v>379</v>
      </c>
      <c r="D59" s="59" t="s">
        <v>13</v>
      </c>
      <c r="E59" s="43"/>
      <c r="F59" s="44">
        <f t="shared" si="103"/>
        <v>46336</v>
      </c>
      <c r="G59" s="45"/>
      <c r="H59" s="44">
        <f t="shared" si="104"/>
        <v>46343</v>
      </c>
      <c r="I59" s="45"/>
      <c r="J59" s="44">
        <f t="shared" si="105"/>
        <v>46349</v>
      </c>
      <c r="K59" s="45"/>
      <c r="L59" s="44">
        <f t="shared" si="106"/>
        <v>46352</v>
      </c>
      <c r="M59" s="45"/>
      <c r="N59" s="44">
        <f t="shared" si="107"/>
        <v>46382</v>
      </c>
      <c r="O59" s="45"/>
      <c r="P59" s="44">
        <f t="shared" si="108"/>
        <v>46392</v>
      </c>
      <c r="Q59" s="45"/>
      <c r="R59" s="44">
        <f t="shared" si="109"/>
        <v>46412</v>
      </c>
      <c r="S59" s="45"/>
      <c r="T59" s="44">
        <f t="shared" si="110"/>
        <v>46419</v>
      </c>
      <c r="U59" s="45"/>
      <c r="V59" s="44">
        <f t="shared" si="111"/>
        <v>46426</v>
      </c>
      <c r="W59" s="45"/>
      <c r="X59" s="44">
        <f t="shared" si="112"/>
        <v>46431</v>
      </c>
      <c r="Y59" s="45"/>
      <c r="Z59" s="46">
        <f t="shared" si="113"/>
        <v>46441</v>
      </c>
      <c r="AA59" s="45"/>
      <c r="AB59" s="32">
        <f t="shared" si="114"/>
        <v>319</v>
      </c>
      <c r="AC59" s="16"/>
      <c r="AD59" s="131">
        <f t="shared" si="115"/>
        <v>95</v>
      </c>
      <c r="AE59" s="16"/>
      <c r="AF59" s="96"/>
      <c r="AG59" s="72"/>
      <c r="AH59" s="72">
        <v>1002619</v>
      </c>
      <c r="AI59" s="72"/>
      <c r="AJ59" s="73" t="str">
        <f t="shared" si="116"/>
        <v/>
      </c>
      <c r="AK59" s="101"/>
      <c r="AL59" s="48"/>
      <c r="AM59" s="104">
        <v>300</v>
      </c>
      <c r="AN59" s="74">
        <f t="shared" si="117"/>
        <v>46431</v>
      </c>
      <c r="AO59" s="108">
        <f t="shared" si="133"/>
        <v>224</v>
      </c>
      <c r="AP59" s="48"/>
      <c r="AQ59" s="110"/>
      <c r="AR59" s="75">
        <f t="shared" si="134"/>
        <v>46431</v>
      </c>
      <c r="AS59" s="108">
        <f t="shared" si="135"/>
        <v>224</v>
      </c>
      <c r="AT59" s="48"/>
      <c r="AU59" s="114">
        <f t="shared" si="121"/>
        <v>46207</v>
      </c>
      <c r="AV59" s="120" t="str" cm="1">
        <f t="array" ref="AV59">IF(OR(G59&gt;$C$6,G59=""),$F$8,INDEX($E$8:$Z$8,MATCH(TRUE,(F59:AA59=""),0)))</f>
        <v>1. Tender Docs &amp; BOQ</v>
      </c>
      <c r="AW59" s="117" t="b">
        <f t="shared" si="122"/>
        <v>0</v>
      </c>
      <c r="AX59" s="76" t="b">
        <f t="shared" si="123"/>
        <v>0</v>
      </c>
      <c r="AY59" s="76" t="b">
        <f t="shared" si="124"/>
        <v>0</v>
      </c>
      <c r="AZ59" s="76" t="b">
        <f t="shared" si="125"/>
        <v>0</v>
      </c>
      <c r="BA59" s="76" t="b">
        <f t="shared" si="126"/>
        <v>0</v>
      </c>
      <c r="BB59" s="76" t="b">
        <f t="shared" si="127"/>
        <v>0</v>
      </c>
      <c r="BC59" s="76" t="b">
        <f t="shared" si="128"/>
        <v>0</v>
      </c>
      <c r="BD59" s="76" t="b">
        <f t="shared" si="129"/>
        <v>0</v>
      </c>
      <c r="BE59" s="76" t="b">
        <f t="shared" si="130"/>
        <v>0</v>
      </c>
      <c r="BF59" s="76" t="b">
        <f t="shared" si="131"/>
        <v>0</v>
      </c>
      <c r="BG59" s="90" t="b">
        <f t="shared" si="132"/>
        <v>0</v>
      </c>
      <c r="BH59" s="48"/>
    </row>
    <row r="60" spans="1:60" ht="26.25" x14ac:dyDescent="0.25">
      <c r="A60" s="8"/>
      <c r="B60" s="8"/>
      <c r="C60" s="34" t="s">
        <v>189</v>
      </c>
      <c r="D60" s="100"/>
      <c r="E60" s="16"/>
      <c r="F60" s="123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124"/>
      <c r="AC60" s="16"/>
      <c r="AD60" s="130"/>
      <c r="AE60" s="16"/>
      <c r="AF60" s="99">
        <f>SUM(AF10:AF59)</f>
        <v>0</v>
      </c>
      <c r="AG60" s="10">
        <f>SUM(AG10:AG59)</f>
        <v>0</v>
      </c>
      <c r="AH60" s="10">
        <f>SUM(AH10:AH59)</f>
        <v>533566151</v>
      </c>
      <c r="AI60" s="10">
        <f>SUM(AI10:AI59)</f>
        <v>266400000.00000003</v>
      </c>
      <c r="AJ60" s="10">
        <f>SUM(AJ10:AJ59)</f>
        <v>-25771536.00000003</v>
      </c>
      <c r="AK60" s="9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92"/>
      <c r="BH60" s="48"/>
    </row>
    <row r="65" spans="2:32" x14ac:dyDescent="0.25">
      <c r="B65" s="3">
        <v>1</v>
      </c>
      <c r="C65" s="7" t="s">
        <v>476</v>
      </c>
      <c r="AF65" s="3" t="s">
        <v>488</v>
      </c>
    </row>
    <row r="66" spans="2:32" x14ac:dyDescent="0.25">
      <c r="B66" s="3">
        <v>2</v>
      </c>
      <c r="C66" s="7" t="s">
        <v>489</v>
      </c>
    </row>
    <row r="67" spans="2:32" x14ac:dyDescent="0.25">
      <c r="B67" s="3">
        <v>3</v>
      </c>
    </row>
    <row r="68" spans="2:32" x14ac:dyDescent="0.25">
      <c r="B68" s="3">
        <v>4</v>
      </c>
    </row>
    <row r="69" spans="2:32" x14ac:dyDescent="0.25">
      <c r="B69" s="3">
        <v>5</v>
      </c>
    </row>
    <row r="70" spans="2:32" x14ac:dyDescent="0.25">
      <c r="B70" s="3">
        <v>6</v>
      </c>
    </row>
    <row r="71" spans="2:32" x14ac:dyDescent="0.25">
      <c r="B71" s="3">
        <v>7</v>
      </c>
    </row>
    <row r="72" spans="2:32" x14ac:dyDescent="0.25">
      <c r="B72" s="3">
        <v>8</v>
      </c>
    </row>
  </sheetData>
  <sheetProtection formatColumns="0" formatRows="0" autoFilter="0"/>
  <mergeCells count="75">
    <mergeCell ref="AU7:AU9"/>
    <mergeCell ref="AG7:AG9"/>
    <mergeCell ref="AH7:AH9"/>
    <mergeCell ref="AI7:AI9"/>
    <mergeCell ref="AJ7:AJ9"/>
    <mergeCell ref="AK7:AK9"/>
    <mergeCell ref="AN7:AN9"/>
    <mergeCell ref="AO7:AO9"/>
    <mergeCell ref="AQ7:AQ9"/>
    <mergeCell ref="AR7:AR9"/>
    <mergeCell ref="AS7:AS9"/>
    <mergeCell ref="AM7:AM9"/>
    <mergeCell ref="BF7:BF9"/>
    <mergeCell ref="BG7:BG9"/>
    <mergeCell ref="AV7:AV9"/>
    <mergeCell ref="AW7:AW9"/>
    <mergeCell ref="AX7:AX9"/>
    <mergeCell ref="AY7:AY9"/>
    <mergeCell ref="AZ7:AZ9"/>
    <mergeCell ref="BA7:BA9"/>
    <mergeCell ref="BB7:BB9"/>
    <mergeCell ref="BC7:BC9"/>
    <mergeCell ref="BD7:BD9"/>
    <mergeCell ref="BE7:BE9"/>
    <mergeCell ref="AF7:AF9"/>
    <mergeCell ref="V8:W8"/>
    <mergeCell ref="X8:Y8"/>
    <mergeCell ref="Z8:AA8"/>
    <mergeCell ref="T7:U7"/>
    <mergeCell ref="V7:W7"/>
    <mergeCell ref="X7:Y7"/>
    <mergeCell ref="Z7:AA7"/>
    <mergeCell ref="AB7:AB9"/>
    <mergeCell ref="AD7:AD9"/>
    <mergeCell ref="A7:A9"/>
    <mergeCell ref="B7:B9"/>
    <mergeCell ref="C7:C9"/>
    <mergeCell ref="D7:D9"/>
    <mergeCell ref="F7:G7"/>
    <mergeCell ref="H7:I7"/>
    <mergeCell ref="F8:G8"/>
    <mergeCell ref="H8:I8"/>
    <mergeCell ref="J7:K7"/>
    <mergeCell ref="L7:M7"/>
    <mergeCell ref="L8:M8"/>
    <mergeCell ref="N7:O7"/>
    <mergeCell ref="P7:Q7"/>
    <mergeCell ref="R7:S7"/>
    <mergeCell ref="T8:U8"/>
    <mergeCell ref="J8:K8"/>
    <mergeCell ref="N8:O8"/>
    <mergeCell ref="P8:Q8"/>
    <mergeCell ref="R8:S8"/>
    <mergeCell ref="H3:H4"/>
    <mergeCell ref="I3:I4"/>
    <mergeCell ref="J3:J4"/>
    <mergeCell ref="K3:K4"/>
    <mergeCell ref="L3:L4"/>
    <mergeCell ref="M3:N4"/>
    <mergeCell ref="I1:I2"/>
    <mergeCell ref="J1:J2"/>
    <mergeCell ref="K1:K2"/>
    <mergeCell ref="L1:L2"/>
    <mergeCell ref="M1:N2"/>
    <mergeCell ref="A3:B4"/>
    <mergeCell ref="C3:C4"/>
    <mergeCell ref="D3:D4"/>
    <mergeCell ref="F3:F4"/>
    <mergeCell ref="G3:G4"/>
    <mergeCell ref="H1:H2"/>
    <mergeCell ref="A1:B2"/>
    <mergeCell ref="C1:C2"/>
    <mergeCell ref="D1:D2"/>
    <mergeCell ref="F1:F2"/>
    <mergeCell ref="G1:G2"/>
  </mergeCells>
  <conditionalFormatting sqref="G11:G12 I11:I12 K11:K12 M11:M12 O11:O12 Q11:Q12 S11:S12 U11:U12 W11:W12 Y11:Y12 AA11:AA12 G14 I14 K14 M14 O14 Q14 S14 U14 W14 Y14 AA14 G16:G21 I16:I21 K16:K21 M16:M21 O16:O21 Q16:Q21 S16:S21 U16:U21 W16:W21 Y16:Y21 AA16:AA21 G23:G25 I23:I25 K23:K25 M23:M25 O23:O25 Q23:Q25 S23:S25 U23:U25 W23:W25 Y23:Y25 AA23:AA25 G27:G35 I27:I35 K27:K35 M27:M35 O27:O35 Q27:Q35 S27:S35 U27:U35 W27:W35 Y27:Y35 AA27:AA35 G37:G47 I37:I47 K37:K47 M37:M47 O37:O47 Q37:Q47 S37:S47 U37:U47 W37:W47 Y37:Y47 AA37:AA47 G49:G59 I49:I59 K49:K59 M49:M59 O49:O59 Q49:Q59 S49:S59 U49:U59 W49:W59 Y49:Y59 AA49:AA59">
    <cfRule type="cellIs" dxfId="76" priority="6" operator="between">
      <formula>1</formula>
      <formula>$C$6</formula>
    </cfRule>
  </conditionalFormatting>
  <conditionalFormatting sqref="AB10:AB60 AO11:AO12 AS11:AS12 AO14 AS14 AO27:AO35 AS27:AS35 AO37:AO47 AS37:AS47">
    <cfRule type="cellIs" dxfId="75" priority="10" operator="lessThan">
      <formula>0</formula>
    </cfRule>
  </conditionalFormatting>
  <conditionalFormatting sqref="AO16:AO21 AS16:AS21 AO23:AO25 AS23:AS25 AO49:AO59 AS49:AS59">
    <cfRule type="cellIs" dxfId="74" priority="11" operator="lessThan">
      <formula>0</formula>
    </cfRule>
  </conditionalFormatting>
  <conditionalFormatting sqref="AW11:BG12 BB13:BG15 AW14:BG14 AW16:BG21 BB22:BG22 AW23:BG25 BB26:BG26 AW27:BG35 BB36:BG36 AW37:BG47 BB48:BG48 AW49:BG59 AL60:BG60">
    <cfRule type="cellIs" dxfId="67" priority="7" operator="equal">
      <formula>TRUE</formula>
    </cfRule>
  </conditionalFormatting>
  <conditionalFormatting sqref="BB10:BG10">
    <cfRule type="cellIs" dxfId="66" priority="5" operator="equal">
      <formula>TRUE</formula>
    </cfRule>
  </conditionalFormatting>
  <pageMargins left="3.937007874015748E-2" right="3.937007874015748E-2" top="0.74803149606299213" bottom="0.74803149606299213" header="0.31496062992125984" footer="0.31496062992125984"/>
  <pageSetup paperSize="8" scale="71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529A3D6E-0301-49FC-8C62-83AF44B9E698}">
            <xm:f>AV11=Data!$B$12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8" stopIfTrue="1" id="{97CC16DA-4EE1-469F-8BC7-BA0BBFA5F9BC}">
            <xm:f>AV11=Data!$B$11</xm:f>
            <x14:dxf>
              <fill>
                <patternFill>
                  <bgColor theme="9" tint="0.79998168889431442"/>
                </patternFill>
              </fill>
            </x14:dxf>
          </x14:cfRule>
          <x14:cfRule type="expression" priority="9" id="{CAB27138-C19F-4788-A8C5-2DC99DF4A73F}">
            <xm:f>AV11=Data!$B$2</xm:f>
            <x14:dxf>
              <fill>
                <patternFill>
                  <bgColor rgb="FFFFE5E5"/>
                </patternFill>
              </fill>
            </x14:dxf>
          </x14:cfRule>
          <xm:sqref>AU11:AU61</xm:sqref>
        </x14:conditionalFormatting>
        <x14:conditionalFormatting xmlns:xm="http://schemas.microsoft.com/office/excel/2006/main">
          <x14:cfRule type="cellIs" priority="1" operator="equal" id="{3CD8E235-31D8-440D-A3D7-0E92447E5071}">
            <xm:f>Data!$B$12</xm:f>
            <x14:dxf>
              <fill>
                <patternFill>
                  <bgColor theme="9" tint="0.59996337778862885"/>
                </patternFill>
              </fill>
            </x14:dxf>
          </x14:cfRule>
          <x14:cfRule type="cellIs" priority="2" stopIfTrue="1" operator="equal" id="{FC20DA18-E379-4999-B812-6B9CB314F77B}">
            <xm:f>Data!$B$11</xm:f>
            <x14:dxf>
              <fill>
                <patternFill>
                  <bgColor theme="9" tint="0.79998168889431442"/>
                </patternFill>
              </fill>
            </x14:dxf>
          </x14:cfRule>
          <x14:cfRule type="cellIs" priority="3" operator="equal" id="{C69C770C-CEF6-4360-B600-70D6E2EE1B12}">
            <xm:f>Data!$B$2</xm:f>
            <x14:dxf>
              <fill>
                <patternFill>
                  <bgColor rgb="FFFFE5E5"/>
                </patternFill>
              </fill>
            </x14:dxf>
          </x14:cfRule>
          <xm:sqref>AV11:AV12 AV14 AV16:AV21 AV23:AV25 AV27:AV35 AV37:AV47 AV49:AV59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351DF01-862F-4EAB-847A-ADA09CD6CF60}">
          <x14:formula1>
            <xm:f>Data!$B$2:$B$13</xm:f>
          </x14:formula1>
          <xm:sqref>AV11:AV12 AV49:AV59 AV23:AV25 AV14 AV16:AV21 AV27:AV35 AV37:AV47</xm:sqref>
        </x14:dataValidation>
        <x14:dataValidation type="list" allowBlank="1" showInputMessage="1" showErrorMessage="1" xr:uid="{00822207-990F-4C73-929E-37DB2D48CBF6}">
          <x14:formula1>
            <xm:f>Data!$C$2:$C$12</xm:f>
          </x14:formula1>
          <xm:sqref>D11:D12 D23:D25 D49:D59 D14 D16:D21 D27:D35 D37:D47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2A681-C686-4B56-8397-D9A75FF3CB37}">
  <sheetPr codeName="Sheet12">
    <tabColor rgb="FFF2D6D6"/>
    <pageSetUpPr fitToPage="1"/>
  </sheetPr>
  <dimension ref="A1:BH41"/>
  <sheetViews>
    <sheetView showGridLines="0" zoomScale="70" zoomScaleNormal="70" zoomScalePageLayoutView="55" workbookViewId="0">
      <pane xSplit="3" ySplit="9" topLeftCell="AF10" activePane="bottomRight" state="frozen"/>
      <selection pane="topRight" activeCell="AI6" sqref="AI6:AI8"/>
      <selection pane="bottomLeft" activeCell="AI6" sqref="AI6:AI8"/>
      <selection pane="bottomRight" activeCell="AI14" sqref="AI14"/>
    </sheetView>
  </sheetViews>
  <sheetFormatPr defaultColWidth="9.140625" defaultRowHeight="12.75" outlineLevelRow="1" outlineLevelCol="1" x14ac:dyDescent="0.25"/>
  <cols>
    <col min="1" max="2" width="7.42578125" style="3" customWidth="1"/>
    <col min="3" max="3" width="39.140625" style="7" customWidth="1"/>
    <col min="4" max="4" width="14.5703125" style="5" hidden="1" customWidth="1" outlineLevel="1"/>
    <col min="5" max="5" width="1.140625" style="3" hidden="1" customWidth="1" outlineLevel="1"/>
    <col min="6" max="27" width="11.85546875" style="4" hidden="1" customWidth="1" outlineLevel="1"/>
    <col min="28" max="28" width="11.85546875" style="5" hidden="1" customWidth="1" outlineLevel="1"/>
    <col min="29" max="29" width="1" style="3" hidden="1" customWidth="1" outlineLevel="1"/>
    <col min="30" max="30" width="14.42578125" style="5" hidden="1" customWidth="1" outlineLevel="1"/>
    <col min="31" max="31" width="1.140625" style="3" hidden="1" customWidth="1" outlineLevel="1"/>
    <col min="32" max="32" width="14.85546875" style="3" customWidth="1" collapsed="1"/>
    <col min="33" max="35" width="14.85546875" style="3" customWidth="1"/>
    <col min="36" max="36" width="15.5703125" style="3" hidden="1" customWidth="1" outlineLevel="1"/>
    <col min="37" max="37" width="23.5703125" style="3" customWidth="1" collapsed="1"/>
    <col min="38" max="38" width="0.85546875" style="3" customWidth="1"/>
    <col min="39" max="39" width="7.42578125" style="3" customWidth="1"/>
    <col min="40" max="40" width="13.5703125" style="3" customWidth="1"/>
    <col min="41" max="41" width="7.140625" style="5" customWidth="1"/>
    <col min="42" max="42" width="0.85546875" style="3" customWidth="1"/>
    <col min="43" max="43" width="10.5703125" style="5" customWidth="1"/>
    <col min="44" max="44" width="16.85546875" style="3" customWidth="1"/>
    <col min="45" max="45" width="7.140625" style="5" customWidth="1"/>
    <col min="46" max="46" width="0.85546875" style="3" customWidth="1"/>
    <col min="47" max="47" width="12" style="3" customWidth="1"/>
    <col min="48" max="48" width="35" style="3" bestFit="1" customWidth="1"/>
    <col min="49" max="59" width="4.140625" style="6" customWidth="1"/>
    <col min="60" max="60" width="21.140625" style="3" customWidth="1"/>
    <col min="61" max="16384" width="9.140625" style="3"/>
  </cols>
  <sheetData>
    <row r="1" spans="1:60" s="11" customFormat="1" ht="15" hidden="1" customHeight="1" outlineLevel="1" x14ac:dyDescent="0.25">
      <c r="A1" s="208" t="s">
        <v>57</v>
      </c>
      <c r="B1" s="209"/>
      <c r="C1" s="206" t="s">
        <v>58</v>
      </c>
      <c r="D1" s="211" t="s">
        <v>59</v>
      </c>
      <c r="F1" s="206" t="s">
        <v>60</v>
      </c>
      <c r="G1" s="206" t="s">
        <v>61</v>
      </c>
      <c r="H1" s="206" t="s">
        <v>62</v>
      </c>
      <c r="I1" s="206" t="s">
        <v>63</v>
      </c>
      <c r="J1" s="206" t="s">
        <v>64</v>
      </c>
      <c r="K1" s="206" t="s">
        <v>19</v>
      </c>
      <c r="L1" s="206" t="s">
        <v>65</v>
      </c>
      <c r="M1" s="211" t="s">
        <v>66</v>
      </c>
      <c r="N1" s="224"/>
      <c r="P1" s="27" t="s">
        <v>67</v>
      </c>
      <c r="Q1" s="26"/>
      <c r="R1" s="26"/>
      <c r="S1" s="26"/>
      <c r="U1" s="26" t="s">
        <v>20</v>
      </c>
      <c r="V1" s="26"/>
      <c r="W1" s="26"/>
      <c r="X1" s="26"/>
      <c r="Y1" s="26"/>
      <c r="AA1" s="27" t="s">
        <v>68</v>
      </c>
      <c r="AB1" s="26"/>
      <c r="AC1" s="26"/>
      <c r="AD1" s="28"/>
      <c r="AF1" s="27" t="s">
        <v>33</v>
      </c>
      <c r="AG1" s="26"/>
      <c r="AH1" s="39" t="s">
        <v>34</v>
      </c>
      <c r="AI1" s="40" t="s">
        <v>35</v>
      </c>
      <c r="AY1" s="33"/>
      <c r="AZ1" s="33"/>
      <c r="BA1" s="33"/>
      <c r="BB1" s="33"/>
      <c r="BC1" s="33"/>
      <c r="BD1" s="33"/>
      <c r="BE1" s="33"/>
      <c r="BF1" s="33"/>
      <c r="BG1" s="33"/>
    </row>
    <row r="2" spans="1:60" s="11" customFormat="1" ht="15" hidden="1" outlineLevel="1" x14ac:dyDescent="0.25">
      <c r="A2" s="208"/>
      <c r="B2" s="209"/>
      <c r="C2" s="210"/>
      <c r="D2" s="208"/>
      <c r="E2" s="15"/>
      <c r="F2" s="207"/>
      <c r="G2" s="207"/>
      <c r="H2" s="207"/>
      <c r="I2" s="207"/>
      <c r="J2" s="207"/>
      <c r="K2" s="207"/>
      <c r="L2" s="207"/>
      <c r="M2" s="225"/>
      <c r="N2" s="226"/>
      <c r="P2" s="22" t="s">
        <v>69</v>
      </c>
      <c r="Q2" s="23"/>
      <c r="R2" s="23"/>
      <c r="S2" s="147"/>
      <c r="U2" s="22" t="s">
        <v>25</v>
      </c>
      <c r="V2" s="23"/>
      <c r="W2" s="23"/>
      <c r="X2" s="35">
        <f>AI41</f>
        <v>0</v>
      </c>
      <c r="Y2" s="37">
        <f>X2/(SUM(AH10:$AH$40)+SUM(AI10:$AI$40)-SUMIFS(AH10:$AH$40,$AI$10:$AI$40,"&lt;&gt;"))</f>
        <v>0</v>
      </c>
      <c r="AA2" s="24" t="s">
        <v>70</v>
      </c>
      <c r="AB2" s="25"/>
      <c r="AC2" s="25"/>
      <c r="AD2" s="12" cm="1">
        <f t="array" ref="AD2">SUM(ISNUMBER($AO$10:AO40)*1)</f>
        <v>24</v>
      </c>
      <c r="AF2" s="22" t="s">
        <v>444</v>
      </c>
      <c r="AG2" s="23"/>
      <c r="AH2" s="13">
        <f>COUNTIFS($AB$10:AB40,"&lt;0")</f>
        <v>0</v>
      </c>
      <c r="AI2" s="13">
        <f>MIN(AB10:AB40)</f>
        <v>159</v>
      </c>
    </row>
    <row r="3" spans="1:60" s="11" customFormat="1" ht="15" hidden="1" customHeight="1" outlineLevel="1" x14ac:dyDescent="0.25">
      <c r="A3" s="212" t="s">
        <v>51</v>
      </c>
      <c r="B3" s="213"/>
      <c r="C3" s="216" t="s">
        <v>380</v>
      </c>
      <c r="D3" s="218" t="s">
        <v>73</v>
      </c>
      <c r="E3" s="122"/>
      <c r="F3" s="218"/>
      <c r="G3" s="218" t="s">
        <v>74</v>
      </c>
      <c r="H3" s="218" t="s">
        <v>74</v>
      </c>
      <c r="I3" s="218" t="s">
        <v>357</v>
      </c>
      <c r="J3" s="227"/>
      <c r="K3" s="227">
        <v>122125</v>
      </c>
      <c r="L3" s="218">
        <v>46022</v>
      </c>
      <c r="M3" s="220">
        <v>46257</v>
      </c>
      <c r="N3" s="221"/>
      <c r="P3" s="22" t="s">
        <v>77</v>
      </c>
      <c r="Q3" s="23"/>
      <c r="R3" s="23"/>
      <c r="S3" s="148">
        <f>AF41</f>
        <v>0</v>
      </c>
      <c r="U3" s="22" t="s">
        <v>78</v>
      </c>
      <c r="V3" s="23"/>
      <c r="W3" s="23"/>
      <c r="X3" s="36">
        <f>S4-SUMIFS(AH10:$AH$40,$AI$10:$AI$40,"&lt;&gt;")</f>
        <v>612041901</v>
      </c>
      <c r="Y3" s="153">
        <f>X3/(X2+X3)</f>
        <v>1</v>
      </c>
      <c r="AA3" s="22" t="s">
        <v>79</v>
      </c>
      <c r="AB3" s="23"/>
      <c r="AC3" s="23"/>
      <c r="AD3" s="13">
        <f>COUNTIFS($AV$10:AV40,Z8)</f>
        <v>0</v>
      </c>
      <c r="AF3" s="22" t="s">
        <v>447</v>
      </c>
      <c r="AG3" s="23"/>
      <c r="AH3" s="13">
        <f>COUNTIFS($AO$10:AO40,"&lt;0")</f>
        <v>0</v>
      </c>
      <c r="AI3" s="14">
        <f>MIN(AO10:AO40)</f>
        <v>79</v>
      </c>
    </row>
    <row r="4" spans="1:60" s="11" customFormat="1" ht="15" hidden="1" outlineLevel="1" x14ac:dyDescent="0.25">
      <c r="A4" s="214"/>
      <c r="B4" s="215"/>
      <c r="C4" s="217"/>
      <c r="D4" s="219"/>
      <c r="E4" s="122"/>
      <c r="F4" s="219"/>
      <c r="G4" s="219"/>
      <c r="H4" s="219"/>
      <c r="I4" s="219"/>
      <c r="J4" s="228"/>
      <c r="K4" s="228"/>
      <c r="L4" s="219"/>
      <c r="M4" s="222"/>
      <c r="N4" s="223"/>
      <c r="P4" s="22" t="s">
        <v>23</v>
      </c>
      <c r="Q4" s="23"/>
      <c r="R4" s="23"/>
      <c r="S4" s="148">
        <f>AH41</f>
        <v>612041901</v>
      </c>
      <c r="U4" s="22" t="s">
        <v>80</v>
      </c>
      <c r="V4" s="23"/>
      <c r="W4" s="23"/>
      <c r="X4" s="36">
        <f>SUMIFS(AF10:$AF$40,$AI$10:$AI$40,"&lt;&gt;")-X2</f>
        <v>0</v>
      </c>
      <c r="Y4" s="38" t="e">
        <f>X4/$S$2</f>
        <v>#DIV/0!</v>
      </c>
      <c r="AA4" s="22" t="s">
        <v>81</v>
      </c>
      <c r="AB4" s="23"/>
      <c r="AC4" s="23"/>
      <c r="AD4" s="13">
        <f>C6-L3</f>
        <v>90</v>
      </c>
      <c r="AF4" s="22" t="s">
        <v>448</v>
      </c>
      <c r="AG4" s="23"/>
      <c r="AH4" s="13">
        <f>COUNTIFS($AS$10:AS40,"&lt;0")</f>
        <v>0</v>
      </c>
      <c r="AI4" s="14">
        <f>MIN(AS10:AS40)</f>
        <v>79</v>
      </c>
    </row>
    <row r="5" spans="1:60" s="11" customFormat="1" ht="15" hidden="1" outlineLevel="1" x14ac:dyDescent="0.25">
      <c r="U5" s="22" t="s">
        <v>82</v>
      </c>
      <c r="V5" s="23"/>
      <c r="W5" s="23"/>
      <c r="X5" s="36">
        <f>SUMIFS(AH10:$AH$40,$AI$10:$AI$40,"&lt;&gt;")-X2</f>
        <v>0</v>
      </c>
      <c r="Y5" s="38" t="e">
        <f>X5/$S$2</f>
        <v>#DIV/0!</v>
      </c>
      <c r="Z5" s="160"/>
      <c r="AA5" s="160"/>
      <c r="AB5" s="160"/>
      <c r="AC5" s="160"/>
      <c r="AD5" s="160"/>
      <c r="AE5" s="160"/>
      <c r="AF5" s="160"/>
      <c r="AG5" s="160"/>
      <c r="AH5" s="160"/>
      <c r="AI5" s="160"/>
    </row>
    <row r="6" spans="1:60" ht="23.25" hidden="1" outlineLevel="1" x14ac:dyDescent="0.25">
      <c r="A6" s="127" t="s">
        <v>83</v>
      </c>
      <c r="B6" s="128"/>
      <c r="C6" s="129">
        <v>46112</v>
      </c>
      <c r="D6" s="19"/>
      <c r="E6" s="16"/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5"/>
      <c r="AB6" s="126"/>
      <c r="AC6" s="19"/>
      <c r="AD6" s="19"/>
      <c r="AE6" s="19"/>
      <c r="AF6" s="19"/>
      <c r="AG6" s="19"/>
      <c r="AH6" s="19"/>
      <c r="AI6" s="19"/>
      <c r="AJ6" s="19"/>
      <c r="AK6" s="19"/>
      <c r="AL6" s="16"/>
      <c r="AM6" s="168" t="s">
        <v>446</v>
      </c>
      <c r="AN6" s="16"/>
      <c r="AO6" s="16"/>
      <c r="AP6" s="16"/>
      <c r="AQ6" s="16"/>
      <c r="AR6" s="16"/>
      <c r="AS6" s="16"/>
      <c r="AT6" s="16"/>
      <c r="AU6" s="16"/>
      <c r="AV6" s="16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6"/>
    </row>
    <row r="7" spans="1:60" ht="18.75" customHeight="1" collapsed="1" x14ac:dyDescent="0.25">
      <c r="A7" s="233" t="s">
        <v>84</v>
      </c>
      <c r="B7" s="236" t="s">
        <v>85</v>
      </c>
      <c r="C7" s="236" t="s">
        <v>86</v>
      </c>
      <c r="D7" s="238" t="s">
        <v>1</v>
      </c>
      <c r="F7" s="229">
        <v>15</v>
      </c>
      <c r="G7" s="230"/>
      <c r="H7" s="229">
        <v>7</v>
      </c>
      <c r="I7" s="230"/>
      <c r="J7" s="229">
        <v>6</v>
      </c>
      <c r="K7" s="230"/>
      <c r="L7" s="229">
        <v>3</v>
      </c>
      <c r="M7" s="230"/>
      <c r="N7" s="229">
        <v>30</v>
      </c>
      <c r="O7" s="230"/>
      <c r="P7" s="229">
        <v>10</v>
      </c>
      <c r="Q7" s="230"/>
      <c r="R7" s="229">
        <v>20</v>
      </c>
      <c r="S7" s="230"/>
      <c r="T7" s="229">
        <v>7</v>
      </c>
      <c r="U7" s="230"/>
      <c r="V7" s="229">
        <v>7</v>
      </c>
      <c r="W7" s="230"/>
      <c r="X7" s="229">
        <v>5</v>
      </c>
      <c r="Y7" s="230"/>
      <c r="Z7" s="229">
        <v>10</v>
      </c>
      <c r="AA7" s="230"/>
      <c r="AB7" s="243" t="s">
        <v>87</v>
      </c>
      <c r="AC7" s="16"/>
      <c r="AD7" s="244" t="s">
        <v>88</v>
      </c>
      <c r="AE7" s="16"/>
      <c r="AF7" s="241" t="s">
        <v>77</v>
      </c>
      <c r="AG7" s="257" t="s">
        <v>89</v>
      </c>
      <c r="AH7" s="257" t="s">
        <v>23</v>
      </c>
      <c r="AI7" s="257" t="s">
        <v>90</v>
      </c>
      <c r="AJ7" s="257" t="s">
        <v>91</v>
      </c>
      <c r="AK7" s="258" t="s">
        <v>92</v>
      </c>
      <c r="AL7" s="86"/>
      <c r="AM7" s="255" t="s">
        <v>93</v>
      </c>
      <c r="AN7" s="257" t="s">
        <v>94</v>
      </c>
      <c r="AO7" s="259" t="s">
        <v>95</v>
      </c>
      <c r="AP7" s="86"/>
      <c r="AQ7" s="261" t="s">
        <v>96</v>
      </c>
      <c r="AR7" s="252" t="s">
        <v>97</v>
      </c>
      <c r="AS7" s="259" t="s">
        <v>95</v>
      </c>
      <c r="AT7" s="86"/>
      <c r="AU7" s="255" t="s">
        <v>98</v>
      </c>
      <c r="AV7" s="252" t="s">
        <v>99</v>
      </c>
      <c r="AW7" s="246" t="s">
        <v>2</v>
      </c>
      <c r="AX7" s="246" t="s">
        <v>4</v>
      </c>
      <c r="AY7" s="246" t="s">
        <v>6</v>
      </c>
      <c r="AZ7" s="246" t="s">
        <v>100</v>
      </c>
      <c r="BA7" s="246" t="s">
        <v>10</v>
      </c>
      <c r="BB7" s="246" t="s">
        <v>12</v>
      </c>
      <c r="BC7" s="246" t="s">
        <v>14</v>
      </c>
      <c r="BD7" s="246" t="s">
        <v>15</v>
      </c>
      <c r="BE7" s="246" t="s">
        <v>16</v>
      </c>
      <c r="BF7" s="246" t="s">
        <v>17</v>
      </c>
      <c r="BG7" s="249" t="s">
        <v>101</v>
      </c>
      <c r="BH7" s="86"/>
    </row>
    <row r="8" spans="1:60" ht="26.25" x14ac:dyDescent="0.25">
      <c r="A8" s="234"/>
      <c r="B8" s="237"/>
      <c r="C8" s="237"/>
      <c r="D8" s="239"/>
      <c r="E8" s="16"/>
      <c r="F8" s="231" t="s">
        <v>2</v>
      </c>
      <c r="G8" s="232"/>
      <c r="H8" s="231" t="s">
        <v>4</v>
      </c>
      <c r="I8" s="232"/>
      <c r="J8" s="231" t="s">
        <v>6</v>
      </c>
      <c r="K8" s="232"/>
      <c r="L8" s="231" t="s">
        <v>8</v>
      </c>
      <c r="M8" s="232"/>
      <c r="N8" s="231" t="s">
        <v>10</v>
      </c>
      <c r="O8" s="232"/>
      <c r="P8" s="231" t="s">
        <v>12</v>
      </c>
      <c r="Q8" s="232"/>
      <c r="R8" s="231" t="s">
        <v>14</v>
      </c>
      <c r="S8" s="232"/>
      <c r="T8" s="231" t="s">
        <v>15</v>
      </c>
      <c r="U8" s="232"/>
      <c r="V8" s="231" t="s">
        <v>16</v>
      </c>
      <c r="W8" s="232"/>
      <c r="X8" s="231" t="s">
        <v>17</v>
      </c>
      <c r="Y8" s="232"/>
      <c r="Z8" s="231" t="s">
        <v>18</v>
      </c>
      <c r="AA8" s="232"/>
      <c r="AB8" s="243"/>
      <c r="AC8" s="16"/>
      <c r="AD8" s="245"/>
      <c r="AE8" s="16"/>
      <c r="AF8" s="242"/>
      <c r="AG8" s="237"/>
      <c r="AH8" s="237"/>
      <c r="AI8" s="237"/>
      <c r="AJ8" s="237"/>
      <c r="AK8" s="239"/>
      <c r="AL8" s="48"/>
      <c r="AM8" s="234"/>
      <c r="AN8" s="237"/>
      <c r="AO8" s="260"/>
      <c r="AP8" s="48"/>
      <c r="AQ8" s="262"/>
      <c r="AR8" s="253"/>
      <c r="AS8" s="260"/>
      <c r="AT8" s="48"/>
      <c r="AU8" s="234"/>
      <c r="AV8" s="253"/>
      <c r="AW8" s="247"/>
      <c r="AX8" s="247"/>
      <c r="AY8" s="247"/>
      <c r="AZ8" s="247"/>
      <c r="BA8" s="247"/>
      <c r="BB8" s="247"/>
      <c r="BC8" s="247"/>
      <c r="BD8" s="247"/>
      <c r="BE8" s="247"/>
      <c r="BF8" s="247"/>
      <c r="BG8" s="250"/>
      <c r="BH8" s="146"/>
    </row>
    <row r="9" spans="1:60" s="7" customFormat="1" ht="22.5" x14ac:dyDescent="0.25">
      <c r="A9" s="235"/>
      <c r="B9" s="237"/>
      <c r="C9" s="237"/>
      <c r="D9" s="240"/>
      <c r="E9" s="20"/>
      <c r="F9" s="65" t="s">
        <v>102</v>
      </c>
      <c r="G9" s="66" t="s">
        <v>103</v>
      </c>
      <c r="H9" s="65" t="s">
        <v>102</v>
      </c>
      <c r="I9" s="66" t="s">
        <v>103</v>
      </c>
      <c r="J9" s="65" t="s">
        <v>102</v>
      </c>
      <c r="K9" s="66" t="s">
        <v>103</v>
      </c>
      <c r="L9" s="65" t="s">
        <v>102</v>
      </c>
      <c r="M9" s="66" t="s">
        <v>103</v>
      </c>
      <c r="N9" s="65" t="s">
        <v>102</v>
      </c>
      <c r="O9" s="66" t="s">
        <v>103</v>
      </c>
      <c r="P9" s="65" t="s">
        <v>102</v>
      </c>
      <c r="Q9" s="66" t="s">
        <v>103</v>
      </c>
      <c r="R9" s="65" t="s">
        <v>102</v>
      </c>
      <c r="S9" s="66" t="s">
        <v>103</v>
      </c>
      <c r="T9" s="65" t="s">
        <v>102</v>
      </c>
      <c r="U9" s="66" t="s">
        <v>103</v>
      </c>
      <c r="V9" s="65" t="s">
        <v>102</v>
      </c>
      <c r="W9" s="66" t="s">
        <v>103</v>
      </c>
      <c r="X9" s="65" t="s">
        <v>102</v>
      </c>
      <c r="Y9" s="66" t="s">
        <v>103</v>
      </c>
      <c r="Z9" s="65" t="s">
        <v>102</v>
      </c>
      <c r="AA9" s="66" t="s">
        <v>103</v>
      </c>
      <c r="AB9" s="243"/>
      <c r="AC9" s="20"/>
      <c r="AD9" s="245"/>
      <c r="AE9" s="20"/>
      <c r="AF9" s="242"/>
      <c r="AG9" s="237"/>
      <c r="AH9" s="237"/>
      <c r="AI9" s="237"/>
      <c r="AJ9" s="237"/>
      <c r="AK9" s="239"/>
      <c r="AL9" s="87"/>
      <c r="AM9" s="234"/>
      <c r="AN9" s="237"/>
      <c r="AO9" s="260"/>
      <c r="AP9" s="87"/>
      <c r="AQ9" s="263"/>
      <c r="AR9" s="254"/>
      <c r="AS9" s="264"/>
      <c r="AT9" s="87"/>
      <c r="AU9" s="256"/>
      <c r="AV9" s="254"/>
      <c r="AW9" s="248"/>
      <c r="AX9" s="248"/>
      <c r="AY9" s="248"/>
      <c r="AZ9" s="248"/>
      <c r="BA9" s="248"/>
      <c r="BB9" s="248"/>
      <c r="BC9" s="248"/>
      <c r="BD9" s="248"/>
      <c r="BE9" s="248"/>
      <c r="BF9" s="248"/>
      <c r="BG9" s="251"/>
      <c r="BH9" s="87"/>
    </row>
    <row r="10" spans="1:60" ht="23.25" x14ac:dyDescent="0.25">
      <c r="A10" s="53"/>
      <c r="B10" s="49"/>
      <c r="C10" s="50" t="s">
        <v>104</v>
      </c>
      <c r="D10" s="61"/>
      <c r="E10" s="51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1"/>
      <c r="BF10" s="51"/>
      <c r="BG10" s="88"/>
      <c r="BH10" s="146"/>
    </row>
    <row r="11" spans="1:60" ht="26.25" x14ac:dyDescent="0.25">
      <c r="A11" s="56" cm="1">
        <f t="array" ref="A11">SUMPRODUCT(($AV$10:$AV$40&lt;&gt;"")*(ROW($AV$10:$AV$40)&lt;=ROW()))</f>
        <v>1</v>
      </c>
      <c r="B11" s="57"/>
      <c r="C11" s="58" t="s">
        <v>349</v>
      </c>
      <c r="D11" s="93" t="s">
        <v>107</v>
      </c>
      <c r="E11" s="16"/>
      <c r="F11" s="29">
        <f>H11-$H$7</f>
        <v>46281</v>
      </c>
      <c r="G11" s="42"/>
      <c r="H11" s="29">
        <f>J11-$J$7</f>
        <v>46288</v>
      </c>
      <c r="I11" s="42"/>
      <c r="J11" s="29">
        <f>L11-$L$7</f>
        <v>46294</v>
      </c>
      <c r="K11" s="42"/>
      <c r="L11" s="29">
        <f>N11-$N$7</f>
        <v>46297</v>
      </c>
      <c r="M11" s="42"/>
      <c r="N11" s="29">
        <f>P11-$P$7</f>
        <v>46327</v>
      </c>
      <c r="O11" s="42"/>
      <c r="P11" s="29">
        <f>R11-$R$7</f>
        <v>46337</v>
      </c>
      <c r="Q11" s="42"/>
      <c r="R11" s="29">
        <f>T11-$T$7</f>
        <v>46357</v>
      </c>
      <c r="S11" s="42"/>
      <c r="T11" s="29">
        <f>V11-$V$7</f>
        <v>46364</v>
      </c>
      <c r="U11" s="42"/>
      <c r="V11" s="29">
        <f>X11-$X$7</f>
        <v>46371</v>
      </c>
      <c r="W11" s="42"/>
      <c r="X11" s="29">
        <f>AN11</f>
        <v>46376</v>
      </c>
      <c r="Y11" s="42"/>
      <c r="Z11" s="30">
        <f>X11+$Z$7</f>
        <v>46386</v>
      </c>
      <c r="AA11" s="42"/>
      <c r="AB11" s="31">
        <f>IF(AV11="10. Issued to Contractor","-",IF(AV11="11. Subcontract Agreement signed","-",MAX(AN11,AR11)-$C$6))</f>
        <v>264</v>
      </c>
      <c r="AC11" s="16"/>
      <c r="AD11" s="131">
        <f>SUM($H$7:$Y$7)</f>
        <v>95</v>
      </c>
      <c r="AE11" s="16"/>
      <c r="AF11" s="95"/>
      <c r="AG11" s="67"/>
      <c r="AH11" s="67">
        <v>11500821</v>
      </c>
      <c r="AI11" s="67"/>
      <c r="AJ11" s="68" t="str">
        <f>IF(AI11&gt;0,SUM(AH11)-SUM(AI11),"")</f>
        <v/>
      </c>
      <c r="AK11" s="102"/>
      <c r="AL11" s="48"/>
      <c r="AM11" s="105">
        <v>120</v>
      </c>
      <c r="AN11" s="69">
        <f>$M$3+AM11-1</f>
        <v>46376</v>
      </c>
      <c r="AO11" s="107">
        <f>AN11-AU11</f>
        <v>169</v>
      </c>
      <c r="AP11" s="48"/>
      <c r="AQ11" s="111"/>
      <c r="AR11" s="70">
        <f>IFERROR(WORKDAY.INTL(AN11,AQ11,11),"")</f>
        <v>46376</v>
      </c>
      <c r="AS11" s="107">
        <f>AR11-AU11</f>
        <v>169</v>
      </c>
      <c r="AT11" s="48"/>
      <c r="AU11" s="113">
        <f>IF(Y11&gt;0,Y11,IFERROR(MAX(_xlfn.XLOOKUP($AV11,$H$8:$Z$8,$G11:$Y11),$C$6)+(AN11-_xlfn.XLOOKUP($AV11,$H$8:$Z$8,$F11:$X11))*AD11/SUM($H$7:$Y$7),$C$6+SUM(AD11)))</f>
        <v>46207</v>
      </c>
      <c r="AV11" s="119" t="str" cm="1">
        <f t="array" ref="AV11">IF(OR(G11&gt;$C$6,G11=""),$F$8,INDEX($E$8:$Z$8,MATCH(TRUE,(F11:AA11=""),0)))</f>
        <v>1. Tender Docs &amp; BOQ</v>
      </c>
      <c r="AW11" s="116" t="b">
        <f>IF(AND(G11&gt;0,G11&lt;$C$6),TRUE,FALSE)</f>
        <v>0</v>
      </c>
      <c r="AX11" s="71" t="b">
        <f>IF(AND(I11&gt;0,I11&lt;$C$6),TRUE,FALSE)</f>
        <v>0</v>
      </c>
      <c r="AY11" s="71" t="b">
        <f>IF(AND(K11&gt;0,K11&lt;$C$6),TRUE,FALSE)</f>
        <v>0</v>
      </c>
      <c r="AZ11" s="71" t="b">
        <f>IF(AND(M11&gt;0,M11&lt;$C$6),TRUE,FALSE)</f>
        <v>0</v>
      </c>
      <c r="BA11" s="71" t="b">
        <f>IF(AND(O11&gt;0,O11&lt;$C$6),TRUE,FALSE)</f>
        <v>0</v>
      </c>
      <c r="BB11" s="71" t="b">
        <f>IF(AND(Q11&gt;0,Q11&lt;$C$6),TRUE,FALSE)</f>
        <v>0</v>
      </c>
      <c r="BC11" s="71" t="b">
        <f>IF(AND(S11&gt;0,S11&lt;$C$6),TRUE,FALSE)</f>
        <v>0</v>
      </c>
      <c r="BD11" s="71" t="b">
        <f>IF(AND(U11&gt;0,U11&lt;$C$6),TRUE,FALSE)</f>
        <v>0</v>
      </c>
      <c r="BE11" s="71" t="b">
        <f>IF(AND(W11&gt;0,W11&lt;$C$6),TRUE,FALSE)</f>
        <v>0</v>
      </c>
      <c r="BF11" s="71" t="b">
        <f>IF(AND(Y11&gt;0,Y11&lt;$C$6),TRUE,FALSE)</f>
        <v>0</v>
      </c>
      <c r="BG11" s="89" t="b">
        <f>IF(AND(AA11&gt;0,AA11&lt;$C$6),TRUE,FALSE)</f>
        <v>0</v>
      </c>
      <c r="BH11" s="146"/>
    </row>
    <row r="12" spans="1:60" ht="26.25" x14ac:dyDescent="0.25">
      <c r="A12" s="56" cm="1">
        <f t="array" ref="A12">SUMPRODUCT(($AV$10:$AV$40&lt;&gt;"")*(ROW($AV$10:$AV$40)&lt;=ROW()))</f>
        <v>2</v>
      </c>
      <c r="B12" s="59"/>
      <c r="C12" s="60" t="s">
        <v>350</v>
      </c>
      <c r="D12" s="59" t="s">
        <v>107</v>
      </c>
      <c r="E12" s="43"/>
      <c r="F12" s="44">
        <f>H12-$H$7</f>
        <v>46281</v>
      </c>
      <c r="G12" s="45"/>
      <c r="H12" s="44">
        <f>J12-$J$7</f>
        <v>46288</v>
      </c>
      <c r="I12" s="45"/>
      <c r="J12" s="44">
        <f>L12-$L$7</f>
        <v>46294</v>
      </c>
      <c r="K12" s="45"/>
      <c r="L12" s="44">
        <f>N12-$N$7</f>
        <v>46297</v>
      </c>
      <c r="M12" s="45"/>
      <c r="N12" s="44">
        <f>P12-$P$7</f>
        <v>46327</v>
      </c>
      <c r="O12" s="45"/>
      <c r="P12" s="44">
        <f>R12-$R$7</f>
        <v>46337</v>
      </c>
      <c r="Q12" s="45"/>
      <c r="R12" s="44">
        <f>T12-$T$7</f>
        <v>46357</v>
      </c>
      <c r="S12" s="45"/>
      <c r="T12" s="44">
        <f>V12-$V$7</f>
        <v>46364</v>
      </c>
      <c r="U12" s="45"/>
      <c r="V12" s="44">
        <f>X12-$X$7</f>
        <v>46371</v>
      </c>
      <c r="W12" s="45"/>
      <c r="X12" s="44">
        <f t="shared" ref="X12" si="0">AN12</f>
        <v>46376</v>
      </c>
      <c r="Y12" s="45"/>
      <c r="Z12" s="46">
        <f>X12+$Z$7</f>
        <v>46386</v>
      </c>
      <c r="AA12" s="45"/>
      <c r="AB12" s="47">
        <f>IF(AV12="10. Issued to Contractor","-",IF(AV12="11. Subcontract Agreement signed","-",MAX(AN12,AR12)-$C$6))</f>
        <v>264</v>
      </c>
      <c r="AC12" s="16"/>
      <c r="AD12" s="131">
        <f t="shared" ref="AD12:AD14" si="1">SUM($H$7:$Y$7)</f>
        <v>95</v>
      </c>
      <c r="AE12" s="16"/>
      <c r="AF12" s="96"/>
      <c r="AG12" s="72"/>
      <c r="AH12" s="72">
        <v>6900537</v>
      </c>
      <c r="AI12" s="72"/>
      <c r="AJ12" s="73" t="str">
        <f>IF(AI12&gt;0,SUM(AH12)-SUM(AI12),"")</f>
        <v/>
      </c>
      <c r="AK12" s="101"/>
      <c r="AL12" s="48"/>
      <c r="AM12" s="104">
        <v>120</v>
      </c>
      <c r="AN12" s="74">
        <f>$M$3+AM12-1</f>
        <v>46376</v>
      </c>
      <c r="AO12" s="108">
        <f>AN12-AU12</f>
        <v>169</v>
      </c>
      <c r="AP12" s="48"/>
      <c r="AQ12" s="110"/>
      <c r="AR12" s="75">
        <f>IFERROR(WORKDAY.INTL(AN12,AQ12,11),"")</f>
        <v>46376</v>
      </c>
      <c r="AS12" s="108">
        <f>AR12-AU12</f>
        <v>169</v>
      </c>
      <c r="AT12" s="48"/>
      <c r="AU12" s="114">
        <f t="shared" ref="AU12" si="2">IF(Y12&gt;0,Y12,IFERROR(MAX(_xlfn.XLOOKUP($AV12,$H$8:$Z$8,$G12:$Y12),$C$6)+(AN12-_xlfn.XLOOKUP($AV12,$H$8:$Z$8,$F12:$X12))*AD12/SUM($H$7:$Y$7),$C$6+SUM(AD12)))</f>
        <v>46207</v>
      </c>
      <c r="AV12" s="120" t="str" cm="1">
        <f t="array" ref="AV12">IF(OR(G12&gt;$C$6,G12=""),$F$8,INDEX($E$8:$Z$8,MATCH(TRUE,(F12:AA12=""),0)))</f>
        <v>1. Tender Docs &amp; BOQ</v>
      </c>
      <c r="AW12" s="117" t="b">
        <f>IF(AND(G12&gt;0,G12&lt;$C$6),TRUE,FALSE)</f>
        <v>0</v>
      </c>
      <c r="AX12" s="76" t="b">
        <f>IF(AND(I12&gt;0,I12&lt;$C$6),TRUE,FALSE)</f>
        <v>0</v>
      </c>
      <c r="AY12" s="76" t="b">
        <f>IF(AND(K12&gt;0,K12&lt;$C$6),TRUE,FALSE)</f>
        <v>0</v>
      </c>
      <c r="AZ12" s="76" t="b">
        <f>IF(AND(M12&gt;0,M12&lt;$C$6),TRUE,FALSE)</f>
        <v>0</v>
      </c>
      <c r="BA12" s="76" t="b">
        <f>IF(AND(O12&gt;0,O12&lt;$C$6),TRUE,FALSE)</f>
        <v>0</v>
      </c>
      <c r="BB12" s="76" t="b">
        <f>IF(AND(Q12&gt;0,Q12&lt;$C$6),TRUE,FALSE)</f>
        <v>0</v>
      </c>
      <c r="BC12" s="76" t="b">
        <f>IF(AND(S12&gt;0,S12&lt;$C$6),TRUE,FALSE)</f>
        <v>0</v>
      </c>
      <c r="BD12" s="76" t="b">
        <f>IF(AND(U12&gt;0,U12&lt;$C$6),TRUE,FALSE)</f>
        <v>0</v>
      </c>
      <c r="BE12" s="76" t="b">
        <f>IF(AND(W12&gt;0,W12&lt;$C$6),TRUE,FALSE)</f>
        <v>0</v>
      </c>
      <c r="BF12" s="76" t="b">
        <f>IF(AND(Y12&gt;0,Y12&lt;$C$6),TRUE,FALSE)</f>
        <v>0</v>
      </c>
      <c r="BG12" s="90" t="b">
        <f>IF(AND(AA12&gt;0,AA12&lt;$C$6),TRUE,FALSE)</f>
        <v>0</v>
      </c>
      <c r="BH12" s="146"/>
    </row>
    <row r="13" spans="1:60" ht="23.25" x14ac:dyDescent="0.25">
      <c r="A13" s="55"/>
      <c r="B13" s="49"/>
      <c r="C13" s="50" t="s">
        <v>115</v>
      </c>
      <c r="D13" s="51"/>
      <c r="E13" s="51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1"/>
      <c r="AC13" s="51"/>
      <c r="AD13" s="132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51"/>
      <c r="AZ13" s="51"/>
      <c r="BA13" s="51"/>
      <c r="BB13" s="51"/>
      <c r="BC13" s="51"/>
      <c r="BD13" s="51"/>
      <c r="BE13" s="51"/>
      <c r="BF13" s="51"/>
      <c r="BG13" s="88"/>
      <c r="BH13" s="146"/>
    </row>
    <row r="14" spans="1:60" ht="26.25" x14ac:dyDescent="0.25">
      <c r="A14" s="56" cm="1">
        <f t="array" ref="A14">SUMPRODUCT(($AV$10:$AV$40&lt;&gt;"")*(ROW($AV$10:$AV$40)&lt;=ROW()))</f>
        <v>3</v>
      </c>
      <c r="B14" s="57"/>
      <c r="C14" s="58" t="s">
        <v>115</v>
      </c>
      <c r="D14" s="93" t="s">
        <v>107</v>
      </c>
      <c r="E14" s="16"/>
      <c r="F14" s="29">
        <f>H14-$H$7</f>
        <v>46176</v>
      </c>
      <c r="G14" s="42">
        <v>46049</v>
      </c>
      <c r="H14" s="29">
        <f>J14-$J$7</f>
        <v>46183</v>
      </c>
      <c r="I14" s="42">
        <v>46049</v>
      </c>
      <c r="J14" s="29">
        <f>L14-$L$7</f>
        <v>46189</v>
      </c>
      <c r="K14" s="42">
        <v>46049</v>
      </c>
      <c r="L14" s="29">
        <f>N14-$N$7</f>
        <v>46192</v>
      </c>
      <c r="M14" s="42">
        <v>46049</v>
      </c>
      <c r="N14" s="29">
        <f>P14-$P$7</f>
        <v>46222</v>
      </c>
      <c r="O14" s="42"/>
      <c r="P14" s="29">
        <f>R14-$R$7</f>
        <v>46232</v>
      </c>
      <c r="Q14" s="42"/>
      <c r="R14" s="29">
        <f>T14-$T$7</f>
        <v>46252</v>
      </c>
      <c r="S14" s="42"/>
      <c r="T14" s="29">
        <f>V14-$V$7</f>
        <v>46259</v>
      </c>
      <c r="U14" s="42"/>
      <c r="V14" s="29">
        <f>X14-$X$7</f>
        <v>46266</v>
      </c>
      <c r="W14" s="42"/>
      <c r="X14" s="29">
        <f>AN14</f>
        <v>46271</v>
      </c>
      <c r="Y14" s="42"/>
      <c r="Z14" s="30">
        <f>X14+$Z$7</f>
        <v>46281</v>
      </c>
      <c r="AA14" s="42"/>
      <c r="AB14" s="31">
        <f>IF(AV14="10. Issued to Contractor","-",IF(AV14="11. Subcontract Agreement signed","-",MAX(AN14,AR14)-$C$6))</f>
        <v>159</v>
      </c>
      <c r="AC14" s="16"/>
      <c r="AD14" s="131">
        <f t="shared" si="1"/>
        <v>95</v>
      </c>
      <c r="AE14" s="16"/>
      <c r="AF14" s="95"/>
      <c r="AG14" s="67"/>
      <c r="AH14" s="67">
        <v>276019704</v>
      </c>
      <c r="AI14" s="67"/>
      <c r="AJ14" s="68" t="str">
        <f>IF(AI14&gt;0,SUM(AH14)-SUM(AI14),"")</f>
        <v/>
      </c>
      <c r="AK14" s="102"/>
      <c r="AL14" s="48"/>
      <c r="AM14" s="105">
        <v>15</v>
      </c>
      <c r="AN14" s="69">
        <f>$M$3+AM14-1</f>
        <v>46271</v>
      </c>
      <c r="AO14" s="107">
        <f>AN14-AU14</f>
        <v>80</v>
      </c>
      <c r="AP14" s="48"/>
      <c r="AQ14" s="111"/>
      <c r="AR14" s="70">
        <f>IFERROR(WORKDAY.INTL(AN14,AQ14,11),"")</f>
        <v>46271</v>
      </c>
      <c r="AS14" s="107">
        <f>AR14-AU14</f>
        <v>80</v>
      </c>
      <c r="AT14" s="48"/>
      <c r="AU14" s="113">
        <f>IF(Y14&gt;0,Y14,IFERROR(MAX(_xlfn.XLOOKUP($AV14,$H$8:$Z$8,$G14:$Y14),$C$6)+(AN14-_xlfn.XLOOKUP($AV14,$H$8:$Z$8,$F14:$X14))*AD14/SUM($H$7:$Y$7),$C$6+SUM(AD14)))</f>
        <v>46191</v>
      </c>
      <c r="AV14" s="119" t="str" cm="1">
        <f t="array" ref="AV14">IF(OR(G14&gt;$C$6,G14=""),$F$8,INDEX($E$8:$Z$8,MATCH(TRUE,(F14:AA14=""),0)))</f>
        <v>5. Initial submission</v>
      </c>
      <c r="AW14" s="116" t="b">
        <f>IF(AND(G14&gt;0,G14&lt;$C$6),TRUE,FALSE)</f>
        <v>1</v>
      </c>
      <c r="AX14" s="71" t="b">
        <f>IF(AND(I14&gt;0,I14&lt;$C$6),TRUE,FALSE)</f>
        <v>1</v>
      </c>
      <c r="AY14" s="71" t="b">
        <f>IF(AND(K14&gt;0,K14&lt;$C$6),TRUE,FALSE)</f>
        <v>1</v>
      </c>
      <c r="AZ14" s="71" t="b">
        <f>IF(AND(M14&gt;0,M14&lt;$C$6),TRUE,FALSE)</f>
        <v>1</v>
      </c>
      <c r="BA14" s="71" t="b">
        <f>IF(AND(O14&gt;0,O14&lt;$C$6),TRUE,FALSE)</f>
        <v>0</v>
      </c>
      <c r="BB14" s="71" t="b">
        <f>IF(AND(Q14&gt;0,Q14&lt;$C$6),TRUE,FALSE)</f>
        <v>0</v>
      </c>
      <c r="BC14" s="71" t="b">
        <f>IF(AND(S14&gt;0,S14&lt;$C$6),TRUE,FALSE)</f>
        <v>0</v>
      </c>
      <c r="BD14" s="71" t="b">
        <f>IF(AND(U14&gt;0,U14&lt;$C$6),TRUE,FALSE)</f>
        <v>0</v>
      </c>
      <c r="BE14" s="71" t="b">
        <f>IF(AND(W14&gt;0,W14&lt;$C$6),TRUE,FALSE)</f>
        <v>0</v>
      </c>
      <c r="BF14" s="71" t="b">
        <f>IF(AND(Y14&gt;0,Y14&lt;$C$6),TRUE,FALSE)</f>
        <v>0</v>
      </c>
      <c r="BG14" s="89" t="b">
        <f>IF(AND(AA14&gt;0,AA14&lt;$C$6),TRUE,FALSE)</f>
        <v>0</v>
      </c>
      <c r="BH14" s="146"/>
    </row>
    <row r="15" spans="1:60" ht="23.25" x14ac:dyDescent="0.25">
      <c r="A15" s="53"/>
      <c r="B15" s="49"/>
      <c r="C15" s="50" t="s">
        <v>445</v>
      </c>
      <c r="D15" s="51"/>
      <c r="E15" s="51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1"/>
      <c r="AC15" s="51"/>
      <c r="AD15" s="132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51"/>
      <c r="BD15" s="51"/>
      <c r="BE15" s="51"/>
      <c r="BF15" s="51"/>
      <c r="BG15" s="88"/>
      <c r="BH15" s="146"/>
    </row>
    <row r="16" spans="1:60" ht="30" x14ac:dyDescent="0.25">
      <c r="A16" s="56" cm="1">
        <f t="array" ref="A16">SUMPRODUCT(($AV$10:$AV$40&lt;&gt;"")*(ROW($AV$10:$AV$40)&lt;=ROW()))</f>
        <v>4</v>
      </c>
      <c r="B16" s="57"/>
      <c r="C16" s="58" t="s">
        <v>381</v>
      </c>
      <c r="D16" s="93" t="s">
        <v>7</v>
      </c>
      <c r="E16" s="16"/>
      <c r="F16" s="29">
        <f>H16-$H$7</f>
        <v>46236</v>
      </c>
      <c r="G16" s="42"/>
      <c r="H16" s="29">
        <f>J16-$J$7</f>
        <v>46243</v>
      </c>
      <c r="I16" s="42"/>
      <c r="J16" s="29">
        <f>L16-$L$7</f>
        <v>46249</v>
      </c>
      <c r="K16" s="42"/>
      <c r="L16" s="29">
        <f>N16-$N$7</f>
        <v>46252</v>
      </c>
      <c r="M16" s="42"/>
      <c r="N16" s="29">
        <f>P16-$P$7</f>
        <v>46282</v>
      </c>
      <c r="O16" s="42"/>
      <c r="P16" s="29">
        <f>R16-$R$7</f>
        <v>46292</v>
      </c>
      <c r="Q16" s="42"/>
      <c r="R16" s="29">
        <f>T16-$T$7</f>
        <v>46312</v>
      </c>
      <c r="S16" s="42"/>
      <c r="T16" s="29">
        <f>V16-$V$7</f>
        <v>46319</v>
      </c>
      <c r="U16" s="42"/>
      <c r="V16" s="29">
        <f>X16-$X$7</f>
        <v>46326</v>
      </c>
      <c r="W16" s="42"/>
      <c r="X16" s="29">
        <f t="shared" ref="X16:X19" si="3">AN16</f>
        <v>46331</v>
      </c>
      <c r="Y16" s="42"/>
      <c r="Z16" s="30">
        <f>X16+$Z$7</f>
        <v>46341</v>
      </c>
      <c r="AA16" s="42"/>
      <c r="AB16" s="31">
        <f>IF(AV16="10. Issued to Contractor","-",IF(AV16="11. Subcontract Agreement signed","-",MAX(AN16,AR16)-$C$6))</f>
        <v>219</v>
      </c>
      <c r="AC16" s="16"/>
      <c r="AD16" s="131">
        <f t="shared" ref="AD16:AD19" si="4">SUM($H$7:$Y$7)</f>
        <v>95</v>
      </c>
      <c r="AE16" s="16"/>
      <c r="AF16" s="95"/>
      <c r="AG16" s="67"/>
      <c r="AH16" s="67">
        <v>16101105</v>
      </c>
      <c r="AI16" s="67"/>
      <c r="AJ16" s="68" t="str">
        <f>IF(AI16&gt;0,SUM(AH16)-SUM(AI16),"")</f>
        <v/>
      </c>
      <c r="AK16" s="102"/>
      <c r="AL16" s="48"/>
      <c r="AM16" s="105">
        <v>75</v>
      </c>
      <c r="AN16" s="69">
        <f>$M$3+AM16-1</f>
        <v>46331</v>
      </c>
      <c r="AO16" s="107">
        <f>AN16-AU16</f>
        <v>124</v>
      </c>
      <c r="AP16" s="48"/>
      <c r="AQ16" s="111"/>
      <c r="AR16" s="70">
        <f>IFERROR(WORKDAY.INTL(AN16,AQ16,11),"")</f>
        <v>46331</v>
      </c>
      <c r="AS16" s="107">
        <f>AR16-AU16</f>
        <v>124</v>
      </c>
      <c r="AT16" s="48"/>
      <c r="AU16" s="113">
        <f t="shared" ref="AU16:AU19" si="5">IF(Y16&gt;0,Y16,IFERROR(MAX(_xlfn.XLOOKUP($AV16,$H$8:$Z$8,$G16:$Y16),$C$6)+(AN16-_xlfn.XLOOKUP($AV16,$H$8:$Z$8,$F16:$X16))*AD16/SUM($H$7:$Y$7),$C$6+SUM(AD16)))</f>
        <v>46207</v>
      </c>
      <c r="AV16" s="119" t="str" cm="1">
        <f t="array" ref="AV16">IF(OR(G16&gt;$C$6,G16=""),$F$8,INDEX($E$8:$Z$8,MATCH(TRUE,(F16:AA16=""),0)))</f>
        <v>1. Tender Docs &amp; BOQ</v>
      </c>
      <c r="AW16" s="116" t="b">
        <f>IF(AND(G16&gt;0,G16&lt;$C$6),TRUE,FALSE)</f>
        <v>0</v>
      </c>
      <c r="AX16" s="71" t="b">
        <f>IF(AND(I16&gt;0,I16&lt;$C$6),TRUE,FALSE)</f>
        <v>0</v>
      </c>
      <c r="AY16" s="71" t="b">
        <f>IF(AND(K16&gt;0,K16&lt;$C$6),TRUE,FALSE)</f>
        <v>0</v>
      </c>
      <c r="AZ16" s="71" t="b">
        <f>IF(AND(M16&gt;0,M16&lt;$C$6),TRUE,FALSE)</f>
        <v>0</v>
      </c>
      <c r="BA16" s="71" t="b">
        <f>IF(AND(O16&gt;0,O16&lt;$C$6),TRUE,FALSE)</f>
        <v>0</v>
      </c>
      <c r="BB16" s="71" t="b">
        <f>IF(AND(Q16&gt;0,Q16&lt;$C$6),TRUE,FALSE)</f>
        <v>0</v>
      </c>
      <c r="BC16" s="71" t="b">
        <f>IF(AND(S16&gt;0,S16&lt;$C$6),TRUE,FALSE)</f>
        <v>0</v>
      </c>
      <c r="BD16" s="71" t="b">
        <f>IF(AND(U16&gt;0,U16&lt;$C$6),TRUE,FALSE)</f>
        <v>0</v>
      </c>
      <c r="BE16" s="71" t="b">
        <f>IF(AND(W16&gt;0,W16&lt;$C$6),TRUE,FALSE)</f>
        <v>0</v>
      </c>
      <c r="BF16" s="71" t="b">
        <f>IF(AND(Y16&gt;0,Y16&lt;$C$6),TRUE,FALSE)</f>
        <v>0</v>
      </c>
      <c r="BG16" s="89" t="b">
        <f>IF(AND(AA16&gt;0,AA16&lt;$C$6),TRUE,FALSE)</f>
        <v>0</v>
      </c>
      <c r="BH16" s="146"/>
    </row>
    <row r="17" spans="1:60" ht="30" x14ac:dyDescent="0.25">
      <c r="A17" s="56" cm="1">
        <f t="array" ref="A17">SUMPRODUCT(($AV$10:$AV$40&lt;&gt;"")*(ROW($AV$10:$AV$40)&lt;=ROW()))</f>
        <v>5</v>
      </c>
      <c r="B17" s="59"/>
      <c r="C17" s="60" t="s">
        <v>360</v>
      </c>
      <c r="D17" s="59" t="s">
        <v>7</v>
      </c>
      <c r="E17" s="43"/>
      <c r="F17" s="44">
        <f>H17-$H$7</f>
        <v>46236</v>
      </c>
      <c r="G17" s="45"/>
      <c r="H17" s="44">
        <f>J17-$J$7</f>
        <v>46243</v>
      </c>
      <c r="I17" s="45"/>
      <c r="J17" s="44">
        <f>L17-$L$7</f>
        <v>46249</v>
      </c>
      <c r="K17" s="45"/>
      <c r="L17" s="44">
        <f>N17-$N$7</f>
        <v>46252</v>
      </c>
      <c r="M17" s="45"/>
      <c r="N17" s="44">
        <f>P17-$P$7</f>
        <v>46282</v>
      </c>
      <c r="O17" s="45"/>
      <c r="P17" s="44">
        <f>R17-$R$7</f>
        <v>46292</v>
      </c>
      <c r="Q17" s="45"/>
      <c r="R17" s="44">
        <f>T17-$T$7</f>
        <v>46312</v>
      </c>
      <c r="S17" s="45"/>
      <c r="T17" s="44">
        <f>V17-$V$7</f>
        <v>46319</v>
      </c>
      <c r="U17" s="45"/>
      <c r="V17" s="44">
        <f>X17-$X$7</f>
        <v>46326</v>
      </c>
      <c r="W17" s="45"/>
      <c r="X17" s="44">
        <f t="shared" si="3"/>
        <v>46331</v>
      </c>
      <c r="Y17" s="45"/>
      <c r="Z17" s="46">
        <f>X17+$Z$7</f>
        <v>46341</v>
      </c>
      <c r="AA17" s="45"/>
      <c r="AB17" s="32">
        <f>IF(AV17="10. Issued to Contractor","-",IF(AV17="11. Subcontract Agreement signed","-",MAX(AN17,AR17)-$C$6))</f>
        <v>219</v>
      </c>
      <c r="AC17" s="16"/>
      <c r="AD17" s="131">
        <f t="shared" si="4"/>
        <v>95</v>
      </c>
      <c r="AE17" s="16"/>
      <c r="AF17" s="96"/>
      <c r="AG17" s="72"/>
      <c r="AH17" s="72">
        <v>14721042</v>
      </c>
      <c r="AI17" s="72"/>
      <c r="AJ17" s="73" t="str">
        <f>IF(AI17&gt;0,SUM(AH17)-SUM(AI17),"")</f>
        <v/>
      </c>
      <c r="AK17" s="101"/>
      <c r="AL17" s="48"/>
      <c r="AM17" s="104">
        <v>75</v>
      </c>
      <c r="AN17" s="74">
        <f>$M$3+AM17-1</f>
        <v>46331</v>
      </c>
      <c r="AO17" s="108">
        <f>AN17-AU17</f>
        <v>124</v>
      </c>
      <c r="AP17" s="48"/>
      <c r="AQ17" s="110"/>
      <c r="AR17" s="75">
        <f>IFERROR(WORKDAY.INTL(AN17,AQ17,11),"")</f>
        <v>46331</v>
      </c>
      <c r="AS17" s="108">
        <f>AR17-AU17</f>
        <v>124</v>
      </c>
      <c r="AT17" s="48"/>
      <c r="AU17" s="114">
        <f t="shared" si="5"/>
        <v>46207</v>
      </c>
      <c r="AV17" s="120" t="str" cm="1">
        <f t="array" ref="AV17">IF(OR(G17&gt;$C$6,G17=""),$F$8,INDEX($E$8:$Z$8,MATCH(TRUE,(F17:AA17=""),0)))</f>
        <v>1. Tender Docs &amp; BOQ</v>
      </c>
      <c r="AW17" s="117" t="b">
        <f>IF(AND(G17&gt;0,G17&lt;$C$6),TRUE,FALSE)</f>
        <v>0</v>
      </c>
      <c r="AX17" s="76" t="b">
        <f>IF(AND(I17&gt;0,I17&lt;$C$6),TRUE,FALSE)</f>
        <v>0</v>
      </c>
      <c r="AY17" s="76" t="b">
        <f>IF(AND(K17&gt;0,K17&lt;$C$6),TRUE,FALSE)</f>
        <v>0</v>
      </c>
      <c r="AZ17" s="76" t="b">
        <f>IF(AND(M17&gt;0,M17&lt;$C$6),TRUE,FALSE)</f>
        <v>0</v>
      </c>
      <c r="BA17" s="76" t="b">
        <f>IF(AND(O17&gt;0,O17&lt;$C$6),TRUE,FALSE)</f>
        <v>0</v>
      </c>
      <c r="BB17" s="76" t="b">
        <f>IF(AND(Q17&gt;0,Q17&lt;$C$6),TRUE,FALSE)</f>
        <v>0</v>
      </c>
      <c r="BC17" s="76" t="b">
        <f>IF(AND(S17&gt;0,S17&lt;$C$6),TRUE,FALSE)</f>
        <v>0</v>
      </c>
      <c r="BD17" s="76" t="b">
        <f>IF(AND(U17&gt;0,U17&lt;$C$6),TRUE,FALSE)</f>
        <v>0</v>
      </c>
      <c r="BE17" s="76" t="b">
        <f>IF(AND(W17&gt;0,W17&lt;$C$6),TRUE,FALSE)</f>
        <v>0</v>
      </c>
      <c r="BF17" s="76" t="b">
        <f>IF(AND(Y17&gt;0,Y17&lt;$C$6),TRUE,FALSE)</f>
        <v>0</v>
      </c>
      <c r="BG17" s="90" t="b">
        <f>IF(AND(AA17&gt;0,AA17&lt;$C$6),TRUE,FALSE)</f>
        <v>0</v>
      </c>
      <c r="BH17" s="146"/>
    </row>
    <row r="18" spans="1:60" ht="26.25" x14ac:dyDescent="0.25">
      <c r="A18" s="56" cm="1">
        <f t="array" ref="A18">SUMPRODUCT(($AV$10:$AV$40&lt;&gt;"")*(ROW($AV$10:$AV$40)&lt;=ROW()))</f>
        <v>6</v>
      </c>
      <c r="B18" s="57"/>
      <c r="C18" s="58" t="s">
        <v>361</v>
      </c>
      <c r="D18" s="93" t="s">
        <v>7</v>
      </c>
      <c r="E18" s="16"/>
      <c r="F18" s="29">
        <f>H18-$H$7</f>
        <v>46236</v>
      </c>
      <c r="G18" s="42"/>
      <c r="H18" s="29">
        <f>J18-$J$7</f>
        <v>46243</v>
      </c>
      <c r="I18" s="42"/>
      <c r="J18" s="29">
        <f>L18-$L$7</f>
        <v>46249</v>
      </c>
      <c r="K18" s="42"/>
      <c r="L18" s="29">
        <f>N18-$N$7</f>
        <v>46252</v>
      </c>
      <c r="M18" s="42"/>
      <c r="N18" s="29">
        <f>P18-$P$7</f>
        <v>46282</v>
      </c>
      <c r="O18" s="42"/>
      <c r="P18" s="29">
        <f>R18-$R$7</f>
        <v>46292</v>
      </c>
      <c r="Q18" s="42"/>
      <c r="R18" s="29">
        <f>T18-$T$7</f>
        <v>46312</v>
      </c>
      <c r="S18" s="42"/>
      <c r="T18" s="29">
        <f>V18-$V$7</f>
        <v>46319</v>
      </c>
      <c r="U18" s="42"/>
      <c r="V18" s="29">
        <f>X18-$X$7</f>
        <v>46326</v>
      </c>
      <c r="W18" s="42"/>
      <c r="X18" s="29">
        <f t="shared" si="3"/>
        <v>46331</v>
      </c>
      <c r="Y18" s="42"/>
      <c r="Z18" s="30">
        <f>X18+$Z$7</f>
        <v>46341</v>
      </c>
      <c r="AA18" s="42"/>
      <c r="AB18" s="31">
        <f>IF(AV18="10. Issued to Contractor","-",IF(AV18="11. Subcontract Agreement signed","-",MAX(AN18,AR18)-$C$6))</f>
        <v>219</v>
      </c>
      <c r="AC18" s="16"/>
      <c r="AD18" s="131">
        <f t="shared" si="4"/>
        <v>95</v>
      </c>
      <c r="AE18" s="16"/>
      <c r="AF18" s="95"/>
      <c r="AG18" s="67"/>
      <c r="AH18" s="67">
        <v>82805889</v>
      </c>
      <c r="AI18" s="67"/>
      <c r="AJ18" s="68" t="str">
        <f>IF(AI18&gt;0,SUM(AH18)-SUM(AI18),"")</f>
        <v/>
      </c>
      <c r="AK18" s="102"/>
      <c r="AL18" s="48"/>
      <c r="AM18" s="105">
        <v>75</v>
      </c>
      <c r="AN18" s="69">
        <f>$M$3+AM18-1</f>
        <v>46331</v>
      </c>
      <c r="AO18" s="107">
        <f>AN18-AU18</f>
        <v>124</v>
      </c>
      <c r="AP18" s="48"/>
      <c r="AQ18" s="111"/>
      <c r="AR18" s="70">
        <f>IFERROR(WORKDAY.INTL(AN18,AQ18,11),"")</f>
        <v>46331</v>
      </c>
      <c r="AS18" s="107">
        <f>AR18-AU18</f>
        <v>124</v>
      </c>
      <c r="AT18" s="48"/>
      <c r="AU18" s="113">
        <f t="shared" si="5"/>
        <v>46207</v>
      </c>
      <c r="AV18" s="119" t="str" cm="1">
        <f t="array" ref="AV18">IF(OR(G18&gt;$C$6,G18=""),$F$8,INDEX($E$8:$Z$8,MATCH(TRUE,(F18:AA18=""),0)))</f>
        <v>1. Tender Docs &amp; BOQ</v>
      </c>
      <c r="AW18" s="116" t="b">
        <f>IF(AND(G18&gt;0,G18&lt;$C$6),TRUE,FALSE)</f>
        <v>0</v>
      </c>
      <c r="AX18" s="71" t="b">
        <f>IF(AND(I18&gt;0,I18&lt;$C$6),TRUE,FALSE)</f>
        <v>0</v>
      </c>
      <c r="AY18" s="71" t="b">
        <f>IF(AND(K18&gt;0,K18&lt;$C$6),TRUE,FALSE)</f>
        <v>0</v>
      </c>
      <c r="AZ18" s="71" t="b">
        <f>IF(AND(M18&gt;0,M18&lt;$C$6),TRUE,FALSE)</f>
        <v>0</v>
      </c>
      <c r="BA18" s="71" t="b">
        <f>IF(AND(O18&gt;0,O18&lt;$C$6),TRUE,FALSE)</f>
        <v>0</v>
      </c>
      <c r="BB18" s="71" t="b">
        <f>IF(AND(Q18&gt;0,Q18&lt;$C$6),TRUE,FALSE)</f>
        <v>0</v>
      </c>
      <c r="BC18" s="71" t="b">
        <f>IF(AND(S18&gt;0,S18&lt;$C$6),TRUE,FALSE)</f>
        <v>0</v>
      </c>
      <c r="BD18" s="71" t="b">
        <f>IF(AND(U18&gt;0,U18&lt;$C$6),TRUE,FALSE)</f>
        <v>0</v>
      </c>
      <c r="BE18" s="71" t="b">
        <f>IF(AND(W18&gt;0,W18&lt;$C$6),TRUE,FALSE)</f>
        <v>0</v>
      </c>
      <c r="BF18" s="71" t="b">
        <f>IF(AND(Y18&gt;0,Y18&lt;$C$6),TRUE,FALSE)</f>
        <v>0</v>
      </c>
      <c r="BG18" s="89" t="b">
        <f>IF(AND(AA18&gt;0,AA18&lt;$C$6),TRUE,FALSE)</f>
        <v>0</v>
      </c>
      <c r="BH18" s="146"/>
    </row>
    <row r="19" spans="1:60" ht="26.25" x14ac:dyDescent="0.25">
      <c r="A19" s="56" cm="1">
        <f t="array" ref="A19">SUMPRODUCT(($AV$10:$AV$40&lt;&gt;"")*(ROW($AV$10:$AV$40)&lt;=ROW()))</f>
        <v>7</v>
      </c>
      <c r="B19" s="59"/>
      <c r="C19" s="60" t="s">
        <v>174</v>
      </c>
      <c r="D19" s="59" t="s">
        <v>7</v>
      </c>
      <c r="E19" s="43"/>
      <c r="F19" s="44">
        <f>H19-$H$7</f>
        <v>46261</v>
      </c>
      <c r="G19" s="45"/>
      <c r="H19" s="44">
        <f>J19-$J$7</f>
        <v>46268</v>
      </c>
      <c r="I19" s="45"/>
      <c r="J19" s="44">
        <f>L19-$L$7</f>
        <v>46274</v>
      </c>
      <c r="K19" s="45"/>
      <c r="L19" s="44">
        <f>N19-$N$7</f>
        <v>46277</v>
      </c>
      <c r="M19" s="45"/>
      <c r="N19" s="44">
        <f>P19-$P$7</f>
        <v>46307</v>
      </c>
      <c r="O19" s="45"/>
      <c r="P19" s="44">
        <f>R19-$R$7</f>
        <v>46317</v>
      </c>
      <c r="Q19" s="45"/>
      <c r="R19" s="44">
        <f>T19-$T$7</f>
        <v>46337</v>
      </c>
      <c r="S19" s="45"/>
      <c r="T19" s="44">
        <f>V19-$V$7</f>
        <v>46344</v>
      </c>
      <c r="U19" s="45"/>
      <c r="V19" s="44">
        <f>X19-$X$7</f>
        <v>46351</v>
      </c>
      <c r="W19" s="45"/>
      <c r="X19" s="44">
        <f t="shared" si="3"/>
        <v>46356</v>
      </c>
      <c r="Y19" s="45"/>
      <c r="Z19" s="46">
        <f>X19+$Z$7</f>
        <v>46366</v>
      </c>
      <c r="AA19" s="45"/>
      <c r="AB19" s="32">
        <f>IF(AV19="10. Issued to Contractor","-",IF(AV19="11. Subcontract Agreement signed","-",MAX(AN19,AR19)-$C$6))</f>
        <v>244</v>
      </c>
      <c r="AC19" s="16"/>
      <c r="AD19" s="131">
        <f t="shared" si="4"/>
        <v>95</v>
      </c>
      <c r="AE19" s="16"/>
      <c r="AF19" s="96"/>
      <c r="AG19" s="72"/>
      <c r="AH19" s="72">
        <v>2300142</v>
      </c>
      <c r="AI19" s="72"/>
      <c r="AJ19" s="73" t="str">
        <f>IF(AI19&gt;0,SUM(AH19)-SUM(AI19),"")</f>
        <v/>
      </c>
      <c r="AK19" s="101"/>
      <c r="AL19" s="48"/>
      <c r="AM19" s="104">
        <v>100</v>
      </c>
      <c r="AN19" s="74">
        <f>$M$3+AM19-1</f>
        <v>46356</v>
      </c>
      <c r="AO19" s="108">
        <f>AN19-AU19</f>
        <v>149</v>
      </c>
      <c r="AP19" s="48"/>
      <c r="AQ19" s="110"/>
      <c r="AR19" s="75">
        <f>IFERROR(WORKDAY.INTL(AN19,AQ19,11),"")</f>
        <v>46356</v>
      </c>
      <c r="AS19" s="108">
        <f>AR19-AU19</f>
        <v>149</v>
      </c>
      <c r="AT19" s="48"/>
      <c r="AU19" s="114">
        <f t="shared" si="5"/>
        <v>46207</v>
      </c>
      <c r="AV19" s="120" t="str" cm="1">
        <f t="array" ref="AV19">IF(OR(G19&gt;$C$6,G19=""),$F$8,INDEX($E$8:$Z$8,MATCH(TRUE,(F19:AA19=""),0)))</f>
        <v>1. Tender Docs &amp; BOQ</v>
      </c>
      <c r="AW19" s="117" t="b">
        <f>IF(AND(G19&gt;0,G19&lt;$C$6),TRUE,FALSE)</f>
        <v>0</v>
      </c>
      <c r="AX19" s="76" t="b">
        <f>IF(AND(I19&gt;0,I19&lt;$C$6),TRUE,FALSE)</f>
        <v>0</v>
      </c>
      <c r="AY19" s="76" t="b">
        <f>IF(AND(K19&gt;0,K19&lt;$C$6),TRUE,FALSE)</f>
        <v>0</v>
      </c>
      <c r="AZ19" s="76" t="b">
        <f>IF(AND(M19&gt;0,M19&lt;$C$6),TRUE,FALSE)</f>
        <v>0</v>
      </c>
      <c r="BA19" s="76" t="b">
        <f>IF(AND(O19&gt;0,O19&lt;$C$6),TRUE,FALSE)</f>
        <v>0</v>
      </c>
      <c r="BB19" s="76" t="b">
        <f>IF(AND(Q19&gt;0,Q19&lt;$C$6),TRUE,FALSE)</f>
        <v>0</v>
      </c>
      <c r="BC19" s="76" t="b">
        <f>IF(AND(S19&gt;0,S19&lt;$C$6),TRUE,FALSE)</f>
        <v>0</v>
      </c>
      <c r="BD19" s="76" t="b">
        <f>IF(AND(U19&gt;0,U19&lt;$C$6),TRUE,FALSE)</f>
        <v>0</v>
      </c>
      <c r="BE19" s="76" t="b">
        <f>IF(AND(W19&gt;0,W19&lt;$C$6),TRUE,FALSE)</f>
        <v>0</v>
      </c>
      <c r="BF19" s="76" t="b">
        <f>IF(AND(Y19&gt;0,Y19&lt;$C$6),TRUE,FALSE)</f>
        <v>0</v>
      </c>
      <c r="BG19" s="90" t="b">
        <f>IF(AND(AA19&gt;0,AA19&lt;$C$6),TRUE,FALSE)</f>
        <v>0</v>
      </c>
      <c r="BH19" s="146"/>
    </row>
    <row r="20" spans="1:60" ht="23.25" x14ac:dyDescent="0.25">
      <c r="A20" s="54"/>
      <c r="B20" s="49"/>
      <c r="C20" s="50" t="s">
        <v>128</v>
      </c>
      <c r="D20" s="51"/>
      <c r="E20" s="51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1"/>
      <c r="AC20" s="51"/>
      <c r="AD20" s="132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88"/>
      <c r="BH20" s="146"/>
    </row>
    <row r="21" spans="1:60" ht="26.25" x14ac:dyDescent="0.25">
      <c r="A21" s="56" cm="1">
        <f t="array" ref="A21">SUMPRODUCT(($AV$10:$AV$40&lt;&gt;"")*(ROW($AV$10:$AV$40)&lt;=ROW()))</f>
        <v>8</v>
      </c>
      <c r="B21" s="57"/>
      <c r="C21" s="58" t="s">
        <v>276</v>
      </c>
      <c r="D21" s="93" t="s">
        <v>3</v>
      </c>
      <c r="E21" s="16"/>
      <c r="F21" s="29">
        <f>H21-$H$7</f>
        <v>46261</v>
      </c>
      <c r="G21" s="42"/>
      <c r="H21" s="29">
        <f>J21-$J$7</f>
        <v>46268</v>
      </c>
      <c r="I21" s="42"/>
      <c r="J21" s="29">
        <f>L21-$L$7</f>
        <v>46274</v>
      </c>
      <c r="K21" s="42"/>
      <c r="L21" s="29">
        <f>N21-$N$7</f>
        <v>46277</v>
      </c>
      <c r="M21" s="42"/>
      <c r="N21" s="29">
        <f>P21-$P$7</f>
        <v>46307</v>
      </c>
      <c r="O21" s="42"/>
      <c r="P21" s="29">
        <f>R21-$R$7</f>
        <v>46317</v>
      </c>
      <c r="Q21" s="42"/>
      <c r="R21" s="29">
        <f>T21-$T$7</f>
        <v>46337</v>
      </c>
      <c r="S21" s="42"/>
      <c r="T21" s="29">
        <f>V21-$V$7</f>
        <v>46344</v>
      </c>
      <c r="U21" s="42"/>
      <c r="V21" s="29">
        <f>X21-$X$7</f>
        <v>46351</v>
      </c>
      <c r="W21" s="42"/>
      <c r="X21" s="29">
        <f t="shared" ref="X21:X23" si="6">AN21</f>
        <v>46356</v>
      </c>
      <c r="Y21" s="42"/>
      <c r="Z21" s="30">
        <f>X21+$Z$7</f>
        <v>46366</v>
      </c>
      <c r="AA21" s="42"/>
      <c r="AB21" s="31">
        <f>IF(AV21="10. Issued to Contractor","-",IF(AV21="11. Subcontract Agreement signed","-",MAX(AN21,AR21)-$C$6))</f>
        <v>244</v>
      </c>
      <c r="AC21" s="16"/>
      <c r="AD21" s="131">
        <f t="shared" ref="AD21:AD23" si="7">SUM($H$7:$Y$7)</f>
        <v>95</v>
      </c>
      <c r="AE21" s="16"/>
      <c r="AF21" s="95"/>
      <c r="AG21" s="67"/>
      <c r="AH21" s="67">
        <v>16101105</v>
      </c>
      <c r="AI21" s="67"/>
      <c r="AJ21" s="68" t="str">
        <f>IF(AI21&gt;0,SUM(AH21)-SUM(AI21),"")</f>
        <v/>
      </c>
      <c r="AK21" s="102"/>
      <c r="AL21" s="48"/>
      <c r="AM21" s="105">
        <v>100</v>
      </c>
      <c r="AN21" s="69">
        <f>$M$3+AM21-1</f>
        <v>46356</v>
      </c>
      <c r="AO21" s="107">
        <f t="shared" ref="AO21" si="8">AN21-AU21</f>
        <v>149</v>
      </c>
      <c r="AP21" s="48"/>
      <c r="AQ21" s="111"/>
      <c r="AR21" s="70">
        <f t="shared" ref="AR21" si="9">IFERROR(WORKDAY.INTL(AN21,AQ21,11),"")</f>
        <v>46356</v>
      </c>
      <c r="AS21" s="107">
        <f t="shared" ref="AS21" si="10">AR21-AU21</f>
        <v>149</v>
      </c>
      <c r="AT21" s="48"/>
      <c r="AU21" s="113">
        <f t="shared" ref="AU21:AU23" si="11">IF(Y21&gt;0,Y21,IFERROR(MAX(_xlfn.XLOOKUP($AV21,$H$8:$Z$8,$G21:$Y21),$C$6)+(AN21-_xlfn.XLOOKUP($AV21,$H$8:$Z$8,$F21:$X21))*AD21/SUM($H$7:$Y$7),$C$6+SUM(AD21)))</f>
        <v>46207</v>
      </c>
      <c r="AV21" s="119" t="str" cm="1">
        <f t="array" ref="AV21">IF(OR(G21&gt;$C$6,G21=""),$F$8,INDEX($E$8:$Z$8,MATCH(TRUE,(F21:AA21=""),0)))</f>
        <v>1. Tender Docs &amp; BOQ</v>
      </c>
      <c r="AW21" s="116" t="b">
        <f>IF(AND(G21&gt;0,G21&lt;$C$6),TRUE,FALSE)</f>
        <v>0</v>
      </c>
      <c r="AX21" s="71" t="b">
        <f>IF(AND(I21&gt;0,I21&lt;$C$6),TRUE,FALSE)</f>
        <v>0</v>
      </c>
      <c r="AY21" s="71" t="b">
        <f>IF(AND(K21&gt;0,K21&lt;$C$6),TRUE,FALSE)</f>
        <v>0</v>
      </c>
      <c r="AZ21" s="71" t="b">
        <f>IF(AND(M21&gt;0,M21&lt;$C$6),TRUE,FALSE)</f>
        <v>0</v>
      </c>
      <c r="BA21" s="71" t="b">
        <f>IF(AND(O21&gt;0,O21&lt;$C$6),TRUE,FALSE)</f>
        <v>0</v>
      </c>
      <c r="BB21" s="71" t="b">
        <f>IF(AND(Q21&gt;0,Q21&lt;$C$6),TRUE,FALSE)</f>
        <v>0</v>
      </c>
      <c r="BC21" s="71" t="b">
        <f>IF(AND(S21&gt;0,S21&lt;$C$6),TRUE,FALSE)</f>
        <v>0</v>
      </c>
      <c r="BD21" s="71" t="b">
        <f>IF(AND(U21&gt;0,U21&lt;$C$6),TRUE,FALSE)</f>
        <v>0</v>
      </c>
      <c r="BE21" s="71" t="b">
        <f>IF(AND(W21&gt;0,W21&lt;$C$6),TRUE,FALSE)</f>
        <v>0</v>
      </c>
      <c r="BF21" s="71" t="b">
        <f>IF(AND(Y21&gt;0,Y21&lt;$C$6),TRUE,FALSE)</f>
        <v>0</v>
      </c>
      <c r="BG21" s="89" t="b">
        <f>IF(AND(AA21&gt;0,AA21&lt;$C$6),TRUE,FALSE)</f>
        <v>0</v>
      </c>
      <c r="BH21" s="146"/>
    </row>
    <row r="22" spans="1:60" ht="26.25" x14ac:dyDescent="0.25">
      <c r="A22" s="56" cm="1">
        <f t="array" ref="A22">SUMPRODUCT(($AV$10:$AV$40&lt;&gt;"")*(ROW($AV$10:$AV$40)&lt;=ROW()))</f>
        <v>9</v>
      </c>
      <c r="B22" s="59"/>
      <c r="C22" s="60" t="s">
        <v>232</v>
      </c>
      <c r="D22" s="59" t="s">
        <v>3</v>
      </c>
      <c r="E22" s="43"/>
      <c r="F22" s="44">
        <f>H22-$H$7</f>
        <v>46261</v>
      </c>
      <c r="G22" s="45"/>
      <c r="H22" s="44">
        <f>J22-$J$7</f>
        <v>46268</v>
      </c>
      <c r="I22" s="45"/>
      <c r="J22" s="44">
        <f>L22-$L$7</f>
        <v>46274</v>
      </c>
      <c r="K22" s="45"/>
      <c r="L22" s="44">
        <f>N22-$N$7</f>
        <v>46277</v>
      </c>
      <c r="M22" s="45"/>
      <c r="N22" s="44">
        <f>P22-$P$7</f>
        <v>46307</v>
      </c>
      <c r="O22" s="45"/>
      <c r="P22" s="44">
        <f>R22-$R$7</f>
        <v>46317</v>
      </c>
      <c r="Q22" s="45"/>
      <c r="R22" s="44">
        <f>T22-$T$7</f>
        <v>46337</v>
      </c>
      <c r="S22" s="45"/>
      <c r="T22" s="44">
        <f>V22-$V$7</f>
        <v>46344</v>
      </c>
      <c r="U22" s="45"/>
      <c r="V22" s="44">
        <f>X22-$X$7</f>
        <v>46351</v>
      </c>
      <c r="W22" s="45"/>
      <c r="X22" s="44">
        <f t="shared" si="6"/>
        <v>46356</v>
      </c>
      <c r="Y22" s="45"/>
      <c r="Z22" s="46">
        <f>X22+$Z$7</f>
        <v>46366</v>
      </c>
      <c r="AA22" s="45"/>
      <c r="AB22" s="32">
        <f>IF(AV22="10. Issued to Contractor","-",IF(AV22="11. Subcontract Agreement signed","-",MAX(AN22,AR22)-$C$6))</f>
        <v>244</v>
      </c>
      <c r="AC22" s="16"/>
      <c r="AD22" s="131">
        <f t="shared" si="7"/>
        <v>95</v>
      </c>
      <c r="AE22" s="16"/>
      <c r="AF22" s="96"/>
      <c r="AG22" s="72"/>
      <c r="AH22" s="72">
        <v>3220221</v>
      </c>
      <c r="AI22" s="72"/>
      <c r="AJ22" s="73" t="str">
        <f>IF(AI22&gt;0,SUM(AH22)-SUM(AI22),"")</f>
        <v/>
      </c>
      <c r="AK22" s="101"/>
      <c r="AL22" s="48"/>
      <c r="AM22" s="104">
        <v>100</v>
      </c>
      <c r="AN22" s="74">
        <f>$M$3+AM22-1</f>
        <v>46356</v>
      </c>
      <c r="AO22" s="108">
        <f>AN22-AU22</f>
        <v>149</v>
      </c>
      <c r="AP22" s="48"/>
      <c r="AQ22" s="110"/>
      <c r="AR22" s="75">
        <f>IFERROR(WORKDAY.INTL(AN22,AQ22,11),"")</f>
        <v>46356</v>
      </c>
      <c r="AS22" s="108">
        <f>AR22-AU22</f>
        <v>149</v>
      </c>
      <c r="AT22" s="48"/>
      <c r="AU22" s="114">
        <f t="shared" si="11"/>
        <v>46207</v>
      </c>
      <c r="AV22" s="120" t="str" cm="1">
        <f t="array" ref="AV22">IF(OR(G22&gt;$C$6,G22=""),$F$8,INDEX($E$8:$Z$8,MATCH(TRUE,(F22:AA22=""),0)))</f>
        <v>1. Tender Docs &amp; BOQ</v>
      </c>
      <c r="AW22" s="117" t="b">
        <f>IF(AND(G22&gt;0,G22&lt;$C$6),TRUE,FALSE)</f>
        <v>0</v>
      </c>
      <c r="AX22" s="76" t="b">
        <f>IF(AND(I22&gt;0,I22&lt;$C$6),TRUE,FALSE)</f>
        <v>0</v>
      </c>
      <c r="AY22" s="76" t="b">
        <f>IF(AND(K22&gt;0,K22&lt;$C$6),TRUE,FALSE)</f>
        <v>0</v>
      </c>
      <c r="AZ22" s="76" t="b">
        <f>IF(AND(M22&gt;0,M22&lt;$C$6),TRUE,FALSE)</f>
        <v>0</v>
      </c>
      <c r="BA22" s="76" t="b">
        <f>IF(AND(O22&gt;0,O22&lt;$C$6),TRUE,FALSE)</f>
        <v>0</v>
      </c>
      <c r="BB22" s="76" t="b">
        <f>IF(AND(Q22&gt;0,Q22&lt;$C$6),TRUE,FALSE)</f>
        <v>0</v>
      </c>
      <c r="BC22" s="76" t="b">
        <f>IF(AND(S22&gt;0,S22&lt;$C$6),TRUE,FALSE)</f>
        <v>0</v>
      </c>
      <c r="BD22" s="76" t="b">
        <f>IF(AND(U22&gt;0,U22&lt;$C$6),TRUE,FALSE)</f>
        <v>0</v>
      </c>
      <c r="BE22" s="76" t="b">
        <f>IF(AND(W22&gt;0,W22&lt;$C$6),TRUE,FALSE)</f>
        <v>0</v>
      </c>
      <c r="BF22" s="76" t="b">
        <f>IF(AND(Y22&gt;0,Y22&lt;$C$6),TRUE,FALSE)</f>
        <v>0</v>
      </c>
      <c r="BG22" s="90" t="b">
        <f>IF(AND(AA22&gt;0,AA22&lt;$C$6),TRUE,FALSE)</f>
        <v>0</v>
      </c>
      <c r="BH22" s="146"/>
    </row>
    <row r="23" spans="1:60" ht="26.25" x14ac:dyDescent="0.25">
      <c r="A23" s="56" cm="1">
        <f t="array" ref="A23">SUMPRODUCT(($AV$10:$AV$40&lt;&gt;"")*(ROW($AV$10:$AV$40)&lt;=ROW()))</f>
        <v>10</v>
      </c>
      <c r="B23" s="57"/>
      <c r="C23" s="58" t="s">
        <v>351</v>
      </c>
      <c r="D23" s="93" t="s">
        <v>3</v>
      </c>
      <c r="E23" s="16"/>
      <c r="F23" s="29">
        <f>H23-$H$7</f>
        <v>46261</v>
      </c>
      <c r="G23" s="42"/>
      <c r="H23" s="29">
        <f>J23-$J$7</f>
        <v>46268</v>
      </c>
      <c r="I23" s="42"/>
      <c r="J23" s="29">
        <f>L23-$L$7</f>
        <v>46274</v>
      </c>
      <c r="K23" s="42"/>
      <c r="L23" s="29">
        <f>N23-$N$7</f>
        <v>46277</v>
      </c>
      <c r="M23" s="42"/>
      <c r="N23" s="29">
        <f>P23-$P$7</f>
        <v>46307</v>
      </c>
      <c r="O23" s="42"/>
      <c r="P23" s="29">
        <f>R23-$R$7</f>
        <v>46317</v>
      </c>
      <c r="Q23" s="42"/>
      <c r="R23" s="29">
        <f>T23-$T$7</f>
        <v>46337</v>
      </c>
      <c r="S23" s="42"/>
      <c r="T23" s="29">
        <f>V23-$V$7</f>
        <v>46344</v>
      </c>
      <c r="U23" s="42"/>
      <c r="V23" s="29">
        <f>X23-$X$7</f>
        <v>46351</v>
      </c>
      <c r="W23" s="42"/>
      <c r="X23" s="29">
        <f t="shared" si="6"/>
        <v>46356</v>
      </c>
      <c r="Y23" s="42"/>
      <c r="Z23" s="30">
        <f>X23+$Z$7</f>
        <v>46366</v>
      </c>
      <c r="AA23" s="42"/>
      <c r="AB23" s="31">
        <f>IF(AV23="10. Issued to Contractor","-",IF(AV23="11. Subcontract Agreement signed","-",MAX(AN23,AR23)-$C$6))</f>
        <v>244</v>
      </c>
      <c r="AC23" s="16"/>
      <c r="AD23" s="131">
        <f t="shared" si="7"/>
        <v>95</v>
      </c>
      <c r="AE23" s="16"/>
      <c r="AF23" s="95"/>
      <c r="AG23" s="67"/>
      <c r="AH23" s="67">
        <v>46003284</v>
      </c>
      <c r="AI23" s="67"/>
      <c r="AJ23" s="68" t="str">
        <f>IF(AI23&gt;0,SUM(AH23)-SUM(AI23),"")</f>
        <v/>
      </c>
      <c r="AK23" s="102"/>
      <c r="AL23" s="48"/>
      <c r="AM23" s="105">
        <v>100</v>
      </c>
      <c r="AN23" s="69">
        <f>$M$3+AM23-1</f>
        <v>46356</v>
      </c>
      <c r="AO23" s="107">
        <f>AN23-AU23</f>
        <v>149</v>
      </c>
      <c r="AP23" s="48"/>
      <c r="AQ23" s="111"/>
      <c r="AR23" s="70">
        <f>IFERROR(WORKDAY.INTL(AN23,AQ23,11),"")</f>
        <v>46356</v>
      </c>
      <c r="AS23" s="107">
        <f>AR23-AU23</f>
        <v>149</v>
      </c>
      <c r="AT23" s="48"/>
      <c r="AU23" s="113">
        <f t="shared" si="11"/>
        <v>46207</v>
      </c>
      <c r="AV23" s="119" t="str" cm="1">
        <f t="array" ref="AV23">IF(OR(G23&gt;$C$6,G23=""),$F$8,INDEX($E$8:$Z$8,MATCH(TRUE,(F23:AA23=""),0)))</f>
        <v>1. Tender Docs &amp; BOQ</v>
      </c>
      <c r="AW23" s="116" t="b">
        <f>IF(AND(G23&gt;0,G23&lt;$C$6),TRUE,FALSE)</f>
        <v>0</v>
      </c>
      <c r="AX23" s="71" t="b">
        <f>IF(AND(I23&gt;0,I23&lt;$C$6),TRUE,FALSE)</f>
        <v>0</v>
      </c>
      <c r="AY23" s="71" t="b">
        <f>IF(AND(K23&gt;0,K23&lt;$C$6),TRUE,FALSE)</f>
        <v>0</v>
      </c>
      <c r="AZ23" s="71" t="b">
        <f>IF(AND(M23&gt;0,M23&lt;$C$6),TRUE,FALSE)</f>
        <v>0</v>
      </c>
      <c r="BA23" s="71" t="b">
        <f>IF(AND(O23&gt;0,O23&lt;$C$6),TRUE,FALSE)</f>
        <v>0</v>
      </c>
      <c r="BB23" s="71" t="b">
        <f>IF(AND(Q23&gt;0,Q23&lt;$C$6),TRUE,FALSE)</f>
        <v>0</v>
      </c>
      <c r="BC23" s="71" t="b">
        <f>IF(AND(S23&gt;0,S23&lt;$C$6),TRUE,FALSE)</f>
        <v>0</v>
      </c>
      <c r="BD23" s="71" t="b">
        <f>IF(AND(U23&gt;0,U23&lt;$C$6),TRUE,FALSE)</f>
        <v>0</v>
      </c>
      <c r="BE23" s="71" t="b">
        <f>IF(AND(W23&gt;0,W23&lt;$C$6),TRUE,FALSE)</f>
        <v>0</v>
      </c>
      <c r="BF23" s="71" t="b">
        <f>IF(AND(Y23&gt;0,Y23&lt;$C$6),TRUE,FALSE)</f>
        <v>0</v>
      </c>
      <c r="BG23" s="89" t="b">
        <f>IF(AND(AA23&gt;0,AA23&lt;$C$6),TRUE,FALSE)</f>
        <v>0</v>
      </c>
      <c r="BH23" s="146"/>
    </row>
    <row r="24" spans="1:60" ht="23.25" x14ac:dyDescent="0.25">
      <c r="A24" s="54"/>
      <c r="B24" s="49"/>
      <c r="C24" s="50" t="s">
        <v>137</v>
      </c>
      <c r="D24" s="51"/>
      <c r="E24" s="51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1"/>
      <c r="AC24" s="51"/>
      <c r="AD24" s="132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  <c r="BC24" s="51"/>
      <c r="BD24" s="51"/>
      <c r="BE24" s="51"/>
      <c r="BF24" s="51"/>
      <c r="BG24" s="88"/>
      <c r="BH24" s="146"/>
    </row>
    <row r="25" spans="1:60" ht="26.25" x14ac:dyDescent="0.25">
      <c r="A25" s="56" cm="1">
        <f t="array" ref="A25">SUMPRODUCT(($AV$10:$AV$40&lt;&gt;"")*(ROW($AV$10:$AV$40)&lt;=ROW()))</f>
        <v>11</v>
      </c>
      <c r="B25" s="59"/>
      <c r="C25" s="60" t="s">
        <v>382</v>
      </c>
      <c r="D25" s="59" t="s">
        <v>11</v>
      </c>
      <c r="E25" s="43"/>
      <c r="F25" s="44">
        <f t="shared" ref="F25:F26" si="12">H25-$H$7</f>
        <v>46241</v>
      </c>
      <c r="G25" s="45"/>
      <c r="H25" s="44">
        <f t="shared" ref="H25:H26" si="13">J25-$J$7</f>
        <v>46248</v>
      </c>
      <c r="I25" s="45"/>
      <c r="J25" s="44">
        <f t="shared" ref="J25:J26" si="14">L25-$L$7</f>
        <v>46254</v>
      </c>
      <c r="K25" s="45"/>
      <c r="L25" s="44">
        <f t="shared" ref="L25:L26" si="15">N25-$N$7</f>
        <v>46257</v>
      </c>
      <c r="M25" s="45"/>
      <c r="N25" s="44">
        <f t="shared" ref="N25:N26" si="16">P25-$P$7</f>
        <v>46287</v>
      </c>
      <c r="O25" s="45"/>
      <c r="P25" s="44">
        <f t="shared" ref="P25:P26" si="17">R25-$R$7</f>
        <v>46297</v>
      </c>
      <c r="Q25" s="45"/>
      <c r="R25" s="44">
        <f t="shared" ref="R25:R26" si="18">T25-$T$7</f>
        <v>46317</v>
      </c>
      <c r="S25" s="45"/>
      <c r="T25" s="44">
        <f t="shared" ref="T25:T26" si="19">V25-$V$7</f>
        <v>46324</v>
      </c>
      <c r="U25" s="45"/>
      <c r="V25" s="44">
        <f t="shared" ref="V25:V26" si="20">X25-$X$7</f>
        <v>46331</v>
      </c>
      <c r="W25" s="45"/>
      <c r="X25" s="44">
        <f t="shared" ref="X25:X26" si="21">AN25</f>
        <v>46336</v>
      </c>
      <c r="Y25" s="45"/>
      <c r="Z25" s="46">
        <f t="shared" ref="Z25:Z26" si="22">X25+$Z$7</f>
        <v>46346</v>
      </c>
      <c r="AA25" s="45"/>
      <c r="AB25" s="32">
        <f t="shared" ref="AB25:AB26" si="23">IF(AV25="10. Issued to Contractor","-",IF(AV25="11. Subcontract Agreement signed","-",MAX(AN25,AR25)-$C$6))</f>
        <v>224</v>
      </c>
      <c r="AC25" s="16"/>
      <c r="AD25" s="131">
        <f t="shared" ref="AD25:AD26" si="24">SUM($H$7:$Y$7)</f>
        <v>95</v>
      </c>
      <c r="AE25" s="16"/>
      <c r="AF25" s="96"/>
      <c r="AG25" s="72"/>
      <c r="AH25" s="72">
        <v>48763521</v>
      </c>
      <c r="AI25" s="72"/>
      <c r="AJ25" s="73" t="str">
        <f>IF(AI25&gt;0,SUM(AH25)-SUM(AI25),"")</f>
        <v/>
      </c>
      <c r="AK25" s="101"/>
      <c r="AL25" s="48"/>
      <c r="AM25" s="104">
        <v>80</v>
      </c>
      <c r="AN25" s="74">
        <f t="shared" ref="AN25:AN26" si="25">$M$3+AM25-1</f>
        <v>46336</v>
      </c>
      <c r="AO25" s="108">
        <f t="shared" ref="AO25:AO26" si="26">AN25-AU25</f>
        <v>129</v>
      </c>
      <c r="AP25" s="48"/>
      <c r="AQ25" s="110"/>
      <c r="AR25" s="75">
        <f t="shared" ref="AR25:AR26" si="27">IFERROR(WORKDAY.INTL(AN25,AQ25,11),"")</f>
        <v>46336</v>
      </c>
      <c r="AS25" s="108">
        <f t="shared" ref="AS25:AS26" si="28">AR25-AU25</f>
        <v>129</v>
      </c>
      <c r="AT25" s="48"/>
      <c r="AU25" s="114">
        <f t="shared" ref="AU25:AU26" si="29">IF(Y25&gt;0,Y25,IFERROR(MAX(_xlfn.XLOOKUP($AV25,$H$8:$Z$8,$G25:$Y25),$C$6)+(AN25-_xlfn.XLOOKUP($AV25,$H$8:$Z$8,$F25:$X25))*AD25/SUM($H$7:$Y$7),$C$6+SUM(AD25)))</f>
        <v>46207</v>
      </c>
      <c r="AV25" s="120" t="str" cm="1">
        <f t="array" ref="AV25">IF(OR(G25&gt;$C$6,G25=""),$F$8,INDEX($E$8:$Z$8,MATCH(TRUE,(F25:AA25=""),0)))</f>
        <v>1. Tender Docs &amp; BOQ</v>
      </c>
      <c r="AW25" s="117" t="b">
        <f t="shared" ref="AW25:AW26" si="30">IF(AND(G25&gt;0,G25&lt;$C$6),TRUE,FALSE)</f>
        <v>0</v>
      </c>
      <c r="AX25" s="76" t="b">
        <f t="shared" ref="AX25:AX26" si="31">IF(AND(I25&gt;0,I25&lt;$C$6),TRUE,FALSE)</f>
        <v>0</v>
      </c>
      <c r="AY25" s="76" t="b">
        <f t="shared" ref="AY25:AY26" si="32">IF(AND(K25&gt;0,K25&lt;$C$6),TRUE,FALSE)</f>
        <v>0</v>
      </c>
      <c r="AZ25" s="76" t="b">
        <f t="shared" ref="AZ25:AZ26" si="33">IF(AND(M25&gt;0,M25&lt;$C$6),TRUE,FALSE)</f>
        <v>0</v>
      </c>
      <c r="BA25" s="76" t="b">
        <f t="shared" ref="BA25:BA26" si="34">IF(AND(O25&gt;0,O25&lt;$C$6),TRUE,FALSE)</f>
        <v>0</v>
      </c>
      <c r="BB25" s="76" t="b">
        <f t="shared" ref="BB25:BB26" si="35">IF(AND(Q25&gt;0,Q25&lt;$C$6),TRUE,FALSE)</f>
        <v>0</v>
      </c>
      <c r="BC25" s="76" t="b">
        <f t="shared" ref="BC25:BC26" si="36">IF(AND(S25&gt;0,S25&lt;$C$6),TRUE,FALSE)</f>
        <v>0</v>
      </c>
      <c r="BD25" s="76" t="b">
        <f t="shared" ref="BD25:BD26" si="37">IF(AND(U25&gt;0,U25&lt;$C$6),TRUE,FALSE)</f>
        <v>0</v>
      </c>
      <c r="BE25" s="76" t="b">
        <f t="shared" ref="BE25:BE26" si="38">IF(AND(W25&gt;0,W25&lt;$C$6),TRUE,FALSE)</f>
        <v>0</v>
      </c>
      <c r="BF25" s="76" t="b">
        <f t="shared" ref="BF25:BF26" si="39">IF(AND(Y25&gt;0,Y25&lt;$C$6),TRUE,FALSE)</f>
        <v>0</v>
      </c>
      <c r="BG25" s="90" t="b">
        <f t="shared" ref="BG25:BG26" si="40">IF(AND(AA25&gt;0,AA25&lt;$C$6),TRUE,FALSE)</f>
        <v>0</v>
      </c>
      <c r="BH25" s="146"/>
    </row>
    <row r="26" spans="1:60" ht="26.25" x14ac:dyDescent="0.25">
      <c r="A26" s="56" cm="1">
        <f t="array" ref="A26">SUMPRODUCT(($AV$10:$AV$40&lt;&gt;"")*(ROW($AV$10:$AV$40)&lt;=ROW()))</f>
        <v>12</v>
      </c>
      <c r="B26" s="57"/>
      <c r="C26" s="58" t="s">
        <v>366</v>
      </c>
      <c r="D26" s="93" t="s">
        <v>11</v>
      </c>
      <c r="E26" s="16"/>
      <c r="F26" s="29">
        <f t="shared" si="12"/>
        <v>46241</v>
      </c>
      <c r="G26" s="42"/>
      <c r="H26" s="29">
        <f t="shared" si="13"/>
        <v>46248</v>
      </c>
      <c r="I26" s="42"/>
      <c r="J26" s="29">
        <f t="shared" si="14"/>
        <v>46254</v>
      </c>
      <c r="K26" s="42"/>
      <c r="L26" s="29">
        <f t="shared" si="15"/>
        <v>46257</v>
      </c>
      <c r="M26" s="42"/>
      <c r="N26" s="29">
        <f t="shared" si="16"/>
        <v>46287</v>
      </c>
      <c r="O26" s="42"/>
      <c r="P26" s="29">
        <f t="shared" si="17"/>
        <v>46297</v>
      </c>
      <c r="Q26" s="42"/>
      <c r="R26" s="29">
        <f t="shared" si="18"/>
        <v>46317</v>
      </c>
      <c r="S26" s="42"/>
      <c r="T26" s="29">
        <f t="shared" si="19"/>
        <v>46324</v>
      </c>
      <c r="U26" s="42"/>
      <c r="V26" s="29">
        <f t="shared" si="20"/>
        <v>46331</v>
      </c>
      <c r="W26" s="42"/>
      <c r="X26" s="29">
        <f t="shared" si="21"/>
        <v>46336</v>
      </c>
      <c r="Y26" s="42"/>
      <c r="Z26" s="30">
        <f t="shared" si="22"/>
        <v>46346</v>
      </c>
      <c r="AA26" s="42"/>
      <c r="AB26" s="31">
        <f t="shared" si="23"/>
        <v>224</v>
      </c>
      <c r="AC26" s="16"/>
      <c r="AD26" s="131">
        <f t="shared" si="24"/>
        <v>95</v>
      </c>
      <c r="AE26" s="16"/>
      <c r="AF26" s="95"/>
      <c r="AG26" s="67"/>
      <c r="AH26" s="67">
        <v>35652534</v>
      </c>
      <c r="AI26" s="67"/>
      <c r="AJ26" s="68" t="str">
        <f>IF(AI26&gt;0,SUM(AH26)-SUM(AI26),"")</f>
        <v/>
      </c>
      <c r="AK26" s="102"/>
      <c r="AL26" s="48"/>
      <c r="AM26" s="105">
        <v>80</v>
      </c>
      <c r="AN26" s="69">
        <f t="shared" si="25"/>
        <v>46336</v>
      </c>
      <c r="AO26" s="107">
        <f t="shared" si="26"/>
        <v>129</v>
      </c>
      <c r="AP26" s="48"/>
      <c r="AQ26" s="111"/>
      <c r="AR26" s="70">
        <f t="shared" si="27"/>
        <v>46336</v>
      </c>
      <c r="AS26" s="107">
        <f t="shared" si="28"/>
        <v>129</v>
      </c>
      <c r="AT26" s="48"/>
      <c r="AU26" s="113">
        <f t="shared" si="29"/>
        <v>46207</v>
      </c>
      <c r="AV26" s="119" t="str" cm="1">
        <f t="array" ref="AV26">IF(OR(G26&gt;$C$6,G26=""),$F$8,INDEX($E$8:$Z$8,MATCH(TRUE,(F26:AA26=""),0)))</f>
        <v>1. Tender Docs &amp; BOQ</v>
      </c>
      <c r="AW26" s="116" t="b">
        <f t="shared" si="30"/>
        <v>0</v>
      </c>
      <c r="AX26" s="71" t="b">
        <f t="shared" si="31"/>
        <v>0</v>
      </c>
      <c r="AY26" s="71" t="b">
        <f t="shared" si="32"/>
        <v>0</v>
      </c>
      <c r="AZ26" s="71" t="b">
        <f t="shared" si="33"/>
        <v>0</v>
      </c>
      <c r="BA26" s="71" t="b">
        <f t="shared" si="34"/>
        <v>0</v>
      </c>
      <c r="BB26" s="71" t="b">
        <f t="shared" si="35"/>
        <v>0</v>
      </c>
      <c r="BC26" s="71" t="b">
        <f t="shared" si="36"/>
        <v>0</v>
      </c>
      <c r="BD26" s="71" t="b">
        <f t="shared" si="37"/>
        <v>0</v>
      </c>
      <c r="BE26" s="71" t="b">
        <f t="shared" si="38"/>
        <v>0</v>
      </c>
      <c r="BF26" s="71" t="b">
        <f t="shared" si="39"/>
        <v>0</v>
      </c>
      <c r="BG26" s="89" t="b">
        <f t="shared" si="40"/>
        <v>0</v>
      </c>
      <c r="BH26" s="146"/>
    </row>
    <row r="27" spans="1:60" ht="23.25" x14ac:dyDescent="0.25">
      <c r="A27" s="54"/>
      <c r="B27" s="49"/>
      <c r="C27" s="50" t="s">
        <v>156</v>
      </c>
      <c r="D27" s="51"/>
      <c r="E27" s="51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1"/>
      <c r="AC27" s="51"/>
      <c r="AD27" s="132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88"/>
      <c r="BH27" s="146"/>
    </row>
    <row r="28" spans="1:60" ht="26.25" x14ac:dyDescent="0.25">
      <c r="A28" s="56" cm="1">
        <f t="array" ref="A28">SUMPRODUCT(($AV$10:$AV$40&lt;&gt;"")*(ROW($AV$10:$AV$40)&lt;=ROW()))</f>
        <v>13</v>
      </c>
      <c r="B28" s="59"/>
      <c r="C28" s="60" t="s">
        <v>383</v>
      </c>
      <c r="D28" s="59" t="s">
        <v>3</v>
      </c>
      <c r="E28" s="43"/>
      <c r="F28" s="44">
        <f>H28-$H$7</f>
        <v>46251</v>
      </c>
      <c r="G28" s="45"/>
      <c r="H28" s="44">
        <f>J28-$J$7</f>
        <v>46258</v>
      </c>
      <c r="I28" s="45"/>
      <c r="J28" s="44">
        <f>L28-$L$7</f>
        <v>46264</v>
      </c>
      <c r="K28" s="45"/>
      <c r="L28" s="44">
        <f>N28-$N$7</f>
        <v>46267</v>
      </c>
      <c r="M28" s="45"/>
      <c r="N28" s="44">
        <f>P28-$P$7</f>
        <v>46297</v>
      </c>
      <c r="O28" s="45"/>
      <c r="P28" s="44">
        <f>R28-$R$7</f>
        <v>46307</v>
      </c>
      <c r="Q28" s="45"/>
      <c r="R28" s="44">
        <f>T28-$T$7</f>
        <v>46327</v>
      </c>
      <c r="S28" s="45"/>
      <c r="T28" s="44">
        <f>V28-$V$7</f>
        <v>46334</v>
      </c>
      <c r="U28" s="45"/>
      <c r="V28" s="44">
        <f>X28-$X$7</f>
        <v>46341</v>
      </c>
      <c r="W28" s="45"/>
      <c r="X28" s="44">
        <f t="shared" ref="X28:X29" si="41">AN28</f>
        <v>46346</v>
      </c>
      <c r="Y28" s="45"/>
      <c r="Z28" s="46">
        <f>X28+$Z$7</f>
        <v>46356</v>
      </c>
      <c r="AA28" s="45"/>
      <c r="AB28" s="32">
        <f>IF(AV28="10. Issued to Contractor","-",IF(AV28="11. Subcontract Agreement signed","-",MAX(AN28,AR28)-$C$6))</f>
        <v>234</v>
      </c>
      <c r="AC28" s="16"/>
      <c r="AD28" s="131">
        <f t="shared" ref="AD28:AD29" si="42">SUM($H$7:$Y$7)</f>
        <v>95</v>
      </c>
      <c r="AE28" s="16"/>
      <c r="AF28" s="96"/>
      <c r="AG28" s="72"/>
      <c r="AH28" s="72">
        <v>16349523</v>
      </c>
      <c r="AI28" s="72"/>
      <c r="AJ28" s="73" t="str">
        <f>IF(AI28&gt;0,SUM(AH28)-SUM(AI28),"")</f>
        <v/>
      </c>
      <c r="AK28" s="101"/>
      <c r="AL28" s="48"/>
      <c r="AM28" s="104">
        <v>90</v>
      </c>
      <c r="AN28" s="74">
        <f>$M$3+AM28-1</f>
        <v>46346</v>
      </c>
      <c r="AO28" s="108">
        <f>AN28-AU28</f>
        <v>139</v>
      </c>
      <c r="AP28" s="48"/>
      <c r="AQ28" s="110"/>
      <c r="AR28" s="75">
        <f>IFERROR(WORKDAY.INTL(AN28,AQ28,11),"")</f>
        <v>46346</v>
      </c>
      <c r="AS28" s="108">
        <f>AR28-AU28</f>
        <v>139</v>
      </c>
      <c r="AT28" s="48"/>
      <c r="AU28" s="114">
        <f t="shared" ref="AU28:AU29" si="43">IF(Y28&gt;0,Y28,IFERROR(MAX(_xlfn.XLOOKUP($AV28,$H$8:$Z$8,$G28:$Y28),$C$6)+(AN28-_xlfn.XLOOKUP($AV28,$H$8:$Z$8,$F28:$X28))*AD28/SUM($H$7:$Y$7),$C$6+SUM(AD28)))</f>
        <v>46207</v>
      </c>
      <c r="AV28" s="120" t="str" cm="1">
        <f t="array" ref="AV28">IF(OR(G28&gt;$C$6,G28=""),$F$8,INDEX($E$8:$Z$8,MATCH(TRUE,(F28:AA28=""),0)))</f>
        <v>1. Tender Docs &amp; BOQ</v>
      </c>
      <c r="AW28" s="117" t="b">
        <f>IF(AND(G28&gt;0,G28&lt;$C$6),TRUE,FALSE)</f>
        <v>0</v>
      </c>
      <c r="AX28" s="76" t="b">
        <f>IF(AND(I28&gt;0,I28&lt;$C$6),TRUE,FALSE)</f>
        <v>0</v>
      </c>
      <c r="AY28" s="76" t="b">
        <f>IF(AND(K28&gt;0,K28&lt;$C$6),TRUE,FALSE)</f>
        <v>0</v>
      </c>
      <c r="AZ28" s="76" t="b">
        <f>IF(AND(M28&gt;0,M28&lt;$C$6),TRUE,FALSE)</f>
        <v>0</v>
      </c>
      <c r="BA28" s="76" t="b">
        <f>IF(AND(O28&gt;0,O28&lt;$C$6),TRUE,FALSE)</f>
        <v>0</v>
      </c>
      <c r="BB28" s="76" t="b">
        <f>IF(AND(Q28&gt;0,Q28&lt;$C$6),TRUE,FALSE)</f>
        <v>0</v>
      </c>
      <c r="BC28" s="76" t="b">
        <f>IF(AND(S28&gt;0,S28&lt;$C$6),TRUE,FALSE)</f>
        <v>0</v>
      </c>
      <c r="BD28" s="76" t="b">
        <f>IF(AND(U28&gt;0,U28&lt;$C$6),TRUE,FALSE)</f>
        <v>0</v>
      </c>
      <c r="BE28" s="76" t="b">
        <f>IF(AND(W28&gt;0,W28&lt;$C$6),TRUE,FALSE)</f>
        <v>0</v>
      </c>
      <c r="BF28" s="76" t="b">
        <f>IF(AND(Y28&gt;0,Y28&lt;$C$6),TRUE,FALSE)</f>
        <v>0</v>
      </c>
      <c r="BG28" s="90" t="b">
        <f>IF(AND(AA28&gt;0,AA28&lt;$C$6),TRUE,FALSE)</f>
        <v>0</v>
      </c>
      <c r="BH28" s="146"/>
    </row>
    <row r="29" spans="1:60" ht="26.25" x14ac:dyDescent="0.25">
      <c r="A29" s="56" cm="1">
        <f t="array" ref="A29">SUMPRODUCT(($AV$10:$AV$40&lt;&gt;"")*(ROW($AV$10:$AV$40)&lt;=ROW()))</f>
        <v>14</v>
      </c>
      <c r="B29" s="57"/>
      <c r="C29" s="58" t="s">
        <v>384</v>
      </c>
      <c r="D29" s="93" t="s">
        <v>3</v>
      </c>
      <c r="E29" s="16"/>
      <c r="F29" s="29">
        <f>H29-$H$7</f>
        <v>46281</v>
      </c>
      <c r="G29" s="42"/>
      <c r="H29" s="29">
        <f>J29-$J$7</f>
        <v>46288</v>
      </c>
      <c r="I29" s="42"/>
      <c r="J29" s="29">
        <f>L29-$L$7</f>
        <v>46294</v>
      </c>
      <c r="K29" s="42"/>
      <c r="L29" s="29">
        <f>N29-$N$7</f>
        <v>46297</v>
      </c>
      <c r="M29" s="42"/>
      <c r="N29" s="29">
        <f>P29-$P$7</f>
        <v>46327</v>
      </c>
      <c r="O29" s="42"/>
      <c r="P29" s="29">
        <f>R29-$R$7</f>
        <v>46337</v>
      </c>
      <c r="Q29" s="42"/>
      <c r="R29" s="29">
        <f>T29-$T$7</f>
        <v>46357</v>
      </c>
      <c r="S29" s="42"/>
      <c r="T29" s="29">
        <f>V29-$V$7</f>
        <v>46364</v>
      </c>
      <c r="U29" s="42"/>
      <c r="V29" s="29">
        <f>X29-$X$7</f>
        <v>46371</v>
      </c>
      <c r="W29" s="42"/>
      <c r="X29" s="29">
        <f t="shared" si="41"/>
        <v>46376</v>
      </c>
      <c r="Y29" s="42"/>
      <c r="Z29" s="30">
        <f>X29+$Z$7</f>
        <v>46386</v>
      </c>
      <c r="AA29" s="42"/>
      <c r="AB29" s="31">
        <f>IF(AV29="10. Issued to Contractor","-",IF(AV29="11. Subcontract Agreement signed","-",MAX(AN29,AR29)-$C$6))</f>
        <v>264</v>
      </c>
      <c r="AC29" s="16"/>
      <c r="AD29" s="131">
        <f t="shared" si="42"/>
        <v>95</v>
      </c>
      <c r="AE29" s="16"/>
      <c r="AF29" s="95"/>
      <c r="AG29" s="67"/>
      <c r="AH29" s="67">
        <v>6440442</v>
      </c>
      <c r="AI29" s="67"/>
      <c r="AJ29" s="68" t="str">
        <f>IF(AI29&gt;0,SUM(AH29)-SUM(AI29),"")</f>
        <v/>
      </c>
      <c r="AK29" s="102"/>
      <c r="AL29" s="48"/>
      <c r="AM29" s="105">
        <v>120</v>
      </c>
      <c r="AN29" s="69">
        <f>$M$3+AM29-1</f>
        <v>46376</v>
      </c>
      <c r="AO29" s="107">
        <f>AN29-AU29</f>
        <v>169</v>
      </c>
      <c r="AP29" s="48"/>
      <c r="AQ29" s="111"/>
      <c r="AR29" s="70">
        <f>IFERROR(WORKDAY.INTL(AN29,AQ29,11),"")</f>
        <v>46376</v>
      </c>
      <c r="AS29" s="107">
        <f>AR29-AU29</f>
        <v>169</v>
      </c>
      <c r="AT29" s="48"/>
      <c r="AU29" s="113">
        <f t="shared" si="43"/>
        <v>46207</v>
      </c>
      <c r="AV29" s="119" t="str" cm="1">
        <f t="array" ref="AV29">IF(OR(G29&gt;$C$6,G29=""),$F$8,INDEX($E$8:$Z$8,MATCH(TRUE,(F29:AA29=""),0)))</f>
        <v>1. Tender Docs &amp; BOQ</v>
      </c>
      <c r="AW29" s="116" t="b">
        <f>IF(AND(G29&gt;0,G29&lt;$C$6),TRUE,FALSE)</f>
        <v>0</v>
      </c>
      <c r="AX29" s="71" t="b">
        <f>IF(AND(I29&gt;0,I29&lt;$C$6),TRUE,FALSE)</f>
        <v>0</v>
      </c>
      <c r="AY29" s="71" t="b">
        <f>IF(AND(K29&gt;0,K29&lt;$C$6),TRUE,FALSE)</f>
        <v>0</v>
      </c>
      <c r="AZ29" s="71" t="b">
        <f>IF(AND(M29&gt;0,M29&lt;$C$6),TRUE,FALSE)</f>
        <v>0</v>
      </c>
      <c r="BA29" s="71" t="b">
        <f>IF(AND(O29&gt;0,O29&lt;$C$6),TRUE,FALSE)</f>
        <v>0</v>
      </c>
      <c r="BB29" s="71" t="b">
        <f>IF(AND(Q29&gt;0,Q29&lt;$C$6),TRUE,FALSE)</f>
        <v>0</v>
      </c>
      <c r="BC29" s="71" t="b">
        <f>IF(AND(S29&gt;0,S29&lt;$C$6),TRUE,FALSE)</f>
        <v>0</v>
      </c>
      <c r="BD29" s="71" t="b">
        <f>IF(AND(U29&gt;0,U29&lt;$C$6),TRUE,FALSE)</f>
        <v>0</v>
      </c>
      <c r="BE29" s="71" t="b">
        <f>IF(AND(W29&gt;0,W29&lt;$C$6),TRUE,FALSE)</f>
        <v>0</v>
      </c>
      <c r="BF29" s="71" t="b">
        <f>IF(AND(Y29&gt;0,Y29&lt;$C$6),TRUE,FALSE)</f>
        <v>0</v>
      </c>
      <c r="BG29" s="89" t="b">
        <f>IF(AND(AA29&gt;0,AA29&lt;$C$6),TRUE,FALSE)</f>
        <v>0</v>
      </c>
      <c r="BH29" s="146"/>
    </row>
    <row r="30" spans="1:60" ht="23.25" x14ac:dyDescent="0.25">
      <c r="A30" s="54"/>
      <c r="B30" s="49"/>
      <c r="C30" s="50" t="s">
        <v>163</v>
      </c>
      <c r="D30" s="51"/>
      <c r="E30" s="51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1"/>
      <c r="AC30" s="51"/>
      <c r="AD30" s="132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88"/>
      <c r="BH30" s="146"/>
    </row>
    <row r="31" spans="1:60" ht="26.25" x14ac:dyDescent="0.25">
      <c r="A31" s="56" cm="1">
        <f t="array" ref="A31">SUMPRODUCT(($AV$10:$AV$40&lt;&gt;"")*(ROW($AV$10:$AV$40)&lt;=ROW()))</f>
        <v>15</v>
      </c>
      <c r="B31" s="59"/>
      <c r="C31" s="60" t="s">
        <v>212</v>
      </c>
      <c r="D31" s="59" t="s">
        <v>107</v>
      </c>
      <c r="E31" s="43"/>
      <c r="F31" s="44">
        <f t="shared" ref="F31:F40" si="44">H31-$H$7</f>
        <v>46191</v>
      </c>
      <c r="G31" s="45"/>
      <c r="H31" s="44">
        <f t="shared" ref="H31:H40" si="45">J31-$J$7</f>
        <v>46198</v>
      </c>
      <c r="I31" s="45"/>
      <c r="J31" s="44">
        <f t="shared" ref="J31:J40" si="46">L31-$L$7</f>
        <v>46204</v>
      </c>
      <c r="K31" s="45"/>
      <c r="L31" s="44">
        <f t="shared" ref="L31:L40" si="47">N31-$N$7</f>
        <v>46207</v>
      </c>
      <c r="M31" s="45"/>
      <c r="N31" s="44">
        <f t="shared" ref="N31:N40" si="48">P31-$P$7</f>
        <v>46237</v>
      </c>
      <c r="O31" s="45"/>
      <c r="P31" s="44">
        <f t="shared" ref="P31:P40" si="49">R31-$R$7</f>
        <v>46247</v>
      </c>
      <c r="Q31" s="45"/>
      <c r="R31" s="44">
        <f t="shared" ref="R31:R40" si="50">T31-$T$7</f>
        <v>46267</v>
      </c>
      <c r="S31" s="45"/>
      <c r="T31" s="44">
        <f t="shared" ref="T31:T40" si="51">V31-$V$7</f>
        <v>46274</v>
      </c>
      <c r="U31" s="45"/>
      <c r="V31" s="44">
        <f t="shared" ref="V31:V40" si="52">X31-$X$7</f>
        <v>46281</v>
      </c>
      <c r="W31" s="45"/>
      <c r="X31" s="44">
        <f t="shared" ref="X31:X40" si="53">AN31</f>
        <v>46286</v>
      </c>
      <c r="Y31" s="45"/>
      <c r="Z31" s="46">
        <f t="shared" ref="Z31:Z40" si="54">X31+$Z$7</f>
        <v>46296</v>
      </c>
      <c r="AA31" s="45"/>
      <c r="AB31" s="32">
        <f t="shared" ref="AB31:AB40" si="55">IF(AV31="10. Issued to Contractor","-",IF(AV31="11. Subcontract Agreement signed","-",MAX(AN31,AR31)-$C$6))</f>
        <v>174</v>
      </c>
      <c r="AC31" s="16"/>
      <c r="AD31" s="131">
        <f t="shared" ref="AD31:AD40" si="56">SUM($H$7:$Y$7)</f>
        <v>95</v>
      </c>
      <c r="AE31" s="16"/>
      <c r="AF31" s="96"/>
      <c r="AG31" s="72"/>
      <c r="AH31" s="72">
        <v>7361187</v>
      </c>
      <c r="AI31" s="72"/>
      <c r="AJ31" s="73" t="str">
        <f t="shared" ref="AJ31:AJ40" si="57">IF(AI31&gt;0,SUM(AH31)-SUM(AI31),"")</f>
        <v/>
      </c>
      <c r="AK31" s="101"/>
      <c r="AL31" s="48"/>
      <c r="AM31" s="104">
        <v>30</v>
      </c>
      <c r="AN31" s="74">
        <f t="shared" ref="AN31:AN40" si="58">$M$3+AM31-1</f>
        <v>46286</v>
      </c>
      <c r="AO31" s="108">
        <f t="shared" ref="AO31:AO33" si="59">AN31-AU31</f>
        <v>79</v>
      </c>
      <c r="AP31" s="48"/>
      <c r="AQ31" s="110"/>
      <c r="AR31" s="75">
        <f t="shared" ref="AR31:AR33" si="60">IFERROR(WORKDAY.INTL(AN31,AQ31,11),"")</f>
        <v>46286</v>
      </c>
      <c r="AS31" s="108">
        <f t="shared" ref="AS31:AS33" si="61">AR31-AU31</f>
        <v>79</v>
      </c>
      <c r="AT31" s="48"/>
      <c r="AU31" s="114">
        <f t="shared" ref="AU31:AU40" si="62">IF(Y31&gt;0,Y31,IFERROR(MAX(_xlfn.XLOOKUP($AV31,$H$8:$Z$8,$G31:$Y31),$C$6)+(AN31-_xlfn.XLOOKUP($AV31,$H$8:$Z$8,$F31:$X31))*AD31/SUM($H$7:$Y$7),$C$6+SUM(AD31)))</f>
        <v>46207</v>
      </c>
      <c r="AV31" s="120" t="str" cm="1">
        <f t="array" ref="AV31">IF(OR(G31&gt;$C$6,G31=""),$F$8,INDEX($E$8:$Z$8,MATCH(TRUE,(F31:AA31=""),0)))</f>
        <v>1. Tender Docs &amp; BOQ</v>
      </c>
      <c r="AW31" s="117" t="b">
        <f t="shared" ref="AW31:AW40" si="63">IF(AND(G31&gt;0,G31&lt;$C$6),TRUE,FALSE)</f>
        <v>0</v>
      </c>
      <c r="AX31" s="76" t="b">
        <f t="shared" ref="AX31:AX40" si="64">IF(AND(I31&gt;0,I31&lt;$C$6),TRUE,FALSE)</f>
        <v>0</v>
      </c>
      <c r="AY31" s="76" t="b">
        <f t="shared" ref="AY31:AY40" si="65">IF(AND(K31&gt;0,K31&lt;$C$6),TRUE,FALSE)</f>
        <v>0</v>
      </c>
      <c r="AZ31" s="76" t="b">
        <f t="shared" ref="AZ31:AZ40" si="66">IF(AND(M31&gt;0,M31&lt;$C$6),TRUE,FALSE)</f>
        <v>0</v>
      </c>
      <c r="BA31" s="76" t="b">
        <f t="shared" ref="BA31:BA40" si="67">IF(AND(O31&gt;0,O31&lt;$C$6),TRUE,FALSE)</f>
        <v>0</v>
      </c>
      <c r="BB31" s="76" t="b">
        <f t="shared" ref="BB31:BB40" si="68">IF(AND(Q31&gt;0,Q31&lt;$C$6),TRUE,FALSE)</f>
        <v>0</v>
      </c>
      <c r="BC31" s="76" t="b">
        <f t="shared" ref="BC31:BC40" si="69">IF(AND(S31&gt;0,S31&lt;$C$6),TRUE,FALSE)</f>
        <v>0</v>
      </c>
      <c r="BD31" s="76" t="b">
        <f t="shared" ref="BD31:BD40" si="70">IF(AND(U31&gt;0,U31&lt;$C$6),TRUE,FALSE)</f>
        <v>0</v>
      </c>
      <c r="BE31" s="76" t="b">
        <f t="shared" ref="BE31:BE40" si="71">IF(AND(W31&gt;0,W31&lt;$C$6),TRUE,FALSE)</f>
        <v>0</v>
      </c>
      <c r="BF31" s="76" t="b">
        <f t="shared" ref="BF31:BF40" si="72">IF(AND(Y31&gt;0,Y31&lt;$C$6),TRUE,FALSE)</f>
        <v>0</v>
      </c>
      <c r="BG31" s="90" t="b">
        <f t="shared" ref="BG31:BG40" si="73">IF(AND(AA31&gt;0,AA31&lt;$C$6),TRUE,FALSE)</f>
        <v>0</v>
      </c>
      <c r="BH31" s="146"/>
    </row>
    <row r="32" spans="1:60" ht="26.25" x14ac:dyDescent="0.25">
      <c r="A32" s="56" cm="1">
        <f t="array" ref="A32">SUMPRODUCT(($AV$10:$AV$40&lt;&gt;"")*(ROW($AV$10:$AV$40)&lt;=ROW()))</f>
        <v>16</v>
      </c>
      <c r="B32" s="57"/>
      <c r="C32" s="58" t="s">
        <v>374</v>
      </c>
      <c r="D32" s="93" t="s">
        <v>7</v>
      </c>
      <c r="E32" s="16"/>
      <c r="F32" s="29">
        <f t="shared" si="44"/>
        <v>46281</v>
      </c>
      <c r="G32" s="42"/>
      <c r="H32" s="29">
        <f t="shared" si="45"/>
        <v>46288</v>
      </c>
      <c r="I32" s="42"/>
      <c r="J32" s="29">
        <f t="shared" si="46"/>
        <v>46294</v>
      </c>
      <c r="K32" s="42"/>
      <c r="L32" s="29">
        <f t="shared" si="47"/>
        <v>46297</v>
      </c>
      <c r="M32" s="42"/>
      <c r="N32" s="29">
        <f t="shared" si="48"/>
        <v>46327</v>
      </c>
      <c r="O32" s="42"/>
      <c r="P32" s="29">
        <f t="shared" si="49"/>
        <v>46337</v>
      </c>
      <c r="Q32" s="42"/>
      <c r="R32" s="29">
        <f t="shared" si="50"/>
        <v>46357</v>
      </c>
      <c r="S32" s="42"/>
      <c r="T32" s="29">
        <f t="shared" si="51"/>
        <v>46364</v>
      </c>
      <c r="U32" s="42"/>
      <c r="V32" s="29">
        <f t="shared" si="52"/>
        <v>46371</v>
      </c>
      <c r="W32" s="42"/>
      <c r="X32" s="29">
        <f t="shared" si="53"/>
        <v>46376</v>
      </c>
      <c r="Y32" s="42"/>
      <c r="Z32" s="30">
        <f t="shared" si="54"/>
        <v>46386</v>
      </c>
      <c r="AA32" s="42"/>
      <c r="AB32" s="31">
        <f t="shared" si="55"/>
        <v>264</v>
      </c>
      <c r="AC32" s="16"/>
      <c r="AD32" s="131">
        <f t="shared" si="56"/>
        <v>95</v>
      </c>
      <c r="AE32" s="16"/>
      <c r="AF32" s="95"/>
      <c r="AG32" s="67"/>
      <c r="AH32" s="67">
        <v>690087</v>
      </c>
      <c r="AI32" s="67"/>
      <c r="AJ32" s="68" t="str">
        <f t="shared" si="57"/>
        <v/>
      </c>
      <c r="AK32" s="102"/>
      <c r="AL32" s="48"/>
      <c r="AM32" s="105">
        <v>120</v>
      </c>
      <c r="AN32" s="69">
        <f t="shared" si="58"/>
        <v>46376</v>
      </c>
      <c r="AO32" s="107">
        <f t="shared" si="59"/>
        <v>169</v>
      </c>
      <c r="AP32" s="48"/>
      <c r="AQ32" s="111"/>
      <c r="AR32" s="70">
        <f t="shared" si="60"/>
        <v>46376</v>
      </c>
      <c r="AS32" s="107">
        <f t="shared" si="61"/>
        <v>169</v>
      </c>
      <c r="AT32" s="48"/>
      <c r="AU32" s="113">
        <f t="shared" si="62"/>
        <v>46207</v>
      </c>
      <c r="AV32" s="119" t="str" cm="1">
        <f t="array" ref="AV32">IF(OR(G32&gt;$C$6,G32=""),$F$8,INDEX($E$8:$Z$8,MATCH(TRUE,(F32:AA32=""),0)))</f>
        <v>1. Tender Docs &amp; BOQ</v>
      </c>
      <c r="AW32" s="116" t="b">
        <f t="shared" si="63"/>
        <v>0</v>
      </c>
      <c r="AX32" s="71" t="b">
        <f t="shared" si="64"/>
        <v>0</v>
      </c>
      <c r="AY32" s="71" t="b">
        <f t="shared" si="65"/>
        <v>0</v>
      </c>
      <c r="AZ32" s="71" t="b">
        <f t="shared" si="66"/>
        <v>0</v>
      </c>
      <c r="BA32" s="71" t="b">
        <f t="shared" si="67"/>
        <v>0</v>
      </c>
      <c r="BB32" s="71" t="b">
        <f t="shared" si="68"/>
        <v>0</v>
      </c>
      <c r="BC32" s="71" t="b">
        <f t="shared" si="69"/>
        <v>0</v>
      </c>
      <c r="BD32" s="71" t="b">
        <f t="shared" si="70"/>
        <v>0</v>
      </c>
      <c r="BE32" s="71" t="b">
        <f t="shared" si="71"/>
        <v>0</v>
      </c>
      <c r="BF32" s="71" t="b">
        <f t="shared" si="72"/>
        <v>0</v>
      </c>
      <c r="BG32" s="89" t="b">
        <f t="shared" si="73"/>
        <v>0</v>
      </c>
      <c r="BH32" s="146"/>
    </row>
    <row r="33" spans="1:60" ht="26.25" x14ac:dyDescent="0.25">
      <c r="A33" s="56" cm="1">
        <f t="array" ref="A33">SUMPRODUCT(($AV$10:$AV$40&lt;&gt;"")*(ROW($AV$10:$AV$40)&lt;=ROW()))</f>
        <v>17</v>
      </c>
      <c r="B33" s="59"/>
      <c r="C33" s="60" t="s">
        <v>375</v>
      </c>
      <c r="D33" s="59" t="s">
        <v>13</v>
      </c>
      <c r="E33" s="43"/>
      <c r="F33" s="44">
        <f t="shared" si="44"/>
        <v>46281</v>
      </c>
      <c r="G33" s="45"/>
      <c r="H33" s="44">
        <f t="shared" si="45"/>
        <v>46288</v>
      </c>
      <c r="I33" s="45"/>
      <c r="J33" s="44">
        <f t="shared" si="46"/>
        <v>46294</v>
      </c>
      <c r="K33" s="45"/>
      <c r="L33" s="44">
        <f t="shared" si="47"/>
        <v>46297</v>
      </c>
      <c r="M33" s="45"/>
      <c r="N33" s="44">
        <f t="shared" si="48"/>
        <v>46327</v>
      </c>
      <c r="O33" s="45"/>
      <c r="P33" s="44">
        <f t="shared" si="49"/>
        <v>46337</v>
      </c>
      <c r="Q33" s="45"/>
      <c r="R33" s="44">
        <f t="shared" si="50"/>
        <v>46357</v>
      </c>
      <c r="S33" s="45"/>
      <c r="T33" s="44">
        <f t="shared" si="51"/>
        <v>46364</v>
      </c>
      <c r="U33" s="45"/>
      <c r="V33" s="44">
        <f t="shared" si="52"/>
        <v>46371</v>
      </c>
      <c r="W33" s="45"/>
      <c r="X33" s="44">
        <f t="shared" si="53"/>
        <v>46376</v>
      </c>
      <c r="Y33" s="45"/>
      <c r="Z33" s="46">
        <f t="shared" si="54"/>
        <v>46386</v>
      </c>
      <c r="AA33" s="45"/>
      <c r="AB33" s="32">
        <f t="shared" si="55"/>
        <v>264</v>
      </c>
      <c r="AC33" s="16"/>
      <c r="AD33" s="131">
        <f t="shared" si="56"/>
        <v>95</v>
      </c>
      <c r="AE33" s="16"/>
      <c r="AF33" s="96"/>
      <c r="AG33" s="72"/>
      <c r="AH33" s="72">
        <v>9890655</v>
      </c>
      <c r="AI33" s="72"/>
      <c r="AJ33" s="73" t="str">
        <f t="shared" si="57"/>
        <v/>
      </c>
      <c r="AK33" s="101"/>
      <c r="AL33" s="48"/>
      <c r="AM33" s="104">
        <v>120</v>
      </c>
      <c r="AN33" s="74">
        <f t="shared" si="58"/>
        <v>46376</v>
      </c>
      <c r="AO33" s="108">
        <f t="shared" si="59"/>
        <v>169</v>
      </c>
      <c r="AP33" s="48"/>
      <c r="AQ33" s="110"/>
      <c r="AR33" s="75">
        <f t="shared" si="60"/>
        <v>46376</v>
      </c>
      <c r="AS33" s="108">
        <f t="shared" si="61"/>
        <v>169</v>
      </c>
      <c r="AT33" s="48"/>
      <c r="AU33" s="114">
        <f t="shared" si="62"/>
        <v>46207</v>
      </c>
      <c r="AV33" s="120" t="str" cm="1">
        <f t="array" ref="AV33">IF(OR(G33&gt;$C$6,G33=""),$F$8,INDEX($E$8:$Z$8,MATCH(TRUE,(F33:AA33=""),0)))</f>
        <v>1. Tender Docs &amp; BOQ</v>
      </c>
      <c r="AW33" s="117" t="b">
        <f t="shared" si="63"/>
        <v>0</v>
      </c>
      <c r="AX33" s="76" t="b">
        <f t="shared" si="64"/>
        <v>0</v>
      </c>
      <c r="AY33" s="76" t="b">
        <f t="shared" si="65"/>
        <v>0</v>
      </c>
      <c r="AZ33" s="76" t="b">
        <f t="shared" si="66"/>
        <v>0</v>
      </c>
      <c r="BA33" s="76" t="b">
        <f t="shared" si="67"/>
        <v>0</v>
      </c>
      <c r="BB33" s="76" t="b">
        <f t="shared" si="68"/>
        <v>0</v>
      </c>
      <c r="BC33" s="76" t="b">
        <f t="shared" si="69"/>
        <v>0</v>
      </c>
      <c r="BD33" s="76" t="b">
        <f t="shared" si="70"/>
        <v>0</v>
      </c>
      <c r="BE33" s="76" t="b">
        <f t="shared" si="71"/>
        <v>0</v>
      </c>
      <c r="BF33" s="76" t="b">
        <f t="shared" si="72"/>
        <v>0</v>
      </c>
      <c r="BG33" s="90" t="b">
        <f t="shared" si="73"/>
        <v>0</v>
      </c>
      <c r="BH33" s="146"/>
    </row>
    <row r="34" spans="1:60" ht="26.25" x14ac:dyDescent="0.25">
      <c r="A34" s="56" cm="1">
        <f t="array" ref="A34">SUMPRODUCT(($AV$10:$AV$40&lt;&gt;"")*(ROW($AV$10:$AV$40)&lt;=ROW()))</f>
        <v>18</v>
      </c>
      <c r="B34" s="57"/>
      <c r="C34" s="58" t="s">
        <v>299</v>
      </c>
      <c r="D34" s="93" t="s">
        <v>13</v>
      </c>
      <c r="E34" s="16"/>
      <c r="F34" s="29">
        <f t="shared" si="44"/>
        <v>46281</v>
      </c>
      <c r="G34" s="42"/>
      <c r="H34" s="29">
        <f t="shared" si="45"/>
        <v>46288</v>
      </c>
      <c r="I34" s="42"/>
      <c r="J34" s="29">
        <f t="shared" si="46"/>
        <v>46294</v>
      </c>
      <c r="K34" s="42"/>
      <c r="L34" s="29">
        <f t="shared" si="47"/>
        <v>46297</v>
      </c>
      <c r="M34" s="42"/>
      <c r="N34" s="29">
        <f t="shared" si="48"/>
        <v>46327</v>
      </c>
      <c r="O34" s="42"/>
      <c r="P34" s="29">
        <f t="shared" si="49"/>
        <v>46337</v>
      </c>
      <c r="Q34" s="42"/>
      <c r="R34" s="29">
        <f t="shared" si="50"/>
        <v>46357</v>
      </c>
      <c r="S34" s="42"/>
      <c r="T34" s="29">
        <f t="shared" si="51"/>
        <v>46364</v>
      </c>
      <c r="U34" s="42"/>
      <c r="V34" s="29">
        <f t="shared" si="52"/>
        <v>46371</v>
      </c>
      <c r="W34" s="42"/>
      <c r="X34" s="29">
        <f t="shared" si="53"/>
        <v>46376</v>
      </c>
      <c r="Y34" s="42"/>
      <c r="Z34" s="30">
        <f t="shared" si="54"/>
        <v>46386</v>
      </c>
      <c r="AA34" s="42"/>
      <c r="AB34" s="31">
        <f t="shared" si="55"/>
        <v>264</v>
      </c>
      <c r="AC34" s="16"/>
      <c r="AD34" s="131">
        <f t="shared" si="56"/>
        <v>95</v>
      </c>
      <c r="AE34" s="16"/>
      <c r="AF34" s="95"/>
      <c r="AG34" s="67"/>
      <c r="AH34" s="67">
        <v>4600284</v>
      </c>
      <c r="AI34" s="67"/>
      <c r="AJ34" s="68" t="str">
        <f t="shared" si="57"/>
        <v/>
      </c>
      <c r="AK34" s="102"/>
      <c r="AL34" s="48"/>
      <c r="AM34" s="105">
        <v>120</v>
      </c>
      <c r="AN34" s="69">
        <f t="shared" si="58"/>
        <v>46376</v>
      </c>
      <c r="AO34" s="107">
        <f>AN34-AU34</f>
        <v>169</v>
      </c>
      <c r="AP34" s="48"/>
      <c r="AQ34" s="111"/>
      <c r="AR34" s="70">
        <f>IFERROR(WORKDAY.INTL(AN34,AQ34,11),"")</f>
        <v>46376</v>
      </c>
      <c r="AS34" s="107">
        <f>AR34-AU34</f>
        <v>169</v>
      </c>
      <c r="AT34" s="48"/>
      <c r="AU34" s="113">
        <f t="shared" si="62"/>
        <v>46207</v>
      </c>
      <c r="AV34" s="119" t="str" cm="1">
        <f t="array" ref="AV34">IF(OR(G34&gt;$C$6,G34=""),$F$8,INDEX($E$8:$Z$8,MATCH(TRUE,(F34:AA34=""),0)))</f>
        <v>1. Tender Docs &amp; BOQ</v>
      </c>
      <c r="AW34" s="116" t="b">
        <f t="shared" si="63"/>
        <v>0</v>
      </c>
      <c r="AX34" s="71" t="b">
        <f t="shared" si="64"/>
        <v>0</v>
      </c>
      <c r="AY34" s="71" t="b">
        <f t="shared" si="65"/>
        <v>0</v>
      </c>
      <c r="AZ34" s="71" t="b">
        <f t="shared" si="66"/>
        <v>0</v>
      </c>
      <c r="BA34" s="71" t="b">
        <f t="shared" si="67"/>
        <v>0</v>
      </c>
      <c r="BB34" s="71" t="b">
        <f t="shared" si="68"/>
        <v>0</v>
      </c>
      <c r="BC34" s="71" t="b">
        <f t="shared" si="69"/>
        <v>0</v>
      </c>
      <c r="BD34" s="71" t="b">
        <f t="shared" si="70"/>
        <v>0</v>
      </c>
      <c r="BE34" s="71" t="b">
        <f t="shared" si="71"/>
        <v>0</v>
      </c>
      <c r="BF34" s="71" t="b">
        <f t="shared" si="72"/>
        <v>0</v>
      </c>
      <c r="BG34" s="89" t="b">
        <f t="shared" si="73"/>
        <v>0</v>
      </c>
      <c r="BH34" s="146"/>
    </row>
    <row r="35" spans="1:60" ht="26.25" x14ac:dyDescent="0.25">
      <c r="A35" s="56" cm="1">
        <f t="array" ref="A35">SUMPRODUCT(($AV$10:$AV$40&lt;&gt;"")*(ROW($AV$10:$AV$40)&lt;=ROW()))</f>
        <v>19</v>
      </c>
      <c r="B35" s="59"/>
      <c r="C35" s="60" t="s">
        <v>385</v>
      </c>
      <c r="D35" s="59" t="s">
        <v>3</v>
      </c>
      <c r="E35" s="43"/>
      <c r="F35" s="44">
        <f t="shared" si="44"/>
        <v>46281</v>
      </c>
      <c r="G35" s="45"/>
      <c r="H35" s="44">
        <f t="shared" si="45"/>
        <v>46288</v>
      </c>
      <c r="I35" s="45"/>
      <c r="J35" s="44">
        <f t="shared" si="46"/>
        <v>46294</v>
      </c>
      <c r="K35" s="45"/>
      <c r="L35" s="44">
        <f t="shared" si="47"/>
        <v>46297</v>
      </c>
      <c r="M35" s="45"/>
      <c r="N35" s="44">
        <f t="shared" si="48"/>
        <v>46327</v>
      </c>
      <c r="O35" s="45"/>
      <c r="P35" s="44">
        <f t="shared" si="49"/>
        <v>46337</v>
      </c>
      <c r="Q35" s="45"/>
      <c r="R35" s="44">
        <f t="shared" si="50"/>
        <v>46357</v>
      </c>
      <c r="S35" s="45"/>
      <c r="T35" s="44">
        <f t="shared" si="51"/>
        <v>46364</v>
      </c>
      <c r="U35" s="45"/>
      <c r="V35" s="44">
        <f t="shared" si="52"/>
        <v>46371</v>
      </c>
      <c r="W35" s="45"/>
      <c r="X35" s="44">
        <f t="shared" si="53"/>
        <v>46376</v>
      </c>
      <c r="Y35" s="45"/>
      <c r="Z35" s="46">
        <f t="shared" si="54"/>
        <v>46386</v>
      </c>
      <c r="AA35" s="45"/>
      <c r="AB35" s="32">
        <f t="shared" si="55"/>
        <v>264</v>
      </c>
      <c r="AC35" s="16"/>
      <c r="AD35" s="131">
        <f t="shared" si="56"/>
        <v>95</v>
      </c>
      <c r="AE35" s="16"/>
      <c r="AF35" s="96"/>
      <c r="AG35" s="72"/>
      <c r="AH35" s="72">
        <v>2070150</v>
      </c>
      <c r="AI35" s="72"/>
      <c r="AJ35" s="73" t="str">
        <f t="shared" si="57"/>
        <v/>
      </c>
      <c r="AK35" s="101"/>
      <c r="AL35" s="48"/>
      <c r="AM35" s="104">
        <v>120</v>
      </c>
      <c r="AN35" s="74">
        <f t="shared" si="58"/>
        <v>46376</v>
      </c>
      <c r="AO35" s="108">
        <f t="shared" ref="AO35:AO40" si="74">AN35-AU35</f>
        <v>169</v>
      </c>
      <c r="AP35" s="48"/>
      <c r="AQ35" s="110"/>
      <c r="AR35" s="75">
        <f t="shared" ref="AR35:AR40" si="75">IFERROR(WORKDAY.INTL(AN35,AQ35,11),"")</f>
        <v>46376</v>
      </c>
      <c r="AS35" s="108">
        <f t="shared" ref="AS35:AS40" si="76">AR35-AU35</f>
        <v>169</v>
      </c>
      <c r="AT35" s="48"/>
      <c r="AU35" s="114">
        <f t="shared" si="62"/>
        <v>46207</v>
      </c>
      <c r="AV35" s="120" t="str" cm="1">
        <f t="array" ref="AV35">IF(OR(G35&gt;$C$6,G35=""),$F$8,INDEX($E$8:$Z$8,MATCH(TRUE,(F35:AA35=""),0)))</f>
        <v>1. Tender Docs &amp; BOQ</v>
      </c>
      <c r="AW35" s="117" t="b">
        <f t="shared" si="63"/>
        <v>0</v>
      </c>
      <c r="AX35" s="76" t="b">
        <f t="shared" si="64"/>
        <v>0</v>
      </c>
      <c r="AY35" s="76" t="b">
        <f t="shared" si="65"/>
        <v>0</v>
      </c>
      <c r="AZ35" s="76" t="b">
        <f t="shared" si="66"/>
        <v>0</v>
      </c>
      <c r="BA35" s="76" t="b">
        <f t="shared" si="67"/>
        <v>0</v>
      </c>
      <c r="BB35" s="76" t="b">
        <f t="shared" si="68"/>
        <v>0</v>
      </c>
      <c r="BC35" s="76" t="b">
        <f t="shared" si="69"/>
        <v>0</v>
      </c>
      <c r="BD35" s="76" t="b">
        <f t="shared" si="70"/>
        <v>0</v>
      </c>
      <c r="BE35" s="76" t="b">
        <f t="shared" si="71"/>
        <v>0</v>
      </c>
      <c r="BF35" s="76" t="b">
        <f t="shared" si="72"/>
        <v>0</v>
      </c>
      <c r="BG35" s="90" t="b">
        <f t="shared" si="73"/>
        <v>0</v>
      </c>
      <c r="BH35" s="146"/>
    </row>
    <row r="36" spans="1:60" ht="26.25" x14ac:dyDescent="0.25">
      <c r="A36" s="56" cm="1">
        <f t="array" ref="A36">SUMPRODUCT(($AV$10:$AV$40&lt;&gt;"")*(ROW($AV$10:$AV$40)&lt;=ROW()))</f>
        <v>20</v>
      </c>
      <c r="B36" s="57"/>
      <c r="C36" s="58" t="s">
        <v>267</v>
      </c>
      <c r="D36" s="93" t="s">
        <v>13</v>
      </c>
      <c r="E36" s="16"/>
      <c r="F36" s="29">
        <f t="shared" si="44"/>
        <v>46461</v>
      </c>
      <c r="G36" s="42"/>
      <c r="H36" s="29">
        <f t="shared" si="45"/>
        <v>46468</v>
      </c>
      <c r="I36" s="42"/>
      <c r="J36" s="29">
        <f t="shared" si="46"/>
        <v>46474</v>
      </c>
      <c r="K36" s="42"/>
      <c r="L36" s="29">
        <f t="shared" si="47"/>
        <v>46477</v>
      </c>
      <c r="M36" s="42"/>
      <c r="N36" s="29">
        <f t="shared" si="48"/>
        <v>46507</v>
      </c>
      <c r="O36" s="42"/>
      <c r="P36" s="29">
        <f t="shared" si="49"/>
        <v>46517</v>
      </c>
      <c r="Q36" s="42"/>
      <c r="R36" s="29">
        <f t="shared" si="50"/>
        <v>46537</v>
      </c>
      <c r="S36" s="42"/>
      <c r="T36" s="29">
        <f t="shared" si="51"/>
        <v>46544</v>
      </c>
      <c r="U36" s="42"/>
      <c r="V36" s="29">
        <f t="shared" si="52"/>
        <v>46551</v>
      </c>
      <c r="W36" s="42"/>
      <c r="X36" s="29">
        <f t="shared" si="53"/>
        <v>46556</v>
      </c>
      <c r="Y36" s="42"/>
      <c r="Z36" s="30">
        <f t="shared" si="54"/>
        <v>46566</v>
      </c>
      <c r="AA36" s="42"/>
      <c r="AB36" s="31">
        <f t="shared" si="55"/>
        <v>444</v>
      </c>
      <c r="AC36" s="16"/>
      <c r="AD36" s="131">
        <f t="shared" si="56"/>
        <v>95</v>
      </c>
      <c r="AE36" s="16"/>
      <c r="AF36" s="95"/>
      <c r="AG36" s="67"/>
      <c r="AH36" s="67">
        <v>2300142</v>
      </c>
      <c r="AI36" s="67"/>
      <c r="AJ36" s="68" t="str">
        <f t="shared" si="57"/>
        <v/>
      </c>
      <c r="AK36" s="102"/>
      <c r="AL36" s="48"/>
      <c r="AM36" s="105">
        <v>300</v>
      </c>
      <c r="AN36" s="69">
        <f t="shared" si="58"/>
        <v>46556</v>
      </c>
      <c r="AO36" s="107">
        <f t="shared" si="74"/>
        <v>349</v>
      </c>
      <c r="AP36" s="48"/>
      <c r="AQ36" s="111"/>
      <c r="AR36" s="70">
        <f t="shared" si="75"/>
        <v>46556</v>
      </c>
      <c r="AS36" s="107">
        <f t="shared" si="76"/>
        <v>349</v>
      </c>
      <c r="AT36" s="48"/>
      <c r="AU36" s="113">
        <f t="shared" si="62"/>
        <v>46207</v>
      </c>
      <c r="AV36" s="119" t="str" cm="1">
        <f t="array" ref="AV36">IF(OR(G36&gt;$C$6,G36=""),$F$8,INDEX($E$8:$Z$8,MATCH(TRUE,(F36:AA36=""),0)))</f>
        <v>1. Tender Docs &amp; BOQ</v>
      </c>
      <c r="AW36" s="116" t="b">
        <f t="shared" si="63"/>
        <v>0</v>
      </c>
      <c r="AX36" s="71" t="b">
        <f t="shared" si="64"/>
        <v>0</v>
      </c>
      <c r="AY36" s="71" t="b">
        <f t="shared" si="65"/>
        <v>0</v>
      </c>
      <c r="AZ36" s="71" t="b">
        <f t="shared" si="66"/>
        <v>0</v>
      </c>
      <c r="BA36" s="71" t="b">
        <f t="shared" si="67"/>
        <v>0</v>
      </c>
      <c r="BB36" s="71" t="b">
        <f t="shared" si="68"/>
        <v>0</v>
      </c>
      <c r="BC36" s="71" t="b">
        <f t="shared" si="69"/>
        <v>0</v>
      </c>
      <c r="BD36" s="71" t="b">
        <f t="shared" si="70"/>
        <v>0</v>
      </c>
      <c r="BE36" s="71" t="b">
        <f t="shared" si="71"/>
        <v>0</v>
      </c>
      <c r="BF36" s="71" t="b">
        <f t="shared" si="72"/>
        <v>0</v>
      </c>
      <c r="BG36" s="89" t="b">
        <f t="shared" si="73"/>
        <v>0</v>
      </c>
      <c r="BH36" s="146"/>
    </row>
    <row r="37" spans="1:60" ht="26.25" x14ac:dyDescent="0.25">
      <c r="A37" s="56" cm="1">
        <f t="array" ref="A37">SUMPRODUCT(($AV$10:$AV$40&lt;&gt;"")*(ROW($AV$10:$AV$40)&lt;=ROW()))</f>
        <v>21</v>
      </c>
      <c r="B37" s="59"/>
      <c r="C37" s="60" t="s">
        <v>376</v>
      </c>
      <c r="D37" s="59" t="s">
        <v>13</v>
      </c>
      <c r="E37" s="43"/>
      <c r="F37" s="44">
        <f t="shared" si="44"/>
        <v>46461</v>
      </c>
      <c r="G37" s="45"/>
      <c r="H37" s="44">
        <f t="shared" si="45"/>
        <v>46468</v>
      </c>
      <c r="I37" s="45"/>
      <c r="J37" s="44">
        <f t="shared" si="46"/>
        <v>46474</v>
      </c>
      <c r="K37" s="45"/>
      <c r="L37" s="44">
        <f t="shared" si="47"/>
        <v>46477</v>
      </c>
      <c r="M37" s="45"/>
      <c r="N37" s="44">
        <f t="shared" si="48"/>
        <v>46507</v>
      </c>
      <c r="O37" s="45"/>
      <c r="P37" s="44">
        <f t="shared" si="49"/>
        <v>46517</v>
      </c>
      <c r="Q37" s="45"/>
      <c r="R37" s="44">
        <f t="shared" si="50"/>
        <v>46537</v>
      </c>
      <c r="S37" s="45"/>
      <c r="T37" s="44">
        <f t="shared" si="51"/>
        <v>46544</v>
      </c>
      <c r="U37" s="45"/>
      <c r="V37" s="44">
        <f t="shared" si="52"/>
        <v>46551</v>
      </c>
      <c r="W37" s="45"/>
      <c r="X37" s="44">
        <f t="shared" si="53"/>
        <v>46556</v>
      </c>
      <c r="Y37" s="45"/>
      <c r="Z37" s="46">
        <f t="shared" si="54"/>
        <v>46566</v>
      </c>
      <c r="AA37" s="45"/>
      <c r="AB37" s="32">
        <f t="shared" si="55"/>
        <v>444</v>
      </c>
      <c r="AC37" s="16"/>
      <c r="AD37" s="131">
        <f t="shared" si="56"/>
        <v>95</v>
      </c>
      <c r="AE37" s="16"/>
      <c r="AF37" s="96"/>
      <c r="AG37" s="72"/>
      <c r="AH37" s="72">
        <v>575091</v>
      </c>
      <c r="AI37" s="72"/>
      <c r="AJ37" s="73" t="str">
        <f t="shared" si="57"/>
        <v/>
      </c>
      <c r="AK37" s="101"/>
      <c r="AL37" s="48"/>
      <c r="AM37" s="104">
        <v>300</v>
      </c>
      <c r="AN37" s="74">
        <f t="shared" si="58"/>
        <v>46556</v>
      </c>
      <c r="AO37" s="108">
        <f t="shared" si="74"/>
        <v>349</v>
      </c>
      <c r="AP37" s="48"/>
      <c r="AQ37" s="110"/>
      <c r="AR37" s="75">
        <f t="shared" si="75"/>
        <v>46556</v>
      </c>
      <c r="AS37" s="108">
        <f t="shared" si="76"/>
        <v>349</v>
      </c>
      <c r="AT37" s="48"/>
      <c r="AU37" s="114">
        <f t="shared" si="62"/>
        <v>46207</v>
      </c>
      <c r="AV37" s="120" t="str" cm="1">
        <f t="array" ref="AV37">IF(OR(G37&gt;$C$6,G37=""),$F$8,INDEX($E$8:$Z$8,MATCH(TRUE,(F37:AA37=""),0)))</f>
        <v>1. Tender Docs &amp; BOQ</v>
      </c>
      <c r="AW37" s="117" t="b">
        <f t="shared" si="63"/>
        <v>0</v>
      </c>
      <c r="AX37" s="76" t="b">
        <f t="shared" si="64"/>
        <v>0</v>
      </c>
      <c r="AY37" s="76" t="b">
        <f t="shared" si="65"/>
        <v>0</v>
      </c>
      <c r="AZ37" s="76" t="b">
        <f t="shared" si="66"/>
        <v>0</v>
      </c>
      <c r="BA37" s="76" t="b">
        <f t="shared" si="67"/>
        <v>0</v>
      </c>
      <c r="BB37" s="76" t="b">
        <f t="shared" si="68"/>
        <v>0</v>
      </c>
      <c r="BC37" s="76" t="b">
        <f t="shared" si="69"/>
        <v>0</v>
      </c>
      <c r="BD37" s="76" t="b">
        <f t="shared" si="70"/>
        <v>0</v>
      </c>
      <c r="BE37" s="76" t="b">
        <f t="shared" si="71"/>
        <v>0</v>
      </c>
      <c r="BF37" s="76" t="b">
        <f t="shared" si="72"/>
        <v>0</v>
      </c>
      <c r="BG37" s="90" t="b">
        <f t="shared" si="73"/>
        <v>0</v>
      </c>
      <c r="BH37" s="146"/>
    </row>
    <row r="38" spans="1:60" ht="26.25" x14ac:dyDescent="0.25">
      <c r="A38" s="56" cm="1">
        <f t="array" ref="A38">SUMPRODUCT(($AV$10:$AV$40&lt;&gt;"")*(ROW($AV$10:$AV$40)&lt;=ROW()))</f>
        <v>22</v>
      </c>
      <c r="B38" s="57"/>
      <c r="C38" s="58" t="s">
        <v>386</v>
      </c>
      <c r="D38" s="93" t="s">
        <v>13</v>
      </c>
      <c r="E38" s="16"/>
      <c r="F38" s="29">
        <f t="shared" si="44"/>
        <v>46461</v>
      </c>
      <c r="G38" s="42"/>
      <c r="H38" s="29">
        <f t="shared" si="45"/>
        <v>46468</v>
      </c>
      <c r="I38" s="42"/>
      <c r="J38" s="29">
        <f t="shared" si="46"/>
        <v>46474</v>
      </c>
      <c r="K38" s="42"/>
      <c r="L38" s="29">
        <f t="shared" si="47"/>
        <v>46477</v>
      </c>
      <c r="M38" s="42"/>
      <c r="N38" s="29">
        <f t="shared" si="48"/>
        <v>46507</v>
      </c>
      <c r="O38" s="42"/>
      <c r="P38" s="29">
        <f t="shared" si="49"/>
        <v>46517</v>
      </c>
      <c r="Q38" s="42"/>
      <c r="R38" s="29">
        <f t="shared" si="50"/>
        <v>46537</v>
      </c>
      <c r="S38" s="42"/>
      <c r="T38" s="29">
        <f t="shared" si="51"/>
        <v>46544</v>
      </c>
      <c r="U38" s="42"/>
      <c r="V38" s="29">
        <f t="shared" si="52"/>
        <v>46551</v>
      </c>
      <c r="W38" s="42"/>
      <c r="X38" s="29">
        <f t="shared" si="53"/>
        <v>46556</v>
      </c>
      <c r="Y38" s="42"/>
      <c r="Z38" s="30">
        <f t="shared" si="54"/>
        <v>46566</v>
      </c>
      <c r="AA38" s="42"/>
      <c r="AB38" s="31">
        <f t="shared" si="55"/>
        <v>444</v>
      </c>
      <c r="AC38" s="16"/>
      <c r="AD38" s="131">
        <f t="shared" si="56"/>
        <v>95</v>
      </c>
      <c r="AE38" s="16"/>
      <c r="AF38" s="97"/>
      <c r="AG38" s="67"/>
      <c r="AH38" s="67">
        <v>459984</v>
      </c>
      <c r="AI38" s="67"/>
      <c r="AJ38" s="68" t="str">
        <f t="shared" si="57"/>
        <v/>
      </c>
      <c r="AK38" s="102"/>
      <c r="AL38" s="48"/>
      <c r="AM38" s="105">
        <v>300</v>
      </c>
      <c r="AN38" s="69">
        <f t="shared" si="58"/>
        <v>46556</v>
      </c>
      <c r="AO38" s="107">
        <f t="shared" si="74"/>
        <v>349</v>
      </c>
      <c r="AP38" s="48"/>
      <c r="AQ38" s="111"/>
      <c r="AR38" s="70">
        <f t="shared" si="75"/>
        <v>46556</v>
      </c>
      <c r="AS38" s="107">
        <f t="shared" si="76"/>
        <v>349</v>
      </c>
      <c r="AT38" s="48"/>
      <c r="AU38" s="113">
        <f t="shared" si="62"/>
        <v>46207</v>
      </c>
      <c r="AV38" s="119" t="str" cm="1">
        <f t="array" ref="AV38">IF(OR(G38&gt;$C$6,G38=""),$F$8,INDEX($E$8:$Z$8,MATCH(TRUE,(F38:AA38=""),0)))</f>
        <v>1. Tender Docs &amp; BOQ</v>
      </c>
      <c r="AW38" s="116" t="b">
        <f t="shared" si="63"/>
        <v>0</v>
      </c>
      <c r="AX38" s="71" t="b">
        <f t="shared" si="64"/>
        <v>0</v>
      </c>
      <c r="AY38" s="71" t="b">
        <f t="shared" si="65"/>
        <v>0</v>
      </c>
      <c r="AZ38" s="71" t="b">
        <f t="shared" si="66"/>
        <v>0</v>
      </c>
      <c r="BA38" s="71" t="b">
        <f t="shared" si="67"/>
        <v>0</v>
      </c>
      <c r="BB38" s="71" t="b">
        <f t="shared" si="68"/>
        <v>0</v>
      </c>
      <c r="BC38" s="71" t="b">
        <f t="shared" si="69"/>
        <v>0</v>
      </c>
      <c r="BD38" s="71" t="b">
        <f t="shared" si="70"/>
        <v>0</v>
      </c>
      <c r="BE38" s="71" t="b">
        <f t="shared" si="71"/>
        <v>0</v>
      </c>
      <c r="BF38" s="71" t="b">
        <f t="shared" si="72"/>
        <v>0</v>
      </c>
      <c r="BG38" s="89" t="b">
        <f t="shared" si="73"/>
        <v>0</v>
      </c>
      <c r="BH38" s="146"/>
    </row>
    <row r="39" spans="1:60" ht="26.25" x14ac:dyDescent="0.25">
      <c r="A39" s="56" cm="1">
        <f t="array" ref="A39">SUMPRODUCT(($AV$10:$AV$40&lt;&gt;"")*(ROW($AV$10:$AV$40)&lt;=ROW()))</f>
        <v>23</v>
      </c>
      <c r="B39" s="59"/>
      <c r="C39" s="60" t="s">
        <v>378</v>
      </c>
      <c r="D39" s="59" t="s">
        <v>13</v>
      </c>
      <c r="E39" s="43"/>
      <c r="F39" s="44">
        <f t="shared" si="44"/>
        <v>46461</v>
      </c>
      <c r="G39" s="45"/>
      <c r="H39" s="44">
        <f t="shared" si="45"/>
        <v>46468</v>
      </c>
      <c r="I39" s="45"/>
      <c r="J39" s="44">
        <f t="shared" si="46"/>
        <v>46474</v>
      </c>
      <c r="K39" s="45"/>
      <c r="L39" s="44">
        <f t="shared" si="47"/>
        <v>46477</v>
      </c>
      <c r="M39" s="45"/>
      <c r="N39" s="44">
        <f t="shared" si="48"/>
        <v>46507</v>
      </c>
      <c r="O39" s="45"/>
      <c r="P39" s="44">
        <f t="shared" si="49"/>
        <v>46517</v>
      </c>
      <c r="Q39" s="45"/>
      <c r="R39" s="44">
        <f t="shared" si="50"/>
        <v>46537</v>
      </c>
      <c r="S39" s="45"/>
      <c r="T39" s="44">
        <f t="shared" si="51"/>
        <v>46544</v>
      </c>
      <c r="U39" s="45"/>
      <c r="V39" s="44">
        <f t="shared" si="52"/>
        <v>46551</v>
      </c>
      <c r="W39" s="45"/>
      <c r="X39" s="44">
        <f t="shared" si="53"/>
        <v>46556</v>
      </c>
      <c r="Y39" s="45"/>
      <c r="Z39" s="46">
        <f t="shared" si="54"/>
        <v>46566</v>
      </c>
      <c r="AA39" s="45"/>
      <c r="AB39" s="32">
        <f t="shared" si="55"/>
        <v>444</v>
      </c>
      <c r="AC39" s="16"/>
      <c r="AD39" s="131">
        <f t="shared" si="56"/>
        <v>95</v>
      </c>
      <c r="AE39" s="16"/>
      <c r="AF39" s="96"/>
      <c r="AG39" s="72"/>
      <c r="AH39" s="72">
        <v>64380</v>
      </c>
      <c r="AI39" s="72"/>
      <c r="AJ39" s="73" t="str">
        <f t="shared" si="57"/>
        <v/>
      </c>
      <c r="AK39" s="101"/>
      <c r="AL39" s="48"/>
      <c r="AM39" s="104">
        <v>300</v>
      </c>
      <c r="AN39" s="74">
        <f t="shared" si="58"/>
        <v>46556</v>
      </c>
      <c r="AO39" s="108">
        <f t="shared" si="74"/>
        <v>349</v>
      </c>
      <c r="AP39" s="48"/>
      <c r="AQ39" s="110"/>
      <c r="AR39" s="75">
        <f t="shared" si="75"/>
        <v>46556</v>
      </c>
      <c r="AS39" s="108">
        <f t="shared" si="76"/>
        <v>349</v>
      </c>
      <c r="AT39" s="48"/>
      <c r="AU39" s="114">
        <f t="shared" si="62"/>
        <v>46207</v>
      </c>
      <c r="AV39" s="120" t="str" cm="1">
        <f t="array" ref="AV39">IF(OR(G39&gt;$C$6,G39=""),$F$8,INDEX($E$8:$Z$8,MATCH(TRUE,(F39:AA39=""),0)))</f>
        <v>1. Tender Docs &amp; BOQ</v>
      </c>
      <c r="AW39" s="117" t="b">
        <f t="shared" si="63"/>
        <v>0</v>
      </c>
      <c r="AX39" s="76" t="b">
        <f t="shared" si="64"/>
        <v>0</v>
      </c>
      <c r="AY39" s="76" t="b">
        <f t="shared" si="65"/>
        <v>0</v>
      </c>
      <c r="AZ39" s="76" t="b">
        <f t="shared" si="66"/>
        <v>0</v>
      </c>
      <c r="BA39" s="76" t="b">
        <f t="shared" si="67"/>
        <v>0</v>
      </c>
      <c r="BB39" s="76" t="b">
        <f t="shared" si="68"/>
        <v>0</v>
      </c>
      <c r="BC39" s="76" t="b">
        <f t="shared" si="69"/>
        <v>0</v>
      </c>
      <c r="BD39" s="76" t="b">
        <f t="shared" si="70"/>
        <v>0</v>
      </c>
      <c r="BE39" s="76" t="b">
        <f t="shared" si="71"/>
        <v>0</v>
      </c>
      <c r="BF39" s="76" t="b">
        <f t="shared" si="72"/>
        <v>0</v>
      </c>
      <c r="BG39" s="90" t="b">
        <f t="shared" si="73"/>
        <v>0</v>
      </c>
      <c r="BH39" s="146"/>
    </row>
    <row r="40" spans="1:60" ht="26.25" x14ac:dyDescent="0.25">
      <c r="A40" s="56" cm="1">
        <f t="array" ref="A40">SUMPRODUCT(($AV$10:$AV$40&lt;&gt;"")*(ROW($AV$10:$AV$40)&lt;=ROW()))</f>
        <v>24</v>
      </c>
      <c r="B40" s="57"/>
      <c r="C40" s="58" t="s">
        <v>379</v>
      </c>
      <c r="D40" s="93" t="s">
        <v>13</v>
      </c>
      <c r="E40" s="16"/>
      <c r="F40" s="29">
        <f t="shared" si="44"/>
        <v>46461</v>
      </c>
      <c r="G40" s="42"/>
      <c r="H40" s="29">
        <f t="shared" si="45"/>
        <v>46468</v>
      </c>
      <c r="I40" s="42"/>
      <c r="J40" s="29">
        <f t="shared" si="46"/>
        <v>46474</v>
      </c>
      <c r="K40" s="42"/>
      <c r="L40" s="29">
        <f t="shared" si="47"/>
        <v>46477</v>
      </c>
      <c r="M40" s="42"/>
      <c r="N40" s="29">
        <f t="shared" si="48"/>
        <v>46507</v>
      </c>
      <c r="O40" s="42"/>
      <c r="P40" s="29">
        <f t="shared" si="49"/>
        <v>46517</v>
      </c>
      <c r="Q40" s="42"/>
      <c r="R40" s="29">
        <f t="shared" si="50"/>
        <v>46537</v>
      </c>
      <c r="S40" s="42"/>
      <c r="T40" s="29">
        <f t="shared" si="51"/>
        <v>46544</v>
      </c>
      <c r="U40" s="42"/>
      <c r="V40" s="29">
        <f t="shared" si="52"/>
        <v>46551</v>
      </c>
      <c r="W40" s="42"/>
      <c r="X40" s="29">
        <f t="shared" si="53"/>
        <v>46556</v>
      </c>
      <c r="Y40" s="42"/>
      <c r="Z40" s="30">
        <f t="shared" si="54"/>
        <v>46566</v>
      </c>
      <c r="AA40" s="42"/>
      <c r="AB40" s="31">
        <f t="shared" si="55"/>
        <v>444</v>
      </c>
      <c r="AC40" s="16"/>
      <c r="AD40" s="131">
        <f t="shared" si="56"/>
        <v>95</v>
      </c>
      <c r="AE40" s="16"/>
      <c r="AF40" s="95"/>
      <c r="AG40" s="67"/>
      <c r="AH40" s="67">
        <v>1150071</v>
      </c>
      <c r="AI40" s="67"/>
      <c r="AJ40" s="68" t="str">
        <f t="shared" si="57"/>
        <v/>
      </c>
      <c r="AK40" s="102"/>
      <c r="AL40" s="48"/>
      <c r="AM40" s="105">
        <v>300</v>
      </c>
      <c r="AN40" s="69">
        <f t="shared" si="58"/>
        <v>46556</v>
      </c>
      <c r="AO40" s="107">
        <f t="shared" si="74"/>
        <v>349</v>
      </c>
      <c r="AP40" s="48"/>
      <c r="AQ40" s="111"/>
      <c r="AR40" s="70">
        <f t="shared" si="75"/>
        <v>46556</v>
      </c>
      <c r="AS40" s="107">
        <f t="shared" si="76"/>
        <v>349</v>
      </c>
      <c r="AT40" s="48"/>
      <c r="AU40" s="113">
        <f t="shared" si="62"/>
        <v>46207</v>
      </c>
      <c r="AV40" s="119" t="str" cm="1">
        <f t="array" ref="AV40">IF(OR(G40&gt;$C$6,G40=""),$F$8,INDEX($E$8:$Z$8,MATCH(TRUE,(F40:AA40=""),0)))</f>
        <v>1. Tender Docs &amp; BOQ</v>
      </c>
      <c r="AW40" s="116" t="b">
        <f t="shared" si="63"/>
        <v>0</v>
      </c>
      <c r="AX40" s="71" t="b">
        <f t="shared" si="64"/>
        <v>0</v>
      </c>
      <c r="AY40" s="71" t="b">
        <f t="shared" si="65"/>
        <v>0</v>
      </c>
      <c r="AZ40" s="71" t="b">
        <f t="shared" si="66"/>
        <v>0</v>
      </c>
      <c r="BA40" s="71" t="b">
        <f t="shared" si="67"/>
        <v>0</v>
      </c>
      <c r="BB40" s="71" t="b">
        <f t="shared" si="68"/>
        <v>0</v>
      </c>
      <c r="BC40" s="71" t="b">
        <f t="shared" si="69"/>
        <v>0</v>
      </c>
      <c r="BD40" s="71" t="b">
        <f t="shared" si="70"/>
        <v>0</v>
      </c>
      <c r="BE40" s="71" t="b">
        <f t="shared" si="71"/>
        <v>0</v>
      </c>
      <c r="BF40" s="71" t="b">
        <f t="shared" si="72"/>
        <v>0</v>
      </c>
      <c r="BG40" s="89" t="b">
        <f t="shared" si="73"/>
        <v>0</v>
      </c>
      <c r="BH40" s="146"/>
    </row>
    <row r="41" spans="1:60" ht="26.25" x14ac:dyDescent="0.25">
      <c r="A41" s="8"/>
      <c r="B41" s="8"/>
      <c r="C41" s="34" t="s">
        <v>189</v>
      </c>
      <c r="D41" s="100"/>
      <c r="E41" s="16"/>
      <c r="F41" s="123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124"/>
      <c r="AC41" s="16"/>
      <c r="AD41" s="130"/>
      <c r="AE41" s="16"/>
      <c r="AF41" s="99">
        <f>SUM(AF10:AF40)</f>
        <v>0</v>
      </c>
      <c r="AG41" s="10">
        <f>SUM(AG10:AG40)</f>
        <v>0</v>
      </c>
      <c r="AH41" s="10">
        <f>SUM(AH10:AH40)</f>
        <v>612041901</v>
      </c>
      <c r="AI41" s="10">
        <f>SUM(AI10:AI40)</f>
        <v>0</v>
      </c>
      <c r="AJ41" s="10">
        <f>SUM(AJ10:AJ40)</f>
        <v>0</v>
      </c>
      <c r="AK41" s="9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92"/>
      <c r="BH41" s="48"/>
    </row>
  </sheetData>
  <sheetProtection formatColumns="0" formatRows="0" autoFilter="0"/>
  <mergeCells count="75">
    <mergeCell ref="AU7:AU9"/>
    <mergeCell ref="AG7:AG9"/>
    <mergeCell ref="AH7:AH9"/>
    <mergeCell ref="AI7:AI9"/>
    <mergeCell ref="AJ7:AJ9"/>
    <mergeCell ref="AK7:AK9"/>
    <mergeCell ref="AN7:AN9"/>
    <mergeCell ref="AO7:AO9"/>
    <mergeCell ref="AQ7:AQ9"/>
    <mergeCell ref="AR7:AR9"/>
    <mergeCell ref="AS7:AS9"/>
    <mergeCell ref="AM7:AM9"/>
    <mergeCell ref="BF7:BF9"/>
    <mergeCell ref="BG7:BG9"/>
    <mergeCell ref="AV7:AV9"/>
    <mergeCell ref="AW7:AW9"/>
    <mergeCell ref="AX7:AX9"/>
    <mergeCell ref="AY7:AY9"/>
    <mergeCell ref="AZ7:AZ9"/>
    <mergeCell ref="BA7:BA9"/>
    <mergeCell ref="BB7:BB9"/>
    <mergeCell ref="BC7:BC9"/>
    <mergeCell ref="BD7:BD9"/>
    <mergeCell ref="BE7:BE9"/>
    <mergeCell ref="AF7:AF9"/>
    <mergeCell ref="V8:W8"/>
    <mergeCell ref="X8:Y8"/>
    <mergeCell ref="Z8:AA8"/>
    <mergeCell ref="T7:U7"/>
    <mergeCell ref="V7:W7"/>
    <mergeCell ref="X7:Y7"/>
    <mergeCell ref="Z7:AA7"/>
    <mergeCell ref="AB7:AB9"/>
    <mergeCell ref="AD7:AD9"/>
    <mergeCell ref="A7:A9"/>
    <mergeCell ref="B7:B9"/>
    <mergeCell ref="C7:C9"/>
    <mergeCell ref="D7:D9"/>
    <mergeCell ref="F7:G7"/>
    <mergeCell ref="H7:I7"/>
    <mergeCell ref="F8:G8"/>
    <mergeCell ref="H8:I8"/>
    <mergeCell ref="J7:K7"/>
    <mergeCell ref="L7:M7"/>
    <mergeCell ref="L8:M8"/>
    <mergeCell ref="N7:O7"/>
    <mergeCell ref="P7:Q7"/>
    <mergeCell ref="R7:S7"/>
    <mergeCell ref="T8:U8"/>
    <mergeCell ref="J8:K8"/>
    <mergeCell ref="N8:O8"/>
    <mergeCell ref="P8:Q8"/>
    <mergeCell ref="R8:S8"/>
    <mergeCell ref="H3:H4"/>
    <mergeCell ref="I3:I4"/>
    <mergeCell ref="J3:J4"/>
    <mergeCell ref="K3:K4"/>
    <mergeCell ref="L3:L4"/>
    <mergeCell ref="M3:N4"/>
    <mergeCell ref="I1:I2"/>
    <mergeCell ref="J1:J2"/>
    <mergeCell ref="K1:K2"/>
    <mergeCell ref="L1:L2"/>
    <mergeCell ref="M1:N2"/>
    <mergeCell ref="A3:B4"/>
    <mergeCell ref="C3:C4"/>
    <mergeCell ref="D3:D4"/>
    <mergeCell ref="F3:F4"/>
    <mergeCell ref="G3:G4"/>
    <mergeCell ref="H1:H2"/>
    <mergeCell ref="A1:B2"/>
    <mergeCell ref="C1:C2"/>
    <mergeCell ref="D1:D2"/>
    <mergeCell ref="F1:F2"/>
    <mergeCell ref="G1:G2"/>
  </mergeCells>
  <conditionalFormatting sqref="G11:G12 I11:I12 K11:K12 M11:M12 O11:O12 Q11:Q12 S11:S12 U11:U12 W11:W12 Y11:Y12 AA11:AA12 G14 I14 K14 M14 O14 Q14 S14 U14 W14 Y14 AA14 G16:G19 I16:I19 K16:K19 M16:M19 O16:O19 Q16:Q19 S16:S19 U16:U19 W16:W19 Y16:Y19 AA16:AA19 G21:G23 I21:I23 K21:K23 M21:M23 O21:O23 Q21:Q23 S21:S23 U21:U23 W21:W23 Y21:Y23 AA21:AA23 G25:G26 I25:I26 K25:K26 M25:M26 O25:O26 Q25:Q26 S25:S26 U25:U26 W25:W26 Y25:Y26 AA25:AA26 G28:G29 I28:I29 K28:K29 M28:M29 O28:O29 Q28:Q29 S28:S29 U28:U29 W28:W29 Y28:Y29 AA28:AA29 G31:G40 I31:I40 K31:K40 M31:M40 O31:O40 Q31:Q40 S31:S40 U31:U40 W31:W40 Y31:Y40 AA31:AA40">
    <cfRule type="cellIs" dxfId="65" priority="6" operator="between">
      <formula>1</formula>
      <formula>$C$6</formula>
    </cfRule>
  </conditionalFormatting>
  <conditionalFormatting sqref="AB10:AB41 AO11:AO12 AS11:AS12 AO14 AS14 AO21:AO23 AS21:AS23">
    <cfRule type="cellIs" dxfId="64" priority="10" operator="lessThan">
      <formula>0</formula>
    </cfRule>
  </conditionalFormatting>
  <conditionalFormatting sqref="AO16:AO19 AS16:AS19 AO25:AO26 AS25:AS26 AO28:AO29 AS28:AS29 AO31:AO40 AS31:AS40">
    <cfRule type="cellIs" dxfId="63" priority="11" operator="lessThan">
      <formula>0</formula>
    </cfRule>
  </conditionalFormatting>
  <conditionalFormatting sqref="AW11:BG12 BB13:BG15 AW14:BG14 AW16:BG19 BB20:BG20 AW21:BG23 BB24:BG24 AW25:BG26 BB27:BG27 AW28:BG29 BB30:BG30 AW31:BG40 AL41:BG41">
    <cfRule type="cellIs" dxfId="56" priority="7" operator="equal">
      <formula>TRUE</formula>
    </cfRule>
  </conditionalFormatting>
  <conditionalFormatting sqref="BB10:BG10">
    <cfRule type="cellIs" dxfId="55" priority="5" operator="equal">
      <formula>TRUE</formula>
    </cfRule>
  </conditionalFormatting>
  <pageMargins left="3.937007874015748E-2" right="3.937007874015748E-2" top="0.74803149606299213" bottom="0.74803149606299213" header="0.31496062992125984" footer="0.31496062992125984"/>
  <pageSetup paperSize="8" scale="71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0D114A78-6953-4999-A260-C89F0C0540A7}">
            <xm:f>AV11=Data!$B$12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8" stopIfTrue="1" id="{6EAF952C-2AA5-4B0B-8B96-6AEE32F45A35}">
            <xm:f>AV11=Data!$B$11</xm:f>
            <x14:dxf>
              <fill>
                <patternFill>
                  <bgColor theme="9" tint="0.79998168889431442"/>
                </patternFill>
              </fill>
            </x14:dxf>
          </x14:cfRule>
          <x14:cfRule type="expression" priority="9" id="{6D73231C-F5DE-4A3E-92ED-2A8A6483C98F}">
            <xm:f>AV11=Data!$B$2</xm:f>
            <x14:dxf>
              <fill>
                <patternFill>
                  <bgColor rgb="FFFFE5E5"/>
                </patternFill>
              </fill>
            </x14:dxf>
          </x14:cfRule>
          <xm:sqref>AU11:AU42</xm:sqref>
        </x14:conditionalFormatting>
        <x14:conditionalFormatting xmlns:xm="http://schemas.microsoft.com/office/excel/2006/main">
          <x14:cfRule type="cellIs" priority="1" operator="equal" id="{D227199C-EE0D-4A8B-9816-5A18A5CFE40B}">
            <xm:f>Data!$B$12</xm:f>
            <x14:dxf>
              <fill>
                <patternFill>
                  <bgColor theme="9" tint="0.59996337778862885"/>
                </patternFill>
              </fill>
            </x14:dxf>
          </x14:cfRule>
          <x14:cfRule type="cellIs" priority="2" stopIfTrue="1" operator="equal" id="{5A8AFDDB-EC66-4466-961E-6BE71D89FD5B}">
            <xm:f>Data!$B$11</xm:f>
            <x14:dxf>
              <fill>
                <patternFill>
                  <bgColor theme="9" tint="0.79998168889431442"/>
                </patternFill>
              </fill>
            </x14:dxf>
          </x14:cfRule>
          <x14:cfRule type="cellIs" priority="3" operator="equal" id="{8D716DFA-F00A-4C7A-B2C5-4CF9007284A8}">
            <xm:f>Data!$B$2</xm:f>
            <x14:dxf>
              <fill>
                <patternFill>
                  <bgColor rgb="FFFFE5E5"/>
                </patternFill>
              </fill>
            </x14:dxf>
          </x14:cfRule>
          <xm:sqref>AV11:AV12 AV14 AV16:AV19 AV21:AV23 AV25:AV26 AV28:AV29 AV31:AV40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2BFFCA3-E2CA-48CF-8D8F-E5EC2778D7CA}">
          <x14:formula1>
            <xm:f>Data!$B$2:$B$13</xm:f>
          </x14:formula1>
          <xm:sqref>AV28:AV29 AV16:AV19 AV25:AV26 AV31:AV40 AV14 AV11:AV12 AV21:AV23</xm:sqref>
        </x14:dataValidation>
        <x14:dataValidation type="list" allowBlank="1" showInputMessage="1" showErrorMessage="1" xr:uid="{E7F41601-2ED4-4814-83D8-2801AB313496}">
          <x14:formula1>
            <xm:f>Data!$C$2:$C$12</xm:f>
          </x14:formula1>
          <xm:sqref>D16:D19 D25:D26 D28:D29 D31:D40 D14 D11:D12 D21:D23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D0E47-F7F4-4B35-A2A8-C997CF5DB7FE}">
  <sheetPr codeName="Sheet13">
    <tabColor rgb="FFF2D6D6"/>
    <pageSetUpPr fitToPage="1"/>
  </sheetPr>
  <dimension ref="A1:BH41"/>
  <sheetViews>
    <sheetView showGridLines="0" zoomScale="70" zoomScaleNormal="70" zoomScalePageLayoutView="55" workbookViewId="0">
      <pane xSplit="3" ySplit="9" topLeftCell="D10" activePane="bottomRight" state="frozen"/>
      <selection pane="topRight" activeCell="AI6" sqref="AI6:AI8"/>
      <selection pane="bottomLeft" activeCell="AI6" sqref="AI6:AI8"/>
      <selection pane="bottomRight" activeCell="D12" sqref="D12"/>
    </sheetView>
  </sheetViews>
  <sheetFormatPr defaultColWidth="9.140625" defaultRowHeight="12.75" outlineLevelRow="1" outlineLevelCol="1" x14ac:dyDescent="0.25"/>
  <cols>
    <col min="1" max="2" width="7.42578125" style="3" customWidth="1"/>
    <col min="3" max="3" width="39.140625" style="7" customWidth="1"/>
    <col min="4" max="4" width="14.5703125" style="5" customWidth="1" outlineLevel="1"/>
    <col min="5" max="5" width="1.140625" style="3" customWidth="1" outlineLevel="1"/>
    <col min="6" max="27" width="11.85546875" style="4" customWidth="1" outlineLevel="1"/>
    <col min="28" max="28" width="11.85546875" style="5" customWidth="1" outlineLevel="1"/>
    <col min="29" max="29" width="1" style="3" customWidth="1" outlineLevel="1"/>
    <col min="30" max="30" width="14.42578125" style="5" customWidth="1" outlineLevel="1"/>
    <col min="31" max="31" width="1.140625" style="3" customWidth="1" outlineLevel="1"/>
    <col min="32" max="35" width="14.85546875" style="3" customWidth="1"/>
    <col min="36" max="36" width="15.5703125" style="3" customWidth="1" outlineLevel="1"/>
    <col min="37" max="37" width="23.5703125" style="3" customWidth="1"/>
    <col min="38" max="38" width="0.85546875" style="3" customWidth="1"/>
    <col min="39" max="39" width="7.42578125" style="3" customWidth="1"/>
    <col min="40" max="40" width="13.5703125" style="3" customWidth="1"/>
    <col min="41" max="41" width="7.140625" style="5" customWidth="1"/>
    <col min="42" max="42" width="0.85546875" style="3" customWidth="1"/>
    <col min="43" max="43" width="10.5703125" style="5" customWidth="1"/>
    <col min="44" max="44" width="16.85546875" style="3" customWidth="1"/>
    <col min="45" max="45" width="7.140625" style="5" customWidth="1"/>
    <col min="46" max="46" width="0.85546875" style="3" customWidth="1"/>
    <col min="47" max="47" width="12" style="3" customWidth="1"/>
    <col min="48" max="48" width="35" style="3" bestFit="1" customWidth="1"/>
    <col min="49" max="59" width="4.140625" style="6" customWidth="1"/>
    <col min="60" max="60" width="21.140625" style="3" customWidth="1"/>
    <col min="61" max="16384" width="9.140625" style="3"/>
  </cols>
  <sheetData>
    <row r="1" spans="1:60" s="11" customFormat="1" ht="15" customHeight="1" outlineLevel="1" x14ac:dyDescent="0.25">
      <c r="A1" s="208" t="s">
        <v>57</v>
      </c>
      <c r="B1" s="209"/>
      <c r="C1" s="206" t="s">
        <v>58</v>
      </c>
      <c r="D1" s="211" t="s">
        <v>59</v>
      </c>
      <c r="F1" s="206" t="s">
        <v>60</v>
      </c>
      <c r="G1" s="206" t="s">
        <v>61</v>
      </c>
      <c r="H1" s="206" t="s">
        <v>62</v>
      </c>
      <c r="I1" s="206" t="s">
        <v>63</v>
      </c>
      <c r="J1" s="206" t="s">
        <v>64</v>
      </c>
      <c r="K1" s="206" t="s">
        <v>19</v>
      </c>
      <c r="L1" s="206" t="s">
        <v>65</v>
      </c>
      <c r="M1" s="211" t="s">
        <v>66</v>
      </c>
      <c r="N1" s="224"/>
      <c r="P1" s="27" t="s">
        <v>67</v>
      </c>
      <c r="Q1" s="26"/>
      <c r="R1" s="26"/>
      <c r="S1" s="26"/>
      <c r="U1" s="26" t="s">
        <v>20</v>
      </c>
      <c r="V1" s="26"/>
      <c r="W1" s="26"/>
      <c r="X1" s="26"/>
      <c r="Y1" s="26"/>
      <c r="AA1" s="27" t="s">
        <v>68</v>
      </c>
      <c r="AB1" s="26"/>
      <c r="AC1" s="26"/>
      <c r="AD1" s="28"/>
      <c r="AF1" s="27" t="s">
        <v>33</v>
      </c>
      <c r="AG1" s="26"/>
      <c r="AH1" s="39" t="s">
        <v>34</v>
      </c>
      <c r="AI1" s="40" t="s">
        <v>35</v>
      </c>
      <c r="AY1" s="33"/>
      <c r="AZ1" s="33"/>
      <c r="BA1" s="33"/>
      <c r="BB1" s="33"/>
      <c r="BC1" s="33"/>
      <c r="BD1" s="33"/>
      <c r="BE1" s="33"/>
      <c r="BF1" s="33"/>
      <c r="BG1" s="33"/>
    </row>
    <row r="2" spans="1:60" s="11" customFormat="1" ht="15" outlineLevel="1" x14ac:dyDescent="0.25">
      <c r="A2" s="208"/>
      <c r="B2" s="209"/>
      <c r="C2" s="210"/>
      <c r="D2" s="208"/>
      <c r="E2" s="15"/>
      <c r="F2" s="207"/>
      <c r="G2" s="207"/>
      <c r="H2" s="207"/>
      <c r="I2" s="207"/>
      <c r="J2" s="207"/>
      <c r="K2" s="207"/>
      <c r="L2" s="207"/>
      <c r="M2" s="225"/>
      <c r="N2" s="226"/>
      <c r="P2" s="22" t="s">
        <v>69</v>
      </c>
      <c r="Q2" s="23"/>
      <c r="R2" s="23"/>
      <c r="S2" s="147"/>
      <c r="U2" s="22" t="s">
        <v>25</v>
      </c>
      <c r="V2" s="23"/>
      <c r="W2" s="23"/>
      <c r="X2" s="35">
        <f>AI41</f>
        <v>0</v>
      </c>
      <c r="Y2" s="37">
        <f>X2/(SUM(AH10:$AH$40)+SUM(AI10:$AI$40)-SUMIFS(AH10:$AH$40,$AI$10:$AI$40,"&lt;&gt;"))</f>
        <v>0</v>
      </c>
      <c r="AA2" s="24" t="s">
        <v>70</v>
      </c>
      <c r="AB2" s="25"/>
      <c r="AC2" s="25"/>
      <c r="AD2" s="12" cm="1">
        <f t="array" ref="AD2">SUM(ISNUMBER($AO$10:AO40)*1)</f>
        <v>24</v>
      </c>
      <c r="AF2" s="22" t="s">
        <v>444</v>
      </c>
      <c r="AG2" s="23"/>
      <c r="AH2" s="13">
        <f>COUNTIFS($AB$10:AB40,"&lt;0")</f>
        <v>0</v>
      </c>
      <c r="AI2" s="13">
        <f>MIN(AB10:AB40)</f>
        <v>76</v>
      </c>
    </row>
    <row r="3" spans="1:60" s="11" customFormat="1" ht="15" customHeight="1" outlineLevel="1" x14ac:dyDescent="0.25">
      <c r="A3" s="212" t="s">
        <v>52</v>
      </c>
      <c r="B3" s="213"/>
      <c r="C3" s="216" t="s">
        <v>387</v>
      </c>
      <c r="D3" s="218" t="s">
        <v>73</v>
      </c>
      <c r="E3" s="122"/>
      <c r="F3" s="218"/>
      <c r="G3" s="218" t="s">
        <v>74</v>
      </c>
      <c r="H3" s="218" t="s">
        <v>74</v>
      </c>
      <c r="I3" s="218" t="s">
        <v>357</v>
      </c>
      <c r="J3" s="227"/>
      <c r="K3" s="227">
        <v>119685</v>
      </c>
      <c r="L3" s="218">
        <v>46022</v>
      </c>
      <c r="M3" s="220">
        <v>46174</v>
      </c>
      <c r="N3" s="221"/>
      <c r="P3" s="22" t="s">
        <v>77</v>
      </c>
      <c r="Q3" s="23"/>
      <c r="R3" s="23"/>
      <c r="S3" s="148">
        <f>AF41</f>
        <v>0</v>
      </c>
      <c r="U3" s="22" t="s">
        <v>78</v>
      </c>
      <c r="V3" s="23"/>
      <c r="W3" s="23"/>
      <c r="X3" s="36">
        <f>S4-SUMIFS(AH10:$AH$40,$AI$10:$AI$40,"&lt;&gt;")</f>
        <v>588986535</v>
      </c>
      <c r="Y3" s="153">
        <f>X3/(X2+X3)</f>
        <v>1</v>
      </c>
      <c r="AA3" s="22" t="s">
        <v>79</v>
      </c>
      <c r="AB3" s="23"/>
      <c r="AC3" s="23"/>
      <c r="AD3" s="13">
        <f>COUNTIFS($AV$10:AV40,Z8)</f>
        <v>0</v>
      </c>
      <c r="AF3" s="22" t="s">
        <v>447</v>
      </c>
      <c r="AG3" s="23"/>
      <c r="AH3" s="13">
        <f>COUNTIFS($AO$10:AO40,"&lt;0")</f>
        <v>2</v>
      </c>
      <c r="AI3" s="14">
        <f>MIN(AO10:AO40)</f>
        <v>-4</v>
      </c>
    </row>
    <row r="4" spans="1:60" s="11" customFormat="1" ht="15" outlineLevel="1" x14ac:dyDescent="0.25">
      <c r="A4" s="214"/>
      <c r="B4" s="215"/>
      <c r="C4" s="217"/>
      <c r="D4" s="219"/>
      <c r="E4" s="122"/>
      <c r="F4" s="219"/>
      <c r="G4" s="219"/>
      <c r="H4" s="219"/>
      <c r="I4" s="219"/>
      <c r="J4" s="228"/>
      <c r="K4" s="228"/>
      <c r="L4" s="219"/>
      <c r="M4" s="222"/>
      <c r="N4" s="223"/>
      <c r="P4" s="22" t="s">
        <v>23</v>
      </c>
      <c r="Q4" s="23"/>
      <c r="R4" s="23"/>
      <c r="S4" s="148">
        <f>AH41</f>
        <v>588986535</v>
      </c>
      <c r="U4" s="22" t="s">
        <v>80</v>
      </c>
      <c r="V4" s="23"/>
      <c r="W4" s="23"/>
      <c r="X4" s="36">
        <f>SUMIFS(AF10:$AF$40,$AI$10:$AI$40,"&lt;&gt;")-X2</f>
        <v>0</v>
      </c>
      <c r="Y4" s="38" t="e">
        <f>X4/$S$2</f>
        <v>#DIV/0!</v>
      </c>
      <c r="AA4" s="22" t="s">
        <v>81</v>
      </c>
      <c r="AB4" s="23"/>
      <c r="AC4" s="23"/>
      <c r="AD4" s="13">
        <f>C6-L3</f>
        <v>90</v>
      </c>
      <c r="AF4" s="22" t="s">
        <v>448</v>
      </c>
      <c r="AG4" s="23"/>
      <c r="AH4" s="13">
        <f>COUNTIFS($AS$10:AS40,"&lt;0")</f>
        <v>2</v>
      </c>
      <c r="AI4" s="14">
        <f>MIN(AS10:AS40)</f>
        <v>-4</v>
      </c>
    </row>
    <row r="5" spans="1:60" s="11" customFormat="1" ht="15" outlineLevel="1" x14ac:dyDescent="0.25">
      <c r="U5" s="22" t="s">
        <v>82</v>
      </c>
      <c r="V5" s="23"/>
      <c r="W5" s="23"/>
      <c r="X5" s="36">
        <f>SUMIFS(AH10:$AH$40,$AI$10:$AI$40,"&lt;&gt;")-X2</f>
        <v>0</v>
      </c>
      <c r="Y5" s="38" t="e">
        <f>X5/$S$2</f>
        <v>#DIV/0!</v>
      </c>
      <c r="Z5" s="160"/>
      <c r="AA5" s="160"/>
      <c r="AB5" s="160"/>
      <c r="AC5" s="160"/>
      <c r="AD5" s="160"/>
      <c r="AE5" s="160"/>
      <c r="AF5" s="160"/>
      <c r="AG5" s="160"/>
      <c r="AH5" s="160"/>
      <c r="AI5" s="160"/>
    </row>
    <row r="6" spans="1:60" ht="23.25" outlineLevel="1" x14ac:dyDescent="0.25">
      <c r="A6" s="127" t="s">
        <v>83</v>
      </c>
      <c r="B6" s="128"/>
      <c r="C6" s="129">
        <v>46112</v>
      </c>
      <c r="D6" s="19"/>
      <c r="E6" s="16"/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5"/>
      <c r="AB6" s="126"/>
      <c r="AC6" s="19"/>
      <c r="AD6" s="19"/>
      <c r="AE6" s="19"/>
      <c r="AF6" s="19"/>
      <c r="AG6" s="19"/>
      <c r="AH6" s="19"/>
      <c r="AI6" s="19"/>
      <c r="AJ6" s="19"/>
      <c r="AK6" s="19"/>
      <c r="AL6" s="16"/>
      <c r="AM6" s="168" t="s">
        <v>446</v>
      </c>
      <c r="AN6" s="16"/>
      <c r="AO6" s="16"/>
      <c r="AP6" s="16"/>
      <c r="AQ6" s="16"/>
      <c r="AR6" s="16"/>
      <c r="AS6" s="16"/>
      <c r="AT6" s="16"/>
      <c r="AU6" s="16"/>
      <c r="AV6" s="16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6"/>
    </row>
    <row r="7" spans="1:60" ht="18.75" customHeight="1" x14ac:dyDescent="0.25">
      <c r="A7" s="233" t="s">
        <v>84</v>
      </c>
      <c r="B7" s="236" t="s">
        <v>85</v>
      </c>
      <c r="C7" s="236" t="s">
        <v>86</v>
      </c>
      <c r="D7" s="238" t="s">
        <v>1</v>
      </c>
      <c r="F7" s="229">
        <v>15</v>
      </c>
      <c r="G7" s="230"/>
      <c r="H7" s="229">
        <v>7</v>
      </c>
      <c r="I7" s="230"/>
      <c r="J7" s="229">
        <v>6</v>
      </c>
      <c r="K7" s="230"/>
      <c r="L7" s="229">
        <v>3</v>
      </c>
      <c r="M7" s="230"/>
      <c r="N7" s="229">
        <v>30</v>
      </c>
      <c r="O7" s="230"/>
      <c r="P7" s="229">
        <v>10</v>
      </c>
      <c r="Q7" s="230"/>
      <c r="R7" s="229">
        <v>20</v>
      </c>
      <c r="S7" s="230"/>
      <c r="T7" s="229">
        <v>7</v>
      </c>
      <c r="U7" s="230"/>
      <c r="V7" s="229">
        <v>7</v>
      </c>
      <c r="W7" s="230"/>
      <c r="X7" s="229">
        <v>5</v>
      </c>
      <c r="Y7" s="230"/>
      <c r="Z7" s="229">
        <v>10</v>
      </c>
      <c r="AA7" s="230"/>
      <c r="AB7" s="243" t="s">
        <v>87</v>
      </c>
      <c r="AC7" s="16"/>
      <c r="AD7" s="244" t="s">
        <v>88</v>
      </c>
      <c r="AE7" s="16"/>
      <c r="AF7" s="241" t="s">
        <v>77</v>
      </c>
      <c r="AG7" s="257" t="s">
        <v>89</v>
      </c>
      <c r="AH7" s="257" t="s">
        <v>23</v>
      </c>
      <c r="AI7" s="257" t="s">
        <v>90</v>
      </c>
      <c r="AJ7" s="257" t="s">
        <v>91</v>
      </c>
      <c r="AK7" s="258" t="s">
        <v>92</v>
      </c>
      <c r="AL7" s="86"/>
      <c r="AM7" s="255" t="s">
        <v>93</v>
      </c>
      <c r="AN7" s="257" t="s">
        <v>94</v>
      </c>
      <c r="AO7" s="259" t="s">
        <v>95</v>
      </c>
      <c r="AP7" s="86"/>
      <c r="AQ7" s="261" t="s">
        <v>96</v>
      </c>
      <c r="AR7" s="252" t="s">
        <v>97</v>
      </c>
      <c r="AS7" s="259" t="s">
        <v>95</v>
      </c>
      <c r="AT7" s="86"/>
      <c r="AU7" s="255" t="s">
        <v>98</v>
      </c>
      <c r="AV7" s="252" t="s">
        <v>99</v>
      </c>
      <c r="AW7" s="246" t="s">
        <v>2</v>
      </c>
      <c r="AX7" s="246" t="s">
        <v>4</v>
      </c>
      <c r="AY7" s="246" t="s">
        <v>6</v>
      </c>
      <c r="AZ7" s="246" t="s">
        <v>100</v>
      </c>
      <c r="BA7" s="246" t="s">
        <v>10</v>
      </c>
      <c r="BB7" s="246" t="s">
        <v>12</v>
      </c>
      <c r="BC7" s="246" t="s">
        <v>14</v>
      </c>
      <c r="BD7" s="246" t="s">
        <v>15</v>
      </c>
      <c r="BE7" s="246" t="s">
        <v>16</v>
      </c>
      <c r="BF7" s="246" t="s">
        <v>17</v>
      </c>
      <c r="BG7" s="249" t="s">
        <v>101</v>
      </c>
      <c r="BH7" s="86"/>
    </row>
    <row r="8" spans="1:60" ht="26.25" x14ac:dyDescent="0.25">
      <c r="A8" s="234"/>
      <c r="B8" s="237"/>
      <c r="C8" s="237"/>
      <c r="D8" s="239"/>
      <c r="E8" s="16"/>
      <c r="F8" s="231" t="s">
        <v>2</v>
      </c>
      <c r="G8" s="232"/>
      <c r="H8" s="231" t="s">
        <v>4</v>
      </c>
      <c r="I8" s="232"/>
      <c r="J8" s="231" t="s">
        <v>6</v>
      </c>
      <c r="K8" s="232"/>
      <c r="L8" s="231" t="s">
        <v>8</v>
      </c>
      <c r="M8" s="232"/>
      <c r="N8" s="231" t="s">
        <v>10</v>
      </c>
      <c r="O8" s="232"/>
      <c r="P8" s="231" t="s">
        <v>12</v>
      </c>
      <c r="Q8" s="232"/>
      <c r="R8" s="231" t="s">
        <v>14</v>
      </c>
      <c r="S8" s="232"/>
      <c r="T8" s="231" t="s">
        <v>15</v>
      </c>
      <c r="U8" s="232"/>
      <c r="V8" s="231" t="s">
        <v>16</v>
      </c>
      <c r="W8" s="232"/>
      <c r="X8" s="231" t="s">
        <v>17</v>
      </c>
      <c r="Y8" s="232"/>
      <c r="Z8" s="231" t="s">
        <v>18</v>
      </c>
      <c r="AA8" s="232"/>
      <c r="AB8" s="243"/>
      <c r="AC8" s="16"/>
      <c r="AD8" s="245"/>
      <c r="AE8" s="16"/>
      <c r="AF8" s="242"/>
      <c r="AG8" s="237"/>
      <c r="AH8" s="237"/>
      <c r="AI8" s="237"/>
      <c r="AJ8" s="237"/>
      <c r="AK8" s="239"/>
      <c r="AL8" s="48"/>
      <c r="AM8" s="234"/>
      <c r="AN8" s="237"/>
      <c r="AO8" s="260"/>
      <c r="AP8" s="48"/>
      <c r="AQ8" s="262"/>
      <c r="AR8" s="253"/>
      <c r="AS8" s="260"/>
      <c r="AT8" s="48"/>
      <c r="AU8" s="234"/>
      <c r="AV8" s="253"/>
      <c r="AW8" s="247"/>
      <c r="AX8" s="247"/>
      <c r="AY8" s="247"/>
      <c r="AZ8" s="247"/>
      <c r="BA8" s="247"/>
      <c r="BB8" s="247"/>
      <c r="BC8" s="247"/>
      <c r="BD8" s="247"/>
      <c r="BE8" s="247"/>
      <c r="BF8" s="247"/>
      <c r="BG8" s="250"/>
      <c r="BH8" s="146"/>
    </row>
    <row r="9" spans="1:60" s="7" customFormat="1" ht="22.5" x14ac:dyDescent="0.25">
      <c r="A9" s="235"/>
      <c r="B9" s="237"/>
      <c r="C9" s="237"/>
      <c r="D9" s="240"/>
      <c r="E9" s="20"/>
      <c r="F9" s="65" t="s">
        <v>102</v>
      </c>
      <c r="G9" s="66" t="s">
        <v>103</v>
      </c>
      <c r="H9" s="65" t="s">
        <v>102</v>
      </c>
      <c r="I9" s="66" t="s">
        <v>103</v>
      </c>
      <c r="J9" s="65" t="s">
        <v>102</v>
      </c>
      <c r="K9" s="66" t="s">
        <v>103</v>
      </c>
      <c r="L9" s="65" t="s">
        <v>102</v>
      </c>
      <c r="M9" s="66" t="s">
        <v>103</v>
      </c>
      <c r="N9" s="65" t="s">
        <v>102</v>
      </c>
      <c r="O9" s="66" t="s">
        <v>103</v>
      </c>
      <c r="P9" s="65" t="s">
        <v>102</v>
      </c>
      <c r="Q9" s="66" t="s">
        <v>103</v>
      </c>
      <c r="R9" s="65" t="s">
        <v>102</v>
      </c>
      <c r="S9" s="66" t="s">
        <v>103</v>
      </c>
      <c r="T9" s="65" t="s">
        <v>102</v>
      </c>
      <c r="U9" s="66" t="s">
        <v>103</v>
      </c>
      <c r="V9" s="65" t="s">
        <v>102</v>
      </c>
      <c r="W9" s="66" t="s">
        <v>103</v>
      </c>
      <c r="X9" s="65" t="s">
        <v>102</v>
      </c>
      <c r="Y9" s="66" t="s">
        <v>103</v>
      </c>
      <c r="Z9" s="65" t="s">
        <v>102</v>
      </c>
      <c r="AA9" s="66" t="s">
        <v>103</v>
      </c>
      <c r="AB9" s="243"/>
      <c r="AC9" s="20"/>
      <c r="AD9" s="245"/>
      <c r="AE9" s="20"/>
      <c r="AF9" s="242"/>
      <c r="AG9" s="237"/>
      <c r="AH9" s="237"/>
      <c r="AI9" s="237"/>
      <c r="AJ9" s="237"/>
      <c r="AK9" s="239"/>
      <c r="AL9" s="87"/>
      <c r="AM9" s="234"/>
      <c r="AN9" s="237"/>
      <c r="AO9" s="260"/>
      <c r="AP9" s="87"/>
      <c r="AQ9" s="263"/>
      <c r="AR9" s="254"/>
      <c r="AS9" s="264"/>
      <c r="AT9" s="87"/>
      <c r="AU9" s="256"/>
      <c r="AV9" s="254"/>
      <c r="AW9" s="248"/>
      <c r="AX9" s="248"/>
      <c r="AY9" s="248"/>
      <c r="AZ9" s="248"/>
      <c r="BA9" s="248"/>
      <c r="BB9" s="248"/>
      <c r="BC9" s="248"/>
      <c r="BD9" s="248"/>
      <c r="BE9" s="248"/>
      <c r="BF9" s="248"/>
      <c r="BG9" s="251"/>
      <c r="BH9" s="87"/>
    </row>
    <row r="10" spans="1:60" ht="23.25" x14ac:dyDescent="0.25">
      <c r="A10" s="53"/>
      <c r="B10" s="49"/>
      <c r="C10" s="50" t="s">
        <v>104</v>
      </c>
      <c r="D10" s="61"/>
      <c r="E10" s="51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1"/>
      <c r="BF10" s="51"/>
      <c r="BG10" s="88"/>
      <c r="BH10" s="146"/>
    </row>
    <row r="11" spans="1:60" ht="26.25" x14ac:dyDescent="0.25">
      <c r="A11" s="56" cm="1">
        <f t="array" ref="A11">SUMPRODUCT(($AV$10:$AV$40&lt;&gt;"")*(ROW($AV$10:$AV$40)&lt;=ROW()))</f>
        <v>1</v>
      </c>
      <c r="B11" s="57"/>
      <c r="C11" s="58" t="s">
        <v>349</v>
      </c>
      <c r="D11" s="93" t="s">
        <v>5</v>
      </c>
      <c r="E11" s="16"/>
      <c r="F11" s="29">
        <f>H11-$H$7</f>
        <v>46198</v>
      </c>
      <c r="G11" s="42"/>
      <c r="H11" s="29">
        <f>J11-$J$7</f>
        <v>46205</v>
      </c>
      <c r="I11" s="42"/>
      <c r="J11" s="29">
        <f>L11-$L$7</f>
        <v>46211</v>
      </c>
      <c r="K11" s="42"/>
      <c r="L11" s="29">
        <f>N11-$N$7</f>
        <v>46214</v>
      </c>
      <c r="M11" s="42"/>
      <c r="N11" s="29">
        <f>P11-$P$7</f>
        <v>46244</v>
      </c>
      <c r="O11" s="42"/>
      <c r="P11" s="29">
        <f>R11-$R$7</f>
        <v>46254</v>
      </c>
      <c r="Q11" s="42"/>
      <c r="R11" s="29">
        <f>T11-$T$7</f>
        <v>46274</v>
      </c>
      <c r="S11" s="42"/>
      <c r="T11" s="29">
        <f>V11-$V$7</f>
        <v>46281</v>
      </c>
      <c r="U11" s="42"/>
      <c r="V11" s="29">
        <f>X11-$X$7</f>
        <v>46288</v>
      </c>
      <c r="W11" s="42"/>
      <c r="X11" s="29">
        <f>AN11</f>
        <v>46293</v>
      </c>
      <c r="Y11" s="42"/>
      <c r="Z11" s="30">
        <f>X11+$Z$7</f>
        <v>46303</v>
      </c>
      <c r="AA11" s="42"/>
      <c r="AB11" s="31">
        <f>IF(AV11="10. Issued to Contractor","-",IF(AV11="11. Subcontract Agreement signed","-",MAX(AN11,AR11)-$C$6))</f>
        <v>181</v>
      </c>
      <c r="AC11" s="16"/>
      <c r="AD11" s="131">
        <f>SUM($H$7:$Y$7)</f>
        <v>95</v>
      </c>
      <c r="AE11" s="16"/>
      <c r="AF11" s="95"/>
      <c r="AG11" s="67"/>
      <c r="AH11" s="67">
        <v>11067588</v>
      </c>
      <c r="AI11" s="67"/>
      <c r="AJ11" s="68" t="str">
        <f>IF(AI11&gt;0,SUM(AH11)-SUM(AI11),"")</f>
        <v/>
      </c>
      <c r="AK11" s="102"/>
      <c r="AL11" s="48"/>
      <c r="AM11" s="105">
        <v>120</v>
      </c>
      <c r="AN11" s="69">
        <f>$M$3+AM11-1</f>
        <v>46293</v>
      </c>
      <c r="AO11" s="107">
        <f>AN11-AU11</f>
        <v>86</v>
      </c>
      <c r="AP11" s="48"/>
      <c r="AQ11" s="111"/>
      <c r="AR11" s="70">
        <f>IFERROR(WORKDAY.INTL(AN11,AQ11,11),"")</f>
        <v>46293</v>
      </c>
      <c r="AS11" s="107">
        <f>AR11-AU11</f>
        <v>86</v>
      </c>
      <c r="AT11" s="48"/>
      <c r="AU11" s="113">
        <f>IF(Y11&gt;0,Y11,IFERROR(MAX(_xlfn.XLOOKUP($AV11,$H$8:$Z$8,$G11:$Y11),$C$6)+(AN11-_xlfn.XLOOKUP($AV11,$H$8:$Z$8,$F11:$X11))*AD11/SUM($H$7:$Y$7),$C$6+SUM(AD11)))</f>
        <v>46207</v>
      </c>
      <c r="AV11" s="119" t="str" cm="1">
        <f t="array" ref="AV11">IF(OR(G11&gt;$C$6,G11=""),$F$8,INDEX($E$8:$Z$8,MATCH(TRUE,(F11:AA11=""),0)))</f>
        <v>1. Tender Docs &amp; BOQ</v>
      </c>
      <c r="AW11" s="116" t="b">
        <f>IF(AND(G11&gt;0,G11&lt;$C$6),TRUE,FALSE)</f>
        <v>0</v>
      </c>
      <c r="AX11" s="71" t="b">
        <f>IF(AND(I11&gt;0,I11&lt;$C$6),TRUE,FALSE)</f>
        <v>0</v>
      </c>
      <c r="AY11" s="71" t="b">
        <f>IF(AND(K11&gt;0,K11&lt;$C$6),TRUE,FALSE)</f>
        <v>0</v>
      </c>
      <c r="AZ11" s="71" t="b">
        <f>IF(AND(M11&gt;0,M11&lt;$C$6),TRUE,FALSE)</f>
        <v>0</v>
      </c>
      <c r="BA11" s="71" t="b">
        <f>IF(AND(O11&gt;0,O11&lt;$C$6),TRUE,FALSE)</f>
        <v>0</v>
      </c>
      <c r="BB11" s="71" t="b">
        <f>IF(AND(Q11&gt;0,Q11&lt;$C$6),TRUE,FALSE)</f>
        <v>0</v>
      </c>
      <c r="BC11" s="71" t="b">
        <f>IF(AND(S11&gt;0,S11&lt;$C$6),TRUE,FALSE)</f>
        <v>0</v>
      </c>
      <c r="BD11" s="71" t="b">
        <f>IF(AND(U11&gt;0,U11&lt;$C$6),TRUE,FALSE)</f>
        <v>0</v>
      </c>
      <c r="BE11" s="71" t="b">
        <f>IF(AND(W11&gt;0,W11&lt;$C$6),TRUE,FALSE)</f>
        <v>0</v>
      </c>
      <c r="BF11" s="71" t="b">
        <f>IF(AND(Y11&gt;0,Y11&lt;$C$6),TRUE,FALSE)</f>
        <v>0</v>
      </c>
      <c r="BG11" s="89" t="b">
        <f>IF(AND(AA11&gt;0,AA11&lt;$C$6),TRUE,FALSE)</f>
        <v>0</v>
      </c>
      <c r="BH11" s="146"/>
    </row>
    <row r="12" spans="1:60" ht="26.25" x14ac:dyDescent="0.25">
      <c r="A12" s="56" cm="1">
        <f t="array" ref="A12">SUMPRODUCT(($AV$10:$AV$40&lt;&gt;"")*(ROW($AV$10:$AV$40)&lt;=ROW()))</f>
        <v>2</v>
      </c>
      <c r="B12" s="59"/>
      <c r="C12" s="60" t="s">
        <v>350</v>
      </c>
      <c r="D12" s="59" t="s">
        <v>5</v>
      </c>
      <c r="E12" s="43"/>
      <c r="F12" s="44">
        <f>H12-$H$7</f>
        <v>46198</v>
      </c>
      <c r="G12" s="45"/>
      <c r="H12" s="44">
        <f>J12-$J$7</f>
        <v>46205</v>
      </c>
      <c r="I12" s="45"/>
      <c r="J12" s="44">
        <f>L12-$L$7</f>
        <v>46211</v>
      </c>
      <c r="K12" s="45"/>
      <c r="L12" s="44">
        <f>N12-$N$7</f>
        <v>46214</v>
      </c>
      <c r="M12" s="45"/>
      <c r="N12" s="44">
        <f>P12-$P$7</f>
        <v>46244</v>
      </c>
      <c r="O12" s="45"/>
      <c r="P12" s="44">
        <f>R12-$R$7</f>
        <v>46254</v>
      </c>
      <c r="Q12" s="45"/>
      <c r="R12" s="44">
        <f>T12-$T$7</f>
        <v>46274</v>
      </c>
      <c r="S12" s="45"/>
      <c r="T12" s="44">
        <f>V12-$V$7</f>
        <v>46281</v>
      </c>
      <c r="U12" s="45"/>
      <c r="V12" s="44">
        <f>X12-$X$7</f>
        <v>46288</v>
      </c>
      <c r="W12" s="45"/>
      <c r="X12" s="44">
        <f t="shared" ref="X12" si="0">AN12</f>
        <v>46293</v>
      </c>
      <c r="Y12" s="45"/>
      <c r="Z12" s="46">
        <f>X12+$Z$7</f>
        <v>46303</v>
      </c>
      <c r="AA12" s="45"/>
      <c r="AB12" s="47">
        <f>IF(AV12="10. Issued to Contractor","-",IF(AV12="11. Subcontract Agreement signed","-",MAX(AN12,AR12)-$C$6))</f>
        <v>181</v>
      </c>
      <c r="AC12" s="16"/>
      <c r="AD12" s="131">
        <f t="shared" ref="AD12:AD14" si="1">SUM($H$7:$Y$7)</f>
        <v>95</v>
      </c>
      <c r="AE12" s="16"/>
      <c r="AF12" s="96"/>
      <c r="AG12" s="72"/>
      <c r="AH12" s="72">
        <v>6640575</v>
      </c>
      <c r="AI12" s="72"/>
      <c r="AJ12" s="73" t="str">
        <f>IF(AI12&gt;0,SUM(AH12)-SUM(AI12),"")</f>
        <v/>
      </c>
      <c r="AK12" s="101"/>
      <c r="AL12" s="48"/>
      <c r="AM12" s="104">
        <v>120</v>
      </c>
      <c r="AN12" s="74">
        <f>$M$3+AM12-1</f>
        <v>46293</v>
      </c>
      <c r="AO12" s="108">
        <f>AN12-AU12</f>
        <v>86</v>
      </c>
      <c r="AP12" s="48"/>
      <c r="AQ12" s="110"/>
      <c r="AR12" s="75">
        <f>IFERROR(WORKDAY.INTL(AN12,AQ12,11),"")</f>
        <v>46293</v>
      </c>
      <c r="AS12" s="108">
        <f>AR12-AU12</f>
        <v>86</v>
      </c>
      <c r="AT12" s="48"/>
      <c r="AU12" s="114">
        <f t="shared" ref="AU12" si="2">IF(Y12&gt;0,Y12,IFERROR(MAX(_xlfn.XLOOKUP($AV12,$H$8:$Z$8,$G12:$Y12),$C$6)+(AN12-_xlfn.XLOOKUP($AV12,$H$8:$Z$8,$F12:$X12))*AD12/SUM($H$7:$Y$7),$C$6+SUM(AD12)))</f>
        <v>46207</v>
      </c>
      <c r="AV12" s="120" t="str" cm="1">
        <f t="array" ref="AV12">IF(OR(G12&gt;$C$6,G12=""),$F$8,INDEX($E$8:$Z$8,MATCH(TRUE,(F12:AA12=""),0)))</f>
        <v>1. Tender Docs &amp; BOQ</v>
      </c>
      <c r="AW12" s="117" t="b">
        <f>IF(AND(G12&gt;0,G12&lt;$C$6),TRUE,FALSE)</f>
        <v>0</v>
      </c>
      <c r="AX12" s="76" t="b">
        <f>IF(AND(I12&gt;0,I12&lt;$C$6),TRUE,FALSE)</f>
        <v>0</v>
      </c>
      <c r="AY12" s="76" t="b">
        <f>IF(AND(K12&gt;0,K12&lt;$C$6),TRUE,FALSE)</f>
        <v>0</v>
      </c>
      <c r="AZ12" s="76" t="b">
        <f>IF(AND(M12&gt;0,M12&lt;$C$6),TRUE,FALSE)</f>
        <v>0</v>
      </c>
      <c r="BA12" s="76" t="b">
        <f>IF(AND(O12&gt;0,O12&lt;$C$6),TRUE,FALSE)</f>
        <v>0</v>
      </c>
      <c r="BB12" s="76" t="b">
        <f>IF(AND(Q12&gt;0,Q12&lt;$C$6),TRUE,FALSE)</f>
        <v>0</v>
      </c>
      <c r="BC12" s="76" t="b">
        <f>IF(AND(S12&gt;0,S12&lt;$C$6),TRUE,FALSE)</f>
        <v>0</v>
      </c>
      <c r="BD12" s="76" t="b">
        <f>IF(AND(U12&gt;0,U12&lt;$C$6),TRUE,FALSE)</f>
        <v>0</v>
      </c>
      <c r="BE12" s="76" t="b">
        <f>IF(AND(W12&gt;0,W12&lt;$C$6),TRUE,FALSE)</f>
        <v>0</v>
      </c>
      <c r="BF12" s="76" t="b">
        <f>IF(AND(Y12&gt;0,Y12&lt;$C$6),TRUE,FALSE)</f>
        <v>0</v>
      </c>
      <c r="BG12" s="90" t="b">
        <f>IF(AND(AA12&gt;0,AA12&lt;$C$6),TRUE,FALSE)</f>
        <v>0</v>
      </c>
      <c r="BH12" s="146"/>
    </row>
    <row r="13" spans="1:60" ht="23.25" x14ac:dyDescent="0.25">
      <c r="A13" s="55"/>
      <c r="B13" s="49"/>
      <c r="C13" s="50" t="s">
        <v>115</v>
      </c>
      <c r="D13" s="51"/>
      <c r="E13" s="51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1"/>
      <c r="AC13" s="51"/>
      <c r="AD13" s="132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51"/>
      <c r="AZ13" s="51"/>
      <c r="BA13" s="51"/>
      <c r="BB13" s="51"/>
      <c r="BC13" s="51"/>
      <c r="BD13" s="51"/>
      <c r="BE13" s="51"/>
      <c r="BF13" s="51"/>
      <c r="BG13" s="88"/>
      <c r="BH13" s="146"/>
    </row>
    <row r="14" spans="1:60" ht="26.25" x14ac:dyDescent="0.25">
      <c r="A14" s="56" cm="1">
        <f t="array" ref="A14">SUMPRODUCT(($AV$10:$AV$40&lt;&gt;"")*(ROW($AV$10:$AV$40)&lt;=ROW()))</f>
        <v>3</v>
      </c>
      <c r="B14" s="57"/>
      <c r="C14" s="58" t="s">
        <v>115</v>
      </c>
      <c r="D14" s="93" t="s">
        <v>107</v>
      </c>
      <c r="E14" s="16"/>
      <c r="F14" s="29">
        <f>H14-$H$7</f>
        <v>46093</v>
      </c>
      <c r="G14" s="42">
        <v>46049</v>
      </c>
      <c r="H14" s="29">
        <f>J14-$J$7</f>
        <v>46100</v>
      </c>
      <c r="I14" s="42">
        <v>46049</v>
      </c>
      <c r="J14" s="29">
        <f>L14-$L$7</f>
        <v>46106</v>
      </c>
      <c r="K14" s="42">
        <v>46049</v>
      </c>
      <c r="L14" s="29">
        <f>N14-$N$7</f>
        <v>46109</v>
      </c>
      <c r="M14" s="42">
        <v>46049</v>
      </c>
      <c r="N14" s="29">
        <f>P14-$P$7</f>
        <v>46139</v>
      </c>
      <c r="O14" s="42"/>
      <c r="P14" s="29">
        <f>R14-$R$7</f>
        <v>46149</v>
      </c>
      <c r="Q14" s="42"/>
      <c r="R14" s="29">
        <f>T14-$T$7</f>
        <v>46169</v>
      </c>
      <c r="S14" s="42"/>
      <c r="T14" s="29">
        <f>V14-$V$7</f>
        <v>46176</v>
      </c>
      <c r="U14" s="42"/>
      <c r="V14" s="29">
        <f>X14-$X$7</f>
        <v>46183</v>
      </c>
      <c r="W14" s="42"/>
      <c r="X14" s="29">
        <f>AN14</f>
        <v>46188</v>
      </c>
      <c r="Y14" s="42"/>
      <c r="Z14" s="30">
        <f>X14+$Z$7</f>
        <v>46198</v>
      </c>
      <c r="AA14" s="42"/>
      <c r="AB14" s="31">
        <f>IF(AV14="10. Issued to Contractor","-",IF(AV14="11. Subcontract Agreement signed","-",MAX(AN14,AR14)-$C$6))</f>
        <v>76</v>
      </c>
      <c r="AC14" s="16"/>
      <c r="AD14" s="131">
        <f t="shared" si="1"/>
        <v>95</v>
      </c>
      <c r="AE14" s="16"/>
      <c r="AF14" s="95"/>
      <c r="AG14" s="67"/>
      <c r="AH14" s="67">
        <v>265622112</v>
      </c>
      <c r="AI14" s="67"/>
      <c r="AJ14" s="68" t="str">
        <f>IF(AI14&gt;0,SUM(AH14)-SUM(AI14),"")</f>
        <v/>
      </c>
      <c r="AK14" s="102"/>
      <c r="AL14" s="48"/>
      <c r="AM14" s="105">
        <v>15</v>
      </c>
      <c r="AN14" s="69">
        <f>$M$3+AM14-1</f>
        <v>46188</v>
      </c>
      <c r="AO14" s="107">
        <f>AN14-AU14</f>
        <v>-3</v>
      </c>
      <c r="AP14" s="48"/>
      <c r="AQ14" s="111"/>
      <c r="AR14" s="70">
        <f>IFERROR(WORKDAY.INTL(AN14,AQ14,11),"")</f>
        <v>46188</v>
      </c>
      <c r="AS14" s="107">
        <f>AR14-AU14</f>
        <v>-3</v>
      </c>
      <c r="AT14" s="48"/>
      <c r="AU14" s="113">
        <f>IF(Y14&gt;0,Y14,IFERROR(MAX(_xlfn.XLOOKUP($AV14,$H$8:$Z$8,$G14:$Y14),$C$6)+(AN14-_xlfn.XLOOKUP($AV14,$H$8:$Z$8,$F14:$X14))*AD14/SUM($H$7:$Y$7),$C$6+SUM(AD14)))</f>
        <v>46191</v>
      </c>
      <c r="AV14" s="119" t="str" cm="1">
        <f t="array" ref="AV14">IF(OR(G14&gt;$C$6,G14=""),$F$8,INDEX($E$8:$Z$8,MATCH(TRUE,(F14:AA14=""),0)))</f>
        <v>5. Initial submission</v>
      </c>
      <c r="AW14" s="116" t="b">
        <f>IF(AND(G14&gt;0,G14&lt;$C$6),TRUE,FALSE)</f>
        <v>1</v>
      </c>
      <c r="AX14" s="71" t="b">
        <f>IF(AND(I14&gt;0,I14&lt;$C$6),TRUE,FALSE)</f>
        <v>1</v>
      </c>
      <c r="AY14" s="71" t="b">
        <f>IF(AND(K14&gt;0,K14&lt;$C$6),TRUE,FALSE)</f>
        <v>1</v>
      </c>
      <c r="AZ14" s="71" t="b">
        <f>IF(AND(M14&gt;0,M14&lt;$C$6),TRUE,FALSE)</f>
        <v>1</v>
      </c>
      <c r="BA14" s="71" t="b">
        <f>IF(AND(O14&gt;0,O14&lt;$C$6),TRUE,FALSE)</f>
        <v>0</v>
      </c>
      <c r="BB14" s="71" t="b">
        <f>IF(AND(Q14&gt;0,Q14&lt;$C$6),TRUE,FALSE)</f>
        <v>0</v>
      </c>
      <c r="BC14" s="71" t="b">
        <f>IF(AND(S14&gt;0,S14&lt;$C$6),TRUE,FALSE)</f>
        <v>0</v>
      </c>
      <c r="BD14" s="71" t="b">
        <f>IF(AND(U14&gt;0,U14&lt;$C$6),TRUE,FALSE)</f>
        <v>0</v>
      </c>
      <c r="BE14" s="71" t="b">
        <f>IF(AND(W14&gt;0,W14&lt;$C$6),TRUE,FALSE)</f>
        <v>0</v>
      </c>
      <c r="BF14" s="71" t="b">
        <f>IF(AND(Y14&gt;0,Y14&lt;$C$6),TRUE,FALSE)</f>
        <v>0</v>
      </c>
      <c r="BG14" s="89" t="b">
        <f>IF(AND(AA14&gt;0,AA14&lt;$C$6),TRUE,FALSE)</f>
        <v>0</v>
      </c>
      <c r="BH14" s="146"/>
    </row>
    <row r="15" spans="1:60" ht="23.25" x14ac:dyDescent="0.25">
      <c r="A15" s="53"/>
      <c r="B15" s="49"/>
      <c r="C15" s="50" t="s">
        <v>445</v>
      </c>
      <c r="D15" s="51"/>
      <c r="E15" s="51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1"/>
      <c r="AC15" s="51"/>
      <c r="AD15" s="132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51"/>
      <c r="BD15" s="51"/>
      <c r="BE15" s="51"/>
      <c r="BF15" s="51"/>
      <c r="BG15" s="88"/>
      <c r="BH15" s="146"/>
    </row>
    <row r="16" spans="1:60" ht="30" x14ac:dyDescent="0.25">
      <c r="A16" s="56" cm="1">
        <f t="array" ref="A16">SUMPRODUCT(($AV$10:$AV$40&lt;&gt;"")*(ROW($AV$10:$AV$40)&lt;=ROW()))</f>
        <v>4</v>
      </c>
      <c r="B16" s="57"/>
      <c r="C16" s="58" t="s">
        <v>381</v>
      </c>
      <c r="D16" s="93" t="s">
        <v>7</v>
      </c>
      <c r="E16" s="16"/>
      <c r="F16" s="29">
        <f>H16-$H$7</f>
        <v>46153</v>
      </c>
      <c r="G16" s="42"/>
      <c r="H16" s="29">
        <f>J16-$J$7</f>
        <v>46160</v>
      </c>
      <c r="I16" s="42"/>
      <c r="J16" s="29">
        <f>L16-$L$7</f>
        <v>46166</v>
      </c>
      <c r="K16" s="42"/>
      <c r="L16" s="29">
        <f>N16-$N$7</f>
        <v>46169</v>
      </c>
      <c r="M16" s="42"/>
      <c r="N16" s="29">
        <f>P16-$P$7</f>
        <v>46199</v>
      </c>
      <c r="O16" s="42"/>
      <c r="P16" s="29">
        <f>R16-$R$7</f>
        <v>46209</v>
      </c>
      <c r="Q16" s="42"/>
      <c r="R16" s="29">
        <f>T16-$T$7</f>
        <v>46229</v>
      </c>
      <c r="S16" s="42"/>
      <c r="T16" s="29">
        <f>V16-$V$7</f>
        <v>46236</v>
      </c>
      <c r="U16" s="42"/>
      <c r="V16" s="29">
        <f>X16-$X$7</f>
        <v>46243</v>
      </c>
      <c r="W16" s="42"/>
      <c r="X16" s="29">
        <f t="shared" ref="X16:X19" si="3">AN16</f>
        <v>46248</v>
      </c>
      <c r="Y16" s="42"/>
      <c r="Z16" s="30">
        <f>X16+$Z$7</f>
        <v>46258</v>
      </c>
      <c r="AA16" s="42"/>
      <c r="AB16" s="31">
        <f>IF(AV16="10. Issued to Contractor","-",IF(AV16="11. Subcontract Agreement signed","-",MAX(AN16,AR16)-$C$6))</f>
        <v>136</v>
      </c>
      <c r="AC16" s="16"/>
      <c r="AD16" s="131">
        <f t="shared" ref="AD16:AD19" si="4">SUM($H$7:$Y$7)</f>
        <v>95</v>
      </c>
      <c r="AE16" s="16"/>
      <c r="AF16" s="95"/>
      <c r="AG16" s="67"/>
      <c r="AH16" s="67">
        <v>15494601</v>
      </c>
      <c r="AI16" s="67"/>
      <c r="AJ16" s="68" t="str">
        <f>IF(AI16&gt;0,SUM(AH16)-SUM(AI16),"")</f>
        <v/>
      </c>
      <c r="AK16" s="102"/>
      <c r="AL16" s="48"/>
      <c r="AM16" s="105">
        <v>75</v>
      </c>
      <c r="AN16" s="69">
        <f>$M$3+AM16-1</f>
        <v>46248</v>
      </c>
      <c r="AO16" s="107">
        <f>AN16-AU16</f>
        <v>41</v>
      </c>
      <c r="AP16" s="48"/>
      <c r="AQ16" s="111"/>
      <c r="AR16" s="70">
        <f>IFERROR(WORKDAY.INTL(AN16,AQ16,11),"")</f>
        <v>46248</v>
      </c>
      <c r="AS16" s="107">
        <f>AR16-AU16</f>
        <v>41</v>
      </c>
      <c r="AT16" s="48"/>
      <c r="AU16" s="113">
        <f t="shared" ref="AU16:AU19" si="5">IF(Y16&gt;0,Y16,IFERROR(MAX(_xlfn.XLOOKUP($AV16,$H$8:$Z$8,$G16:$Y16),$C$6)+(AN16-_xlfn.XLOOKUP($AV16,$H$8:$Z$8,$F16:$X16))*AD16/SUM($H$7:$Y$7),$C$6+SUM(AD16)))</f>
        <v>46207</v>
      </c>
      <c r="AV16" s="119" t="str" cm="1">
        <f t="array" ref="AV16">IF(OR(G16&gt;$C$6,G16=""),$F$8,INDEX($E$8:$Z$8,MATCH(TRUE,(F16:AA16=""),0)))</f>
        <v>1. Tender Docs &amp; BOQ</v>
      </c>
      <c r="AW16" s="116" t="b">
        <f>IF(AND(G16&gt;0,G16&lt;$C$6),TRUE,FALSE)</f>
        <v>0</v>
      </c>
      <c r="AX16" s="71" t="b">
        <f>IF(AND(I16&gt;0,I16&lt;$C$6),TRUE,FALSE)</f>
        <v>0</v>
      </c>
      <c r="AY16" s="71" t="b">
        <f>IF(AND(K16&gt;0,K16&lt;$C$6),TRUE,FALSE)</f>
        <v>0</v>
      </c>
      <c r="AZ16" s="71" t="b">
        <f>IF(AND(M16&gt;0,M16&lt;$C$6),TRUE,FALSE)</f>
        <v>0</v>
      </c>
      <c r="BA16" s="71" t="b">
        <f>IF(AND(O16&gt;0,O16&lt;$C$6),TRUE,FALSE)</f>
        <v>0</v>
      </c>
      <c r="BB16" s="71" t="b">
        <f>IF(AND(Q16&gt;0,Q16&lt;$C$6),TRUE,FALSE)</f>
        <v>0</v>
      </c>
      <c r="BC16" s="71" t="b">
        <f>IF(AND(S16&gt;0,S16&lt;$C$6),TRUE,FALSE)</f>
        <v>0</v>
      </c>
      <c r="BD16" s="71" t="b">
        <f>IF(AND(U16&gt;0,U16&lt;$C$6),TRUE,FALSE)</f>
        <v>0</v>
      </c>
      <c r="BE16" s="71" t="b">
        <f>IF(AND(W16&gt;0,W16&lt;$C$6),TRUE,FALSE)</f>
        <v>0</v>
      </c>
      <c r="BF16" s="71" t="b">
        <f>IF(AND(Y16&gt;0,Y16&lt;$C$6),TRUE,FALSE)</f>
        <v>0</v>
      </c>
      <c r="BG16" s="89" t="b">
        <f>IF(AND(AA16&gt;0,AA16&lt;$C$6),TRUE,FALSE)</f>
        <v>0</v>
      </c>
      <c r="BH16" s="146"/>
    </row>
    <row r="17" spans="1:60" ht="30" x14ac:dyDescent="0.25">
      <c r="A17" s="56" cm="1">
        <f t="array" ref="A17">SUMPRODUCT(($AV$10:$AV$40&lt;&gt;"")*(ROW($AV$10:$AV$40)&lt;=ROW()))</f>
        <v>5</v>
      </c>
      <c r="B17" s="59"/>
      <c r="C17" s="60" t="s">
        <v>360</v>
      </c>
      <c r="D17" s="59" t="s">
        <v>7</v>
      </c>
      <c r="E17" s="43"/>
      <c r="F17" s="44">
        <f>H17-$H$7</f>
        <v>46153</v>
      </c>
      <c r="G17" s="45"/>
      <c r="H17" s="44">
        <f>J17-$J$7</f>
        <v>46160</v>
      </c>
      <c r="I17" s="45"/>
      <c r="J17" s="44">
        <f>L17-$L$7</f>
        <v>46166</v>
      </c>
      <c r="K17" s="45"/>
      <c r="L17" s="44">
        <f>N17-$N$7</f>
        <v>46169</v>
      </c>
      <c r="M17" s="45"/>
      <c r="N17" s="44">
        <f>P17-$P$7</f>
        <v>46199</v>
      </c>
      <c r="O17" s="45"/>
      <c r="P17" s="44">
        <f>R17-$R$7</f>
        <v>46209</v>
      </c>
      <c r="Q17" s="45"/>
      <c r="R17" s="44">
        <f>T17-$T$7</f>
        <v>46229</v>
      </c>
      <c r="S17" s="45"/>
      <c r="T17" s="44">
        <f>V17-$V$7</f>
        <v>46236</v>
      </c>
      <c r="U17" s="45"/>
      <c r="V17" s="44">
        <f>X17-$X$7</f>
        <v>46243</v>
      </c>
      <c r="W17" s="45"/>
      <c r="X17" s="44">
        <f t="shared" si="3"/>
        <v>46248</v>
      </c>
      <c r="Y17" s="45"/>
      <c r="Z17" s="46">
        <f>X17+$Z$7</f>
        <v>46258</v>
      </c>
      <c r="AA17" s="45"/>
      <c r="AB17" s="32">
        <f>IF(AV17="10. Issued to Contractor","-",IF(AV17="11. Subcontract Agreement signed","-",MAX(AN17,AR17)-$C$6))</f>
        <v>136</v>
      </c>
      <c r="AC17" s="16"/>
      <c r="AD17" s="131">
        <f t="shared" si="4"/>
        <v>95</v>
      </c>
      <c r="AE17" s="16"/>
      <c r="AF17" s="96"/>
      <c r="AG17" s="72"/>
      <c r="AH17" s="72">
        <v>14166486</v>
      </c>
      <c r="AI17" s="72"/>
      <c r="AJ17" s="73" t="str">
        <f>IF(AI17&gt;0,SUM(AH17)-SUM(AI17),"")</f>
        <v/>
      </c>
      <c r="AK17" s="101"/>
      <c r="AL17" s="48"/>
      <c r="AM17" s="104">
        <v>75</v>
      </c>
      <c r="AN17" s="74">
        <f>$M$3+AM17-1</f>
        <v>46248</v>
      </c>
      <c r="AO17" s="108">
        <f>AN17-AU17</f>
        <v>41</v>
      </c>
      <c r="AP17" s="48"/>
      <c r="AQ17" s="110"/>
      <c r="AR17" s="75">
        <f>IFERROR(WORKDAY.INTL(AN17,AQ17,11),"")</f>
        <v>46248</v>
      </c>
      <c r="AS17" s="108">
        <f>AR17-AU17</f>
        <v>41</v>
      </c>
      <c r="AT17" s="48"/>
      <c r="AU17" s="114">
        <f t="shared" si="5"/>
        <v>46207</v>
      </c>
      <c r="AV17" s="120" t="str" cm="1">
        <f t="array" ref="AV17">IF(OR(G17&gt;$C$6,G17=""),$F$8,INDEX($E$8:$Z$8,MATCH(TRUE,(F17:AA17=""),0)))</f>
        <v>1. Tender Docs &amp; BOQ</v>
      </c>
      <c r="AW17" s="117" t="b">
        <f>IF(AND(G17&gt;0,G17&lt;$C$6),TRUE,FALSE)</f>
        <v>0</v>
      </c>
      <c r="AX17" s="76" t="b">
        <f>IF(AND(I17&gt;0,I17&lt;$C$6),TRUE,FALSE)</f>
        <v>0</v>
      </c>
      <c r="AY17" s="76" t="b">
        <f>IF(AND(K17&gt;0,K17&lt;$C$6),TRUE,FALSE)</f>
        <v>0</v>
      </c>
      <c r="AZ17" s="76" t="b">
        <f>IF(AND(M17&gt;0,M17&lt;$C$6),TRUE,FALSE)</f>
        <v>0</v>
      </c>
      <c r="BA17" s="76" t="b">
        <f>IF(AND(O17&gt;0,O17&lt;$C$6),TRUE,FALSE)</f>
        <v>0</v>
      </c>
      <c r="BB17" s="76" t="b">
        <f>IF(AND(Q17&gt;0,Q17&lt;$C$6),TRUE,FALSE)</f>
        <v>0</v>
      </c>
      <c r="BC17" s="76" t="b">
        <f>IF(AND(S17&gt;0,S17&lt;$C$6),TRUE,FALSE)</f>
        <v>0</v>
      </c>
      <c r="BD17" s="76" t="b">
        <f>IF(AND(U17&gt;0,U17&lt;$C$6),TRUE,FALSE)</f>
        <v>0</v>
      </c>
      <c r="BE17" s="76" t="b">
        <f>IF(AND(W17&gt;0,W17&lt;$C$6),TRUE,FALSE)</f>
        <v>0</v>
      </c>
      <c r="BF17" s="76" t="b">
        <f>IF(AND(Y17&gt;0,Y17&lt;$C$6),TRUE,FALSE)</f>
        <v>0</v>
      </c>
      <c r="BG17" s="90" t="b">
        <f>IF(AND(AA17&gt;0,AA17&lt;$C$6),TRUE,FALSE)</f>
        <v>0</v>
      </c>
      <c r="BH17" s="146"/>
    </row>
    <row r="18" spans="1:60" ht="26.25" x14ac:dyDescent="0.25">
      <c r="A18" s="56" cm="1">
        <f t="array" ref="A18">SUMPRODUCT(($AV$10:$AV$40&lt;&gt;"")*(ROW($AV$10:$AV$40)&lt;=ROW()))</f>
        <v>6</v>
      </c>
      <c r="B18" s="57"/>
      <c r="C18" s="58" t="s">
        <v>361</v>
      </c>
      <c r="D18" s="93" t="s">
        <v>7</v>
      </c>
      <c r="E18" s="16"/>
      <c r="F18" s="29">
        <f>H18-$H$7</f>
        <v>46153</v>
      </c>
      <c r="G18" s="42"/>
      <c r="H18" s="29">
        <f>J18-$J$7</f>
        <v>46160</v>
      </c>
      <c r="I18" s="42"/>
      <c r="J18" s="29">
        <f>L18-$L$7</f>
        <v>46166</v>
      </c>
      <c r="K18" s="42"/>
      <c r="L18" s="29">
        <f>N18-$N$7</f>
        <v>46169</v>
      </c>
      <c r="M18" s="42"/>
      <c r="N18" s="29">
        <f>P18-$P$7</f>
        <v>46199</v>
      </c>
      <c r="O18" s="42"/>
      <c r="P18" s="29">
        <f>R18-$R$7</f>
        <v>46209</v>
      </c>
      <c r="Q18" s="42"/>
      <c r="R18" s="29">
        <f>T18-$T$7</f>
        <v>46229</v>
      </c>
      <c r="S18" s="42"/>
      <c r="T18" s="29">
        <f>V18-$V$7</f>
        <v>46236</v>
      </c>
      <c r="U18" s="42"/>
      <c r="V18" s="29">
        <f>X18-$X$7</f>
        <v>46243</v>
      </c>
      <c r="W18" s="42"/>
      <c r="X18" s="29">
        <f t="shared" si="3"/>
        <v>46248</v>
      </c>
      <c r="Y18" s="42"/>
      <c r="Z18" s="30">
        <f>X18+$Z$7</f>
        <v>46258</v>
      </c>
      <c r="AA18" s="42"/>
      <c r="AB18" s="31">
        <f>IF(AV18="10. Issued to Contractor","-",IF(AV18="11. Subcontract Agreement signed","-",MAX(AN18,AR18)-$C$6))</f>
        <v>136</v>
      </c>
      <c r="AC18" s="16"/>
      <c r="AD18" s="131">
        <f t="shared" si="4"/>
        <v>95</v>
      </c>
      <c r="AE18" s="16"/>
      <c r="AF18" s="95"/>
      <c r="AG18" s="67"/>
      <c r="AH18" s="67">
        <v>79686678</v>
      </c>
      <c r="AI18" s="67"/>
      <c r="AJ18" s="68" t="str">
        <f>IF(AI18&gt;0,SUM(AH18)-SUM(AI18),"")</f>
        <v/>
      </c>
      <c r="AK18" s="102"/>
      <c r="AL18" s="48"/>
      <c r="AM18" s="105">
        <v>75</v>
      </c>
      <c r="AN18" s="69">
        <f>$M$3+AM18-1</f>
        <v>46248</v>
      </c>
      <c r="AO18" s="107">
        <f>AN18-AU18</f>
        <v>41</v>
      </c>
      <c r="AP18" s="48"/>
      <c r="AQ18" s="111"/>
      <c r="AR18" s="70">
        <f>IFERROR(WORKDAY.INTL(AN18,AQ18,11),"")</f>
        <v>46248</v>
      </c>
      <c r="AS18" s="107">
        <f>AR18-AU18</f>
        <v>41</v>
      </c>
      <c r="AT18" s="48"/>
      <c r="AU18" s="113">
        <f t="shared" si="5"/>
        <v>46207</v>
      </c>
      <c r="AV18" s="119" t="str" cm="1">
        <f t="array" ref="AV18">IF(OR(G18&gt;$C$6,G18=""),$F$8,INDEX($E$8:$Z$8,MATCH(TRUE,(F18:AA18=""),0)))</f>
        <v>1. Tender Docs &amp; BOQ</v>
      </c>
      <c r="AW18" s="116" t="b">
        <f>IF(AND(G18&gt;0,G18&lt;$C$6),TRUE,FALSE)</f>
        <v>0</v>
      </c>
      <c r="AX18" s="71" t="b">
        <f>IF(AND(I18&gt;0,I18&lt;$C$6),TRUE,FALSE)</f>
        <v>0</v>
      </c>
      <c r="AY18" s="71" t="b">
        <f>IF(AND(K18&gt;0,K18&lt;$C$6),TRUE,FALSE)</f>
        <v>0</v>
      </c>
      <c r="AZ18" s="71" t="b">
        <f>IF(AND(M18&gt;0,M18&lt;$C$6),TRUE,FALSE)</f>
        <v>0</v>
      </c>
      <c r="BA18" s="71" t="b">
        <f>IF(AND(O18&gt;0,O18&lt;$C$6),TRUE,FALSE)</f>
        <v>0</v>
      </c>
      <c r="BB18" s="71" t="b">
        <f>IF(AND(Q18&gt;0,Q18&lt;$C$6),TRUE,FALSE)</f>
        <v>0</v>
      </c>
      <c r="BC18" s="71" t="b">
        <f>IF(AND(S18&gt;0,S18&lt;$C$6),TRUE,FALSE)</f>
        <v>0</v>
      </c>
      <c r="BD18" s="71" t="b">
        <f>IF(AND(U18&gt;0,U18&lt;$C$6),TRUE,FALSE)</f>
        <v>0</v>
      </c>
      <c r="BE18" s="71" t="b">
        <f>IF(AND(W18&gt;0,W18&lt;$C$6),TRUE,FALSE)</f>
        <v>0</v>
      </c>
      <c r="BF18" s="71" t="b">
        <f>IF(AND(Y18&gt;0,Y18&lt;$C$6),TRUE,FALSE)</f>
        <v>0</v>
      </c>
      <c r="BG18" s="89" t="b">
        <f>IF(AND(AA18&gt;0,AA18&lt;$C$6),TRUE,FALSE)</f>
        <v>0</v>
      </c>
      <c r="BH18" s="146"/>
    </row>
    <row r="19" spans="1:60" ht="26.25" x14ac:dyDescent="0.25">
      <c r="A19" s="56" cm="1">
        <f t="array" ref="A19">SUMPRODUCT(($AV$10:$AV$40&lt;&gt;"")*(ROW($AV$10:$AV$40)&lt;=ROW()))</f>
        <v>7</v>
      </c>
      <c r="B19" s="59"/>
      <c r="C19" s="60" t="s">
        <v>174</v>
      </c>
      <c r="D19" s="59" t="s">
        <v>7</v>
      </c>
      <c r="E19" s="43"/>
      <c r="F19" s="44">
        <f>H19-$H$7</f>
        <v>46178</v>
      </c>
      <c r="G19" s="45"/>
      <c r="H19" s="44">
        <f>J19-$J$7</f>
        <v>46185</v>
      </c>
      <c r="I19" s="45"/>
      <c r="J19" s="44">
        <f>L19-$L$7</f>
        <v>46191</v>
      </c>
      <c r="K19" s="45"/>
      <c r="L19" s="44">
        <f>N19-$N$7</f>
        <v>46194</v>
      </c>
      <c r="M19" s="45"/>
      <c r="N19" s="44">
        <f>P19-$P$7</f>
        <v>46224</v>
      </c>
      <c r="O19" s="45"/>
      <c r="P19" s="44">
        <f>R19-$R$7</f>
        <v>46234</v>
      </c>
      <c r="Q19" s="45"/>
      <c r="R19" s="44">
        <f>T19-$T$7</f>
        <v>46254</v>
      </c>
      <c r="S19" s="45"/>
      <c r="T19" s="44">
        <f>V19-$V$7</f>
        <v>46261</v>
      </c>
      <c r="U19" s="45"/>
      <c r="V19" s="44">
        <f>X19-$X$7</f>
        <v>46268</v>
      </c>
      <c r="W19" s="45"/>
      <c r="X19" s="44">
        <f t="shared" si="3"/>
        <v>46273</v>
      </c>
      <c r="Y19" s="45"/>
      <c r="Z19" s="46">
        <f>X19+$Z$7</f>
        <v>46283</v>
      </c>
      <c r="AA19" s="45"/>
      <c r="AB19" s="32">
        <f>IF(AV19="10. Issued to Contractor","-",IF(AV19="11. Subcontract Agreement signed","-",MAX(AN19,AR19)-$C$6))</f>
        <v>161</v>
      </c>
      <c r="AC19" s="16"/>
      <c r="AD19" s="131">
        <f t="shared" si="4"/>
        <v>95</v>
      </c>
      <c r="AE19" s="16"/>
      <c r="AF19" s="96"/>
      <c r="AG19" s="72"/>
      <c r="AH19" s="72">
        <v>2213562</v>
      </c>
      <c r="AI19" s="72"/>
      <c r="AJ19" s="73" t="str">
        <f>IF(AI19&gt;0,SUM(AH19)-SUM(AI19),"")</f>
        <v/>
      </c>
      <c r="AK19" s="101"/>
      <c r="AL19" s="48"/>
      <c r="AM19" s="104">
        <v>100</v>
      </c>
      <c r="AN19" s="74">
        <f>$M$3+AM19-1</f>
        <v>46273</v>
      </c>
      <c r="AO19" s="108">
        <f>AN19-AU19</f>
        <v>66</v>
      </c>
      <c r="AP19" s="48"/>
      <c r="AQ19" s="110"/>
      <c r="AR19" s="75">
        <f>IFERROR(WORKDAY.INTL(AN19,AQ19,11),"")</f>
        <v>46273</v>
      </c>
      <c r="AS19" s="108">
        <f>AR19-AU19</f>
        <v>66</v>
      </c>
      <c r="AT19" s="48"/>
      <c r="AU19" s="114">
        <f t="shared" si="5"/>
        <v>46207</v>
      </c>
      <c r="AV19" s="120" t="str" cm="1">
        <f t="array" ref="AV19">IF(OR(G19&gt;$C$6,G19=""),$F$8,INDEX($E$8:$Z$8,MATCH(TRUE,(F19:AA19=""),0)))</f>
        <v>1. Tender Docs &amp; BOQ</v>
      </c>
      <c r="AW19" s="117" t="b">
        <f>IF(AND(G19&gt;0,G19&lt;$C$6),TRUE,FALSE)</f>
        <v>0</v>
      </c>
      <c r="AX19" s="76" t="b">
        <f>IF(AND(I19&gt;0,I19&lt;$C$6),TRUE,FALSE)</f>
        <v>0</v>
      </c>
      <c r="AY19" s="76" t="b">
        <f>IF(AND(K19&gt;0,K19&lt;$C$6),TRUE,FALSE)</f>
        <v>0</v>
      </c>
      <c r="AZ19" s="76" t="b">
        <f>IF(AND(M19&gt;0,M19&lt;$C$6),TRUE,FALSE)</f>
        <v>0</v>
      </c>
      <c r="BA19" s="76" t="b">
        <f>IF(AND(O19&gt;0,O19&lt;$C$6),TRUE,FALSE)</f>
        <v>0</v>
      </c>
      <c r="BB19" s="76" t="b">
        <f>IF(AND(Q19&gt;0,Q19&lt;$C$6),TRUE,FALSE)</f>
        <v>0</v>
      </c>
      <c r="BC19" s="76" t="b">
        <f>IF(AND(S19&gt;0,S19&lt;$C$6),TRUE,FALSE)</f>
        <v>0</v>
      </c>
      <c r="BD19" s="76" t="b">
        <f>IF(AND(U19&gt;0,U19&lt;$C$6),TRUE,FALSE)</f>
        <v>0</v>
      </c>
      <c r="BE19" s="76" t="b">
        <f>IF(AND(W19&gt;0,W19&lt;$C$6),TRUE,FALSE)</f>
        <v>0</v>
      </c>
      <c r="BF19" s="76" t="b">
        <f>IF(AND(Y19&gt;0,Y19&lt;$C$6),TRUE,FALSE)</f>
        <v>0</v>
      </c>
      <c r="BG19" s="90" t="b">
        <f>IF(AND(AA19&gt;0,AA19&lt;$C$6),TRUE,FALSE)</f>
        <v>0</v>
      </c>
      <c r="BH19" s="146"/>
    </row>
    <row r="20" spans="1:60" ht="23.25" x14ac:dyDescent="0.25">
      <c r="A20" s="54"/>
      <c r="B20" s="49"/>
      <c r="C20" s="50" t="s">
        <v>128</v>
      </c>
      <c r="D20" s="51"/>
      <c r="E20" s="51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1"/>
      <c r="AC20" s="51"/>
      <c r="AD20" s="132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88"/>
      <c r="BH20" s="146"/>
    </row>
    <row r="21" spans="1:60" ht="26.25" x14ac:dyDescent="0.25">
      <c r="A21" s="56" cm="1">
        <f t="array" ref="A21">SUMPRODUCT(($AV$10:$AV$40&lt;&gt;"")*(ROW($AV$10:$AV$40)&lt;=ROW()))</f>
        <v>8</v>
      </c>
      <c r="B21" s="57"/>
      <c r="C21" s="58" t="s">
        <v>276</v>
      </c>
      <c r="D21" s="93" t="s">
        <v>3</v>
      </c>
      <c r="E21" s="16"/>
      <c r="F21" s="29">
        <f>H21-$H$7</f>
        <v>46178</v>
      </c>
      <c r="G21" s="42"/>
      <c r="H21" s="29">
        <f>J21-$J$7</f>
        <v>46185</v>
      </c>
      <c r="I21" s="42"/>
      <c r="J21" s="29">
        <f>L21-$L$7</f>
        <v>46191</v>
      </c>
      <c r="K21" s="42"/>
      <c r="L21" s="29">
        <f>N21-$N$7</f>
        <v>46194</v>
      </c>
      <c r="M21" s="42"/>
      <c r="N21" s="29">
        <f>P21-$P$7</f>
        <v>46224</v>
      </c>
      <c r="O21" s="42"/>
      <c r="P21" s="29">
        <f>R21-$R$7</f>
        <v>46234</v>
      </c>
      <c r="Q21" s="42"/>
      <c r="R21" s="29">
        <f>T21-$T$7</f>
        <v>46254</v>
      </c>
      <c r="S21" s="42"/>
      <c r="T21" s="29">
        <f>V21-$V$7</f>
        <v>46261</v>
      </c>
      <c r="U21" s="42"/>
      <c r="V21" s="29">
        <f>X21-$X$7</f>
        <v>46268</v>
      </c>
      <c r="W21" s="42"/>
      <c r="X21" s="29">
        <f t="shared" ref="X21:X23" si="6">AN21</f>
        <v>46273</v>
      </c>
      <c r="Y21" s="42"/>
      <c r="Z21" s="30">
        <f>X21+$Z$7</f>
        <v>46283</v>
      </c>
      <c r="AA21" s="42"/>
      <c r="AB21" s="31">
        <f>IF(AV21="10. Issued to Contractor","-",IF(AV21="11. Subcontract Agreement signed","-",MAX(AN21,AR21)-$C$6))</f>
        <v>161</v>
      </c>
      <c r="AC21" s="16"/>
      <c r="AD21" s="131">
        <f t="shared" ref="AD21:AD23" si="7">SUM($H$7:$Y$7)</f>
        <v>95</v>
      </c>
      <c r="AE21" s="16"/>
      <c r="AF21" s="95"/>
      <c r="AG21" s="67"/>
      <c r="AH21" s="67">
        <v>15494601</v>
      </c>
      <c r="AI21" s="67"/>
      <c r="AJ21" s="68" t="str">
        <f>IF(AI21&gt;0,SUM(AH21)-SUM(AI21),"")</f>
        <v/>
      </c>
      <c r="AK21" s="102"/>
      <c r="AL21" s="48"/>
      <c r="AM21" s="105">
        <v>100</v>
      </c>
      <c r="AN21" s="69">
        <f>$M$3+AM21-1</f>
        <v>46273</v>
      </c>
      <c r="AO21" s="107">
        <f t="shared" ref="AO21" si="8">AN21-AU21</f>
        <v>66</v>
      </c>
      <c r="AP21" s="48"/>
      <c r="AQ21" s="111"/>
      <c r="AR21" s="70">
        <f t="shared" ref="AR21" si="9">IFERROR(WORKDAY.INTL(AN21,AQ21,11),"")</f>
        <v>46273</v>
      </c>
      <c r="AS21" s="107">
        <f t="shared" ref="AS21" si="10">AR21-AU21</f>
        <v>66</v>
      </c>
      <c r="AT21" s="48"/>
      <c r="AU21" s="113">
        <f t="shared" ref="AU21:AU23" si="11">IF(Y21&gt;0,Y21,IFERROR(MAX(_xlfn.XLOOKUP($AV21,$H$8:$Z$8,$G21:$Y21),$C$6)+(AN21-_xlfn.XLOOKUP($AV21,$H$8:$Z$8,$F21:$X21))*AD21/SUM($H$7:$Y$7),$C$6+SUM(AD21)))</f>
        <v>46207</v>
      </c>
      <c r="AV21" s="119" t="str" cm="1">
        <f t="array" ref="AV21">IF(OR(G21&gt;$C$6,G21=""),$F$8,INDEX($E$8:$Z$8,MATCH(TRUE,(F21:AA21=""),0)))</f>
        <v>1. Tender Docs &amp; BOQ</v>
      </c>
      <c r="AW21" s="116" t="b">
        <f>IF(AND(G21&gt;0,G21&lt;$C$6),TRUE,FALSE)</f>
        <v>0</v>
      </c>
      <c r="AX21" s="71" t="b">
        <f>IF(AND(I21&gt;0,I21&lt;$C$6),TRUE,FALSE)</f>
        <v>0</v>
      </c>
      <c r="AY21" s="71" t="b">
        <f>IF(AND(K21&gt;0,K21&lt;$C$6),TRUE,FALSE)</f>
        <v>0</v>
      </c>
      <c r="AZ21" s="71" t="b">
        <f>IF(AND(M21&gt;0,M21&lt;$C$6),TRUE,FALSE)</f>
        <v>0</v>
      </c>
      <c r="BA21" s="71" t="b">
        <f>IF(AND(O21&gt;0,O21&lt;$C$6),TRUE,FALSE)</f>
        <v>0</v>
      </c>
      <c r="BB21" s="71" t="b">
        <f>IF(AND(Q21&gt;0,Q21&lt;$C$6),TRUE,FALSE)</f>
        <v>0</v>
      </c>
      <c r="BC21" s="71" t="b">
        <f>IF(AND(S21&gt;0,S21&lt;$C$6),TRUE,FALSE)</f>
        <v>0</v>
      </c>
      <c r="BD21" s="71" t="b">
        <f>IF(AND(U21&gt;0,U21&lt;$C$6),TRUE,FALSE)</f>
        <v>0</v>
      </c>
      <c r="BE21" s="71" t="b">
        <f>IF(AND(W21&gt;0,W21&lt;$C$6),TRUE,FALSE)</f>
        <v>0</v>
      </c>
      <c r="BF21" s="71" t="b">
        <f>IF(AND(Y21&gt;0,Y21&lt;$C$6),TRUE,FALSE)</f>
        <v>0</v>
      </c>
      <c r="BG21" s="89" t="b">
        <f>IF(AND(AA21&gt;0,AA21&lt;$C$6),TRUE,FALSE)</f>
        <v>0</v>
      </c>
      <c r="BH21" s="146"/>
    </row>
    <row r="22" spans="1:60" ht="26.25" x14ac:dyDescent="0.25">
      <c r="A22" s="56" cm="1">
        <f t="array" ref="A22">SUMPRODUCT(($AV$10:$AV$40&lt;&gt;"")*(ROW($AV$10:$AV$40)&lt;=ROW()))</f>
        <v>9</v>
      </c>
      <c r="B22" s="59"/>
      <c r="C22" s="60" t="s">
        <v>232</v>
      </c>
      <c r="D22" s="59" t="s">
        <v>3</v>
      </c>
      <c r="E22" s="43"/>
      <c r="F22" s="44">
        <f>H22-$H$7</f>
        <v>46178</v>
      </c>
      <c r="G22" s="45"/>
      <c r="H22" s="44">
        <f>J22-$J$7</f>
        <v>46185</v>
      </c>
      <c r="I22" s="45"/>
      <c r="J22" s="44">
        <f>L22-$L$7</f>
        <v>46191</v>
      </c>
      <c r="K22" s="45"/>
      <c r="L22" s="44">
        <f>N22-$N$7</f>
        <v>46194</v>
      </c>
      <c r="M22" s="45"/>
      <c r="N22" s="44">
        <f>P22-$P$7</f>
        <v>46224</v>
      </c>
      <c r="O22" s="45"/>
      <c r="P22" s="44">
        <f>R22-$R$7</f>
        <v>46234</v>
      </c>
      <c r="Q22" s="45"/>
      <c r="R22" s="44">
        <f>T22-$T$7</f>
        <v>46254</v>
      </c>
      <c r="S22" s="45"/>
      <c r="T22" s="44">
        <f>V22-$V$7</f>
        <v>46261</v>
      </c>
      <c r="U22" s="45"/>
      <c r="V22" s="44">
        <f>X22-$X$7</f>
        <v>46268</v>
      </c>
      <c r="W22" s="45"/>
      <c r="X22" s="44">
        <f t="shared" si="6"/>
        <v>46273</v>
      </c>
      <c r="Y22" s="45"/>
      <c r="Z22" s="46">
        <f>X22+$Z$7</f>
        <v>46283</v>
      </c>
      <c r="AA22" s="45"/>
      <c r="AB22" s="32">
        <f>IF(AV22="10. Issued to Contractor","-",IF(AV22="11. Subcontract Agreement signed","-",MAX(AN22,AR22)-$C$6))</f>
        <v>161</v>
      </c>
      <c r="AC22" s="16"/>
      <c r="AD22" s="131">
        <f t="shared" si="7"/>
        <v>95</v>
      </c>
      <c r="AE22" s="16"/>
      <c r="AF22" s="96"/>
      <c r="AG22" s="72"/>
      <c r="AH22" s="72">
        <v>3098898</v>
      </c>
      <c r="AI22" s="72"/>
      <c r="AJ22" s="73" t="str">
        <f>IF(AI22&gt;0,SUM(AH22)-SUM(AI22),"")</f>
        <v/>
      </c>
      <c r="AK22" s="101"/>
      <c r="AL22" s="48"/>
      <c r="AM22" s="104">
        <v>100</v>
      </c>
      <c r="AN22" s="74">
        <f>$M$3+AM22-1</f>
        <v>46273</v>
      </c>
      <c r="AO22" s="108">
        <f>AN22-AU22</f>
        <v>66</v>
      </c>
      <c r="AP22" s="48"/>
      <c r="AQ22" s="110"/>
      <c r="AR22" s="75">
        <f>IFERROR(WORKDAY.INTL(AN22,AQ22,11),"")</f>
        <v>46273</v>
      </c>
      <c r="AS22" s="108">
        <f>AR22-AU22</f>
        <v>66</v>
      </c>
      <c r="AT22" s="48"/>
      <c r="AU22" s="114">
        <f t="shared" si="11"/>
        <v>46207</v>
      </c>
      <c r="AV22" s="120" t="str" cm="1">
        <f t="array" ref="AV22">IF(OR(G22&gt;$C$6,G22=""),$F$8,INDEX($E$8:$Z$8,MATCH(TRUE,(F22:AA22=""),0)))</f>
        <v>1. Tender Docs &amp; BOQ</v>
      </c>
      <c r="AW22" s="117" t="b">
        <f>IF(AND(G22&gt;0,G22&lt;$C$6),TRUE,FALSE)</f>
        <v>0</v>
      </c>
      <c r="AX22" s="76" t="b">
        <f>IF(AND(I22&gt;0,I22&lt;$C$6),TRUE,FALSE)</f>
        <v>0</v>
      </c>
      <c r="AY22" s="76" t="b">
        <f>IF(AND(K22&gt;0,K22&lt;$C$6),TRUE,FALSE)</f>
        <v>0</v>
      </c>
      <c r="AZ22" s="76" t="b">
        <f>IF(AND(M22&gt;0,M22&lt;$C$6),TRUE,FALSE)</f>
        <v>0</v>
      </c>
      <c r="BA22" s="76" t="b">
        <f>IF(AND(O22&gt;0,O22&lt;$C$6),TRUE,FALSE)</f>
        <v>0</v>
      </c>
      <c r="BB22" s="76" t="b">
        <f>IF(AND(Q22&gt;0,Q22&lt;$C$6),TRUE,FALSE)</f>
        <v>0</v>
      </c>
      <c r="BC22" s="76" t="b">
        <f>IF(AND(S22&gt;0,S22&lt;$C$6),TRUE,FALSE)</f>
        <v>0</v>
      </c>
      <c r="BD22" s="76" t="b">
        <f>IF(AND(U22&gt;0,U22&lt;$C$6),TRUE,FALSE)</f>
        <v>0</v>
      </c>
      <c r="BE22" s="76" t="b">
        <f>IF(AND(W22&gt;0,W22&lt;$C$6),TRUE,FALSE)</f>
        <v>0</v>
      </c>
      <c r="BF22" s="76" t="b">
        <f>IF(AND(Y22&gt;0,Y22&lt;$C$6),TRUE,FALSE)</f>
        <v>0</v>
      </c>
      <c r="BG22" s="90" t="b">
        <f>IF(AND(AA22&gt;0,AA22&lt;$C$6),TRUE,FALSE)</f>
        <v>0</v>
      </c>
      <c r="BH22" s="146"/>
    </row>
    <row r="23" spans="1:60" ht="26.25" x14ac:dyDescent="0.25">
      <c r="A23" s="56" cm="1">
        <f t="array" ref="A23">SUMPRODUCT(($AV$10:$AV$40&lt;&gt;"")*(ROW($AV$10:$AV$40)&lt;=ROW()))</f>
        <v>10</v>
      </c>
      <c r="B23" s="57"/>
      <c r="C23" s="58" t="s">
        <v>351</v>
      </c>
      <c r="D23" s="93" t="s">
        <v>3</v>
      </c>
      <c r="E23" s="16"/>
      <c r="F23" s="29">
        <f>H23-$H$7</f>
        <v>46178</v>
      </c>
      <c r="G23" s="42"/>
      <c r="H23" s="29">
        <f>J23-$J$7</f>
        <v>46185</v>
      </c>
      <c r="I23" s="42"/>
      <c r="J23" s="29">
        <f>L23-$L$7</f>
        <v>46191</v>
      </c>
      <c r="K23" s="42"/>
      <c r="L23" s="29">
        <f>N23-$N$7</f>
        <v>46194</v>
      </c>
      <c r="M23" s="42"/>
      <c r="N23" s="29">
        <f>P23-$P$7</f>
        <v>46224</v>
      </c>
      <c r="O23" s="42"/>
      <c r="P23" s="29">
        <f>R23-$R$7</f>
        <v>46234</v>
      </c>
      <c r="Q23" s="42"/>
      <c r="R23" s="29">
        <f>T23-$T$7</f>
        <v>46254</v>
      </c>
      <c r="S23" s="42"/>
      <c r="T23" s="29">
        <f>V23-$V$7</f>
        <v>46261</v>
      </c>
      <c r="U23" s="42"/>
      <c r="V23" s="29">
        <f>X23-$X$7</f>
        <v>46268</v>
      </c>
      <c r="W23" s="42"/>
      <c r="X23" s="29">
        <f t="shared" si="6"/>
        <v>46273</v>
      </c>
      <c r="Y23" s="42"/>
      <c r="Z23" s="30">
        <f>X23+$Z$7</f>
        <v>46283</v>
      </c>
      <c r="AA23" s="42"/>
      <c r="AB23" s="31">
        <f>IF(AV23="10. Issued to Contractor","-",IF(AV23="11. Subcontract Agreement signed","-",MAX(AN23,AR23)-$C$6))</f>
        <v>161</v>
      </c>
      <c r="AC23" s="16"/>
      <c r="AD23" s="131">
        <f t="shared" si="7"/>
        <v>95</v>
      </c>
      <c r="AE23" s="16"/>
      <c r="AF23" s="95"/>
      <c r="AG23" s="67"/>
      <c r="AH23" s="67">
        <v>44270352</v>
      </c>
      <c r="AI23" s="67"/>
      <c r="AJ23" s="68" t="str">
        <f>IF(AI23&gt;0,SUM(AH23)-SUM(AI23),"")</f>
        <v/>
      </c>
      <c r="AK23" s="102"/>
      <c r="AL23" s="48"/>
      <c r="AM23" s="105">
        <v>100</v>
      </c>
      <c r="AN23" s="69">
        <f>$M$3+AM23-1</f>
        <v>46273</v>
      </c>
      <c r="AO23" s="107">
        <f>AN23-AU23</f>
        <v>66</v>
      </c>
      <c r="AP23" s="48"/>
      <c r="AQ23" s="111"/>
      <c r="AR23" s="70">
        <f>IFERROR(WORKDAY.INTL(AN23,AQ23,11),"")</f>
        <v>46273</v>
      </c>
      <c r="AS23" s="107">
        <f>AR23-AU23</f>
        <v>66</v>
      </c>
      <c r="AT23" s="48"/>
      <c r="AU23" s="113">
        <f t="shared" si="11"/>
        <v>46207</v>
      </c>
      <c r="AV23" s="119" t="str" cm="1">
        <f t="array" ref="AV23">IF(OR(G23&gt;$C$6,G23=""),$F$8,INDEX($E$8:$Z$8,MATCH(TRUE,(F23:AA23=""),0)))</f>
        <v>1. Tender Docs &amp; BOQ</v>
      </c>
      <c r="AW23" s="116" t="b">
        <f>IF(AND(G23&gt;0,G23&lt;$C$6),TRUE,FALSE)</f>
        <v>0</v>
      </c>
      <c r="AX23" s="71" t="b">
        <f>IF(AND(I23&gt;0,I23&lt;$C$6),TRUE,FALSE)</f>
        <v>0</v>
      </c>
      <c r="AY23" s="71" t="b">
        <f>IF(AND(K23&gt;0,K23&lt;$C$6),TRUE,FALSE)</f>
        <v>0</v>
      </c>
      <c r="AZ23" s="71" t="b">
        <f>IF(AND(M23&gt;0,M23&lt;$C$6),TRUE,FALSE)</f>
        <v>0</v>
      </c>
      <c r="BA23" s="71" t="b">
        <f>IF(AND(O23&gt;0,O23&lt;$C$6),TRUE,FALSE)</f>
        <v>0</v>
      </c>
      <c r="BB23" s="71" t="b">
        <f>IF(AND(Q23&gt;0,Q23&lt;$C$6),TRUE,FALSE)</f>
        <v>0</v>
      </c>
      <c r="BC23" s="71" t="b">
        <f>IF(AND(S23&gt;0,S23&lt;$C$6),TRUE,FALSE)</f>
        <v>0</v>
      </c>
      <c r="BD23" s="71" t="b">
        <f>IF(AND(U23&gt;0,U23&lt;$C$6),TRUE,FALSE)</f>
        <v>0</v>
      </c>
      <c r="BE23" s="71" t="b">
        <f>IF(AND(W23&gt;0,W23&lt;$C$6),TRUE,FALSE)</f>
        <v>0</v>
      </c>
      <c r="BF23" s="71" t="b">
        <f>IF(AND(Y23&gt;0,Y23&lt;$C$6),TRUE,FALSE)</f>
        <v>0</v>
      </c>
      <c r="BG23" s="89" t="b">
        <f>IF(AND(AA23&gt;0,AA23&lt;$C$6),TRUE,FALSE)</f>
        <v>0</v>
      </c>
      <c r="BH23" s="146"/>
    </row>
    <row r="24" spans="1:60" ht="23.25" x14ac:dyDescent="0.25">
      <c r="A24" s="54"/>
      <c r="B24" s="49"/>
      <c r="C24" s="50" t="s">
        <v>137</v>
      </c>
      <c r="D24" s="51"/>
      <c r="E24" s="51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1"/>
      <c r="AC24" s="51"/>
      <c r="AD24" s="132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  <c r="BC24" s="51"/>
      <c r="BD24" s="51"/>
      <c r="BE24" s="51"/>
      <c r="BF24" s="51"/>
      <c r="BG24" s="88"/>
      <c r="BH24" s="146"/>
    </row>
    <row r="25" spans="1:60" ht="26.25" x14ac:dyDescent="0.25">
      <c r="A25" s="56" cm="1">
        <f t="array" ref="A25">SUMPRODUCT(($AV$10:$AV$40&lt;&gt;"")*(ROW($AV$10:$AV$40)&lt;=ROW()))</f>
        <v>11</v>
      </c>
      <c r="B25" s="59"/>
      <c r="C25" s="60" t="s">
        <v>382</v>
      </c>
      <c r="D25" s="59" t="s">
        <v>11</v>
      </c>
      <c r="E25" s="43"/>
      <c r="F25" s="44">
        <f t="shared" ref="F25:F26" si="12">H25-$H$7</f>
        <v>46158</v>
      </c>
      <c r="G25" s="45"/>
      <c r="H25" s="44">
        <f t="shared" ref="H25:H26" si="13">J25-$J$7</f>
        <v>46165</v>
      </c>
      <c r="I25" s="45"/>
      <c r="J25" s="44">
        <f t="shared" ref="J25:J26" si="14">L25-$L$7</f>
        <v>46171</v>
      </c>
      <c r="K25" s="45"/>
      <c r="L25" s="44">
        <f t="shared" ref="L25:L26" si="15">N25-$N$7</f>
        <v>46174</v>
      </c>
      <c r="M25" s="45"/>
      <c r="N25" s="44">
        <f t="shared" ref="N25:N26" si="16">P25-$P$7</f>
        <v>46204</v>
      </c>
      <c r="O25" s="45"/>
      <c r="P25" s="44">
        <f t="shared" ref="P25:P26" si="17">R25-$R$7</f>
        <v>46214</v>
      </c>
      <c r="Q25" s="45"/>
      <c r="R25" s="44">
        <f t="shared" ref="R25:R26" si="18">T25-$T$7</f>
        <v>46234</v>
      </c>
      <c r="S25" s="45"/>
      <c r="T25" s="44">
        <f t="shared" ref="T25:T26" si="19">V25-$V$7</f>
        <v>46241</v>
      </c>
      <c r="U25" s="45"/>
      <c r="V25" s="44">
        <f t="shared" ref="V25:V26" si="20">X25-$X$7</f>
        <v>46248</v>
      </c>
      <c r="W25" s="45"/>
      <c r="X25" s="44">
        <f t="shared" ref="X25:X26" si="21">AN25</f>
        <v>46253</v>
      </c>
      <c r="Y25" s="45"/>
      <c r="Z25" s="46">
        <f t="shared" ref="Z25:Z26" si="22">X25+$Z$7</f>
        <v>46263</v>
      </c>
      <c r="AA25" s="45"/>
      <c r="AB25" s="32">
        <f t="shared" ref="AB25:AB26" si="23">IF(AV25="10. Issued to Contractor","-",IF(AV25="11. Subcontract Agreement signed","-",MAX(AN25,AR25)-$C$6))</f>
        <v>141</v>
      </c>
      <c r="AC25" s="16"/>
      <c r="AD25" s="131">
        <f t="shared" ref="AD25:AD26" si="24">SUM($H$7:$Y$7)</f>
        <v>95</v>
      </c>
      <c r="AE25" s="16"/>
      <c r="AF25" s="96"/>
      <c r="AG25" s="72"/>
      <c r="AH25" s="72">
        <v>46926582</v>
      </c>
      <c r="AI25" s="72"/>
      <c r="AJ25" s="73" t="str">
        <f>IF(AI25&gt;0,SUM(AH25)-SUM(AI25),"")</f>
        <v/>
      </c>
      <c r="AK25" s="101"/>
      <c r="AL25" s="48"/>
      <c r="AM25" s="104">
        <v>80</v>
      </c>
      <c r="AN25" s="74">
        <f t="shared" ref="AN25:AN26" si="25">$M$3+AM25-1</f>
        <v>46253</v>
      </c>
      <c r="AO25" s="108">
        <f t="shared" ref="AO25:AO26" si="26">AN25-AU25</f>
        <v>46</v>
      </c>
      <c r="AP25" s="48"/>
      <c r="AQ25" s="110"/>
      <c r="AR25" s="75">
        <f t="shared" ref="AR25:AR26" si="27">IFERROR(WORKDAY.INTL(AN25,AQ25,11),"")</f>
        <v>46253</v>
      </c>
      <c r="AS25" s="108">
        <f t="shared" ref="AS25:AS26" si="28">AR25-AU25</f>
        <v>46</v>
      </c>
      <c r="AT25" s="48"/>
      <c r="AU25" s="114">
        <f t="shared" ref="AU25:AU26" si="29">IF(Y25&gt;0,Y25,IFERROR(MAX(_xlfn.XLOOKUP($AV25,$H$8:$Z$8,$G25:$Y25),$C$6)+(AN25-_xlfn.XLOOKUP($AV25,$H$8:$Z$8,$F25:$X25))*AD25/SUM($H$7:$Y$7),$C$6+SUM(AD25)))</f>
        <v>46207</v>
      </c>
      <c r="AV25" s="120" t="str" cm="1">
        <f t="array" ref="AV25">IF(OR(G25&gt;$C$6,G25=""),$F$8,INDEX($E$8:$Z$8,MATCH(TRUE,(F25:AA25=""),0)))</f>
        <v>1. Tender Docs &amp; BOQ</v>
      </c>
      <c r="AW25" s="117" t="b">
        <f t="shared" ref="AW25:AW26" si="30">IF(AND(G25&gt;0,G25&lt;$C$6),TRUE,FALSE)</f>
        <v>0</v>
      </c>
      <c r="AX25" s="76" t="b">
        <f t="shared" ref="AX25:AX26" si="31">IF(AND(I25&gt;0,I25&lt;$C$6),TRUE,FALSE)</f>
        <v>0</v>
      </c>
      <c r="AY25" s="76" t="b">
        <f t="shared" ref="AY25:AY26" si="32">IF(AND(K25&gt;0,K25&lt;$C$6),TRUE,FALSE)</f>
        <v>0</v>
      </c>
      <c r="AZ25" s="76" t="b">
        <f t="shared" ref="AZ25:AZ26" si="33">IF(AND(M25&gt;0,M25&lt;$C$6),TRUE,FALSE)</f>
        <v>0</v>
      </c>
      <c r="BA25" s="76" t="b">
        <f t="shared" ref="BA25:BA26" si="34">IF(AND(O25&gt;0,O25&lt;$C$6),TRUE,FALSE)</f>
        <v>0</v>
      </c>
      <c r="BB25" s="76" t="b">
        <f t="shared" ref="BB25:BB26" si="35">IF(AND(Q25&gt;0,Q25&lt;$C$6),TRUE,FALSE)</f>
        <v>0</v>
      </c>
      <c r="BC25" s="76" t="b">
        <f t="shared" ref="BC25:BC26" si="36">IF(AND(S25&gt;0,S25&lt;$C$6),TRUE,FALSE)</f>
        <v>0</v>
      </c>
      <c r="BD25" s="76" t="b">
        <f t="shared" ref="BD25:BD26" si="37">IF(AND(U25&gt;0,U25&lt;$C$6),TRUE,FALSE)</f>
        <v>0</v>
      </c>
      <c r="BE25" s="76" t="b">
        <f t="shared" ref="BE25:BE26" si="38">IF(AND(W25&gt;0,W25&lt;$C$6),TRUE,FALSE)</f>
        <v>0</v>
      </c>
      <c r="BF25" s="76" t="b">
        <f t="shared" ref="BF25:BF26" si="39">IF(AND(Y25&gt;0,Y25&lt;$C$6),TRUE,FALSE)</f>
        <v>0</v>
      </c>
      <c r="BG25" s="90" t="b">
        <f t="shared" ref="BG25:BG26" si="40">IF(AND(AA25&gt;0,AA25&lt;$C$6),TRUE,FALSE)</f>
        <v>0</v>
      </c>
      <c r="BH25" s="146"/>
    </row>
    <row r="26" spans="1:60" ht="26.25" x14ac:dyDescent="0.25">
      <c r="A26" s="56" cm="1">
        <f t="array" ref="A26">SUMPRODUCT(($AV$10:$AV$40&lt;&gt;"")*(ROW($AV$10:$AV$40)&lt;=ROW()))</f>
        <v>12</v>
      </c>
      <c r="B26" s="57"/>
      <c r="C26" s="58" t="s">
        <v>366</v>
      </c>
      <c r="D26" s="93" t="s">
        <v>11</v>
      </c>
      <c r="E26" s="16"/>
      <c r="F26" s="29">
        <f t="shared" si="12"/>
        <v>46158</v>
      </c>
      <c r="G26" s="42"/>
      <c r="H26" s="29">
        <f t="shared" si="13"/>
        <v>46165</v>
      </c>
      <c r="I26" s="42"/>
      <c r="J26" s="29">
        <f t="shared" si="14"/>
        <v>46171</v>
      </c>
      <c r="K26" s="42"/>
      <c r="L26" s="29">
        <f t="shared" si="15"/>
        <v>46174</v>
      </c>
      <c r="M26" s="42"/>
      <c r="N26" s="29">
        <f t="shared" si="16"/>
        <v>46204</v>
      </c>
      <c r="O26" s="42"/>
      <c r="P26" s="29">
        <f t="shared" si="17"/>
        <v>46214</v>
      </c>
      <c r="Q26" s="42"/>
      <c r="R26" s="29">
        <f t="shared" si="18"/>
        <v>46234</v>
      </c>
      <c r="S26" s="42"/>
      <c r="T26" s="29">
        <f t="shared" si="19"/>
        <v>46241</v>
      </c>
      <c r="U26" s="42"/>
      <c r="V26" s="29">
        <f t="shared" si="20"/>
        <v>46248</v>
      </c>
      <c r="W26" s="42"/>
      <c r="X26" s="29">
        <f t="shared" si="21"/>
        <v>46253</v>
      </c>
      <c r="Y26" s="42"/>
      <c r="Z26" s="30">
        <f t="shared" si="22"/>
        <v>46263</v>
      </c>
      <c r="AA26" s="42"/>
      <c r="AB26" s="31">
        <f t="shared" si="23"/>
        <v>141</v>
      </c>
      <c r="AC26" s="16"/>
      <c r="AD26" s="131">
        <f t="shared" si="24"/>
        <v>95</v>
      </c>
      <c r="AE26" s="16"/>
      <c r="AF26" s="95"/>
      <c r="AG26" s="67"/>
      <c r="AH26" s="67">
        <v>34309545</v>
      </c>
      <c r="AI26" s="67"/>
      <c r="AJ26" s="68" t="str">
        <f>IF(AI26&gt;0,SUM(AH26)-SUM(AI26),"")</f>
        <v/>
      </c>
      <c r="AK26" s="102"/>
      <c r="AL26" s="48"/>
      <c r="AM26" s="105">
        <v>80</v>
      </c>
      <c r="AN26" s="69">
        <f t="shared" si="25"/>
        <v>46253</v>
      </c>
      <c r="AO26" s="107">
        <f t="shared" si="26"/>
        <v>46</v>
      </c>
      <c r="AP26" s="48"/>
      <c r="AQ26" s="111"/>
      <c r="AR26" s="70">
        <f t="shared" si="27"/>
        <v>46253</v>
      </c>
      <c r="AS26" s="107">
        <f t="shared" si="28"/>
        <v>46</v>
      </c>
      <c r="AT26" s="48"/>
      <c r="AU26" s="113">
        <f t="shared" si="29"/>
        <v>46207</v>
      </c>
      <c r="AV26" s="119" t="str" cm="1">
        <f t="array" ref="AV26">IF(OR(G26&gt;$C$6,G26=""),$F$8,INDEX($E$8:$Z$8,MATCH(TRUE,(F26:AA26=""),0)))</f>
        <v>1. Tender Docs &amp; BOQ</v>
      </c>
      <c r="AW26" s="116" t="b">
        <f t="shared" si="30"/>
        <v>0</v>
      </c>
      <c r="AX26" s="71" t="b">
        <f t="shared" si="31"/>
        <v>0</v>
      </c>
      <c r="AY26" s="71" t="b">
        <f t="shared" si="32"/>
        <v>0</v>
      </c>
      <c r="AZ26" s="71" t="b">
        <f t="shared" si="33"/>
        <v>0</v>
      </c>
      <c r="BA26" s="71" t="b">
        <f t="shared" si="34"/>
        <v>0</v>
      </c>
      <c r="BB26" s="71" t="b">
        <f t="shared" si="35"/>
        <v>0</v>
      </c>
      <c r="BC26" s="71" t="b">
        <f t="shared" si="36"/>
        <v>0</v>
      </c>
      <c r="BD26" s="71" t="b">
        <f t="shared" si="37"/>
        <v>0</v>
      </c>
      <c r="BE26" s="71" t="b">
        <f t="shared" si="38"/>
        <v>0</v>
      </c>
      <c r="BF26" s="71" t="b">
        <f t="shared" si="39"/>
        <v>0</v>
      </c>
      <c r="BG26" s="89" t="b">
        <f t="shared" si="40"/>
        <v>0</v>
      </c>
      <c r="BH26" s="146"/>
    </row>
    <row r="27" spans="1:60" ht="23.25" x14ac:dyDescent="0.25">
      <c r="A27" s="54"/>
      <c r="B27" s="49"/>
      <c r="C27" s="50" t="s">
        <v>156</v>
      </c>
      <c r="D27" s="51"/>
      <c r="E27" s="51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1"/>
      <c r="AC27" s="51"/>
      <c r="AD27" s="132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88"/>
      <c r="BH27" s="146"/>
    </row>
    <row r="28" spans="1:60" ht="26.25" x14ac:dyDescent="0.25">
      <c r="A28" s="56" cm="1">
        <f t="array" ref="A28">SUMPRODUCT(($AV$10:$AV$40&lt;&gt;"")*(ROW($AV$10:$AV$40)&lt;=ROW()))</f>
        <v>13</v>
      </c>
      <c r="B28" s="59"/>
      <c r="C28" s="60" t="s">
        <v>383</v>
      </c>
      <c r="D28" s="59" t="s">
        <v>3</v>
      </c>
      <c r="E28" s="43"/>
      <c r="F28" s="44">
        <f>H28-$H$7</f>
        <v>46168</v>
      </c>
      <c r="G28" s="45"/>
      <c r="H28" s="44">
        <f>J28-$J$7</f>
        <v>46175</v>
      </c>
      <c r="I28" s="45"/>
      <c r="J28" s="44">
        <f>L28-$L$7</f>
        <v>46181</v>
      </c>
      <c r="K28" s="45"/>
      <c r="L28" s="44">
        <f>N28-$N$7</f>
        <v>46184</v>
      </c>
      <c r="M28" s="45"/>
      <c r="N28" s="44">
        <f>P28-$P$7</f>
        <v>46214</v>
      </c>
      <c r="O28" s="45"/>
      <c r="P28" s="44">
        <f>R28-$R$7</f>
        <v>46224</v>
      </c>
      <c r="Q28" s="45"/>
      <c r="R28" s="44">
        <f>T28-$T$7</f>
        <v>46244</v>
      </c>
      <c r="S28" s="45"/>
      <c r="T28" s="44">
        <f>V28-$V$7</f>
        <v>46251</v>
      </c>
      <c r="U28" s="45"/>
      <c r="V28" s="44">
        <f>X28-$X$7</f>
        <v>46258</v>
      </c>
      <c r="W28" s="45"/>
      <c r="X28" s="44">
        <f t="shared" ref="X28:X29" si="41">AN28</f>
        <v>46263</v>
      </c>
      <c r="Y28" s="45"/>
      <c r="Z28" s="46">
        <f>X28+$Z$7</f>
        <v>46273</v>
      </c>
      <c r="AA28" s="45"/>
      <c r="AB28" s="32">
        <f>IF(AV28="10. Issued to Contractor","-",IF(AV28="11. Subcontract Agreement signed","-",MAX(AN28,AR28)-$C$6))</f>
        <v>151</v>
      </c>
      <c r="AC28" s="16"/>
      <c r="AD28" s="131">
        <f t="shared" ref="AD28:AD29" si="42">SUM($H$7:$Y$7)</f>
        <v>95</v>
      </c>
      <c r="AE28" s="16"/>
      <c r="AF28" s="96"/>
      <c r="AG28" s="72"/>
      <c r="AH28" s="72">
        <v>15733695</v>
      </c>
      <c r="AI28" s="72"/>
      <c r="AJ28" s="73" t="str">
        <f>IF(AI28&gt;0,SUM(AH28)-SUM(AI28),"")</f>
        <v/>
      </c>
      <c r="AK28" s="101"/>
      <c r="AL28" s="48"/>
      <c r="AM28" s="104">
        <v>90</v>
      </c>
      <c r="AN28" s="74">
        <f>$M$3+AM28-1</f>
        <v>46263</v>
      </c>
      <c r="AO28" s="108">
        <f>AN28-AU28</f>
        <v>56</v>
      </c>
      <c r="AP28" s="48"/>
      <c r="AQ28" s="110"/>
      <c r="AR28" s="75">
        <f>IFERROR(WORKDAY.INTL(AN28,AQ28,11),"")</f>
        <v>46263</v>
      </c>
      <c r="AS28" s="108">
        <f>AR28-AU28</f>
        <v>56</v>
      </c>
      <c r="AT28" s="48"/>
      <c r="AU28" s="114">
        <f t="shared" ref="AU28:AU29" si="43">IF(Y28&gt;0,Y28,IFERROR(MAX(_xlfn.XLOOKUP($AV28,$H$8:$Z$8,$G28:$Y28),$C$6)+(AN28-_xlfn.XLOOKUP($AV28,$H$8:$Z$8,$F28:$X28))*AD28/SUM($H$7:$Y$7),$C$6+SUM(AD28)))</f>
        <v>46207</v>
      </c>
      <c r="AV28" s="120" t="str" cm="1">
        <f t="array" ref="AV28">IF(OR(G28&gt;$C$6,G28=""),$F$8,INDEX($E$8:$Z$8,MATCH(TRUE,(F28:AA28=""),0)))</f>
        <v>1. Tender Docs &amp; BOQ</v>
      </c>
      <c r="AW28" s="117" t="b">
        <f>IF(AND(G28&gt;0,G28&lt;$C$6),TRUE,FALSE)</f>
        <v>0</v>
      </c>
      <c r="AX28" s="76" t="b">
        <f>IF(AND(I28&gt;0,I28&lt;$C$6),TRUE,FALSE)</f>
        <v>0</v>
      </c>
      <c r="AY28" s="76" t="b">
        <f>IF(AND(K28&gt;0,K28&lt;$C$6),TRUE,FALSE)</f>
        <v>0</v>
      </c>
      <c r="AZ28" s="76" t="b">
        <f>IF(AND(M28&gt;0,M28&lt;$C$6),TRUE,FALSE)</f>
        <v>0</v>
      </c>
      <c r="BA28" s="76" t="b">
        <f>IF(AND(O28&gt;0,O28&lt;$C$6),TRUE,FALSE)</f>
        <v>0</v>
      </c>
      <c r="BB28" s="76" t="b">
        <f>IF(AND(Q28&gt;0,Q28&lt;$C$6),TRUE,FALSE)</f>
        <v>0</v>
      </c>
      <c r="BC28" s="76" t="b">
        <f>IF(AND(S28&gt;0,S28&lt;$C$6),TRUE,FALSE)</f>
        <v>0</v>
      </c>
      <c r="BD28" s="76" t="b">
        <f>IF(AND(U28&gt;0,U28&lt;$C$6),TRUE,FALSE)</f>
        <v>0</v>
      </c>
      <c r="BE28" s="76" t="b">
        <f>IF(AND(W28&gt;0,W28&lt;$C$6),TRUE,FALSE)</f>
        <v>0</v>
      </c>
      <c r="BF28" s="76" t="b">
        <f>IF(AND(Y28&gt;0,Y28&lt;$C$6),TRUE,FALSE)</f>
        <v>0</v>
      </c>
      <c r="BG28" s="90" t="b">
        <f>IF(AND(AA28&gt;0,AA28&lt;$C$6),TRUE,FALSE)</f>
        <v>0</v>
      </c>
      <c r="BH28" s="146"/>
    </row>
    <row r="29" spans="1:60" ht="26.25" x14ac:dyDescent="0.25">
      <c r="A29" s="56" cm="1">
        <f t="array" ref="A29">SUMPRODUCT(($AV$10:$AV$40&lt;&gt;"")*(ROW($AV$10:$AV$40)&lt;=ROW()))</f>
        <v>14</v>
      </c>
      <c r="B29" s="57"/>
      <c r="C29" s="58" t="s">
        <v>384</v>
      </c>
      <c r="D29" s="93" t="s">
        <v>3</v>
      </c>
      <c r="E29" s="16"/>
      <c r="F29" s="29">
        <f>H29-$H$7</f>
        <v>46198</v>
      </c>
      <c r="G29" s="42"/>
      <c r="H29" s="29">
        <f>J29-$J$7</f>
        <v>46205</v>
      </c>
      <c r="I29" s="42"/>
      <c r="J29" s="29">
        <f>L29-$L$7</f>
        <v>46211</v>
      </c>
      <c r="K29" s="42"/>
      <c r="L29" s="29">
        <f>N29-$N$7</f>
        <v>46214</v>
      </c>
      <c r="M29" s="42"/>
      <c r="N29" s="29">
        <f>P29-$P$7</f>
        <v>46244</v>
      </c>
      <c r="O29" s="42"/>
      <c r="P29" s="29">
        <f>R29-$R$7</f>
        <v>46254</v>
      </c>
      <c r="Q29" s="42"/>
      <c r="R29" s="29">
        <f>T29-$T$7</f>
        <v>46274</v>
      </c>
      <c r="S29" s="42"/>
      <c r="T29" s="29">
        <f>V29-$V$7</f>
        <v>46281</v>
      </c>
      <c r="U29" s="42"/>
      <c r="V29" s="29">
        <f>X29-$X$7</f>
        <v>46288</v>
      </c>
      <c r="W29" s="42"/>
      <c r="X29" s="29">
        <f t="shared" si="41"/>
        <v>46293</v>
      </c>
      <c r="Y29" s="42"/>
      <c r="Z29" s="30">
        <f>X29+$Z$7</f>
        <v>46303</v>
      </c>
      <c r="AA29" s="42"/>
      <c r="AB29" s="31">
        <f>IF(AV29="10. Issued to Contractor","-",IF(AV29="11. Subcontract Agreement signed","-",MAX(AN29,AR29)-$C$6))</f>
        <v>181</v>
      </c>
      <c r="AC29" s="16"/>
      <c r="AD29" s="131">
        <f t="shared" si="42"/>
        <v>95</v>
      </c>
      <c r="AE29" s="16"/>
      <c r="AF29" s="95"/>
      <c r="AG29" s="67"/>
      <c r="AH29" s="67">
        <v>6197796</v>
      </c>
      <c r="AI29" s="67"/>
      <c r="AJ29" s="68" t="str">
        <f>IF(AI29&gt;0,SUM(AH29)-SUM(AI29),"")</f>
        <v/>
      </c>
      <c r="AK29" s="102"/>
      <c r="AL29" s="48"/>
      <c r="AM29" s="105">
        <v>120</v>
      </c>
      <c r="AN29" s="69">
        <f>$M$3+AM29-1</f>
        <v>46293</v>
      </c>
      <c r="AO29" s="107">
        <f>AN29-AU29</f>
        <v>86</v>
      </c>
      <c r="AP29" s="48"/>
      <c r="AQ29" s="111"/>
      <c r="AR29" s="70">
        <f>IFERROR(WORKDAY.INTL(AN29,AQ29,11),"")</f>
        <v>46293</v>
      </c>
      <c r="AS29" s="107">
        <f>AR29-AU29</f>
        <v>86</v>
      </c>
      <c r="AT29" s="48"/>
      <c r="AU29" s="113">
        <f t="shared" si="43"/>
        <v>46207</v>
      </c>
      <c r="AV29" s="119" t="str" cm="1">
        <f t="array" ref="AV29">IF(OR(G29&gt;$C$6,G29=""),$F$8,INDEX($E$8:$Z$8,MATCH(TRUE,(F29:AA29=""),0)))</f>
        <v>1. Tender Docs &amp; BOQ</v>
      </c>
      <c r="AW29" s="116" t="b">
        <f>IF(AND(G29&gt;0,G29&lt;$C$6),TRUE,FALSE)</f>
        <v>0</v>
      </c>
      <c r="AX29" s="71" t="b">
        <f>IF(AND(I29&gt;0,I29&lt;$C$6),TRUE,FALSE)</f>
        <v>0</v>
      </c>
      <c r="AY29" s="71" t="b">
        <f>IF(AND(K29&gt;0,K29&lt;$C$6),TRUE,FALSE)</f>
        <v>0</v>
      </c>
      <c r="AZ29" s="71" t="b">
        <f>IF(AND(M29&gt;0,M29&lt;$C$6),TRUE,FALSE)</f>
        <v>0</v>
      </c>
      <c r="BA29" s="71" t="b">
        <f>IF(AND(O29&gt;0,O29&lt;$C$6),TRUE,FALSE)</f>
        <v>0</v>
      </c>
      <c r="BB29" s="71" t="b">
        <f>IF(AND(Q29&gt;0,Q29&lt;$C$6),TRUE,FALSE)</f>
        <v>0</v>
      </c>
      <c r="BC29" s="71" t="b">
        <f>IF(AND(S29&gt;0,S29&lt;$C$6),TRUE,FALSE)</f>
        <v>0</v>
      </c>
      <c r="BD29" s="71" t="b">
        <f>IF(AND(U29&gt;0,U29&lt;$C$6),TRUE,FALSE)</f>
        <v>0</v>
      </c>
      <c r="BE29" s="71" t="b">
        <f>IF(AND(W29&gt;0,W29&lt;$C$6),TRUE,FALSE)</f>
        <v>0</v>
      </c>
      <c r="BF29" s="71" t="b">
        <f>IF(AND(Y29&gt;0,Y29&lt;$C$6),TRUE,FALSE)</f>
        <v>0</v>
      </c>
      <c r="BG29" s="89" t="b">
        <f>IF(AND(AA29&gt;0,AA29&lt;$C$6),TRUE,FALSE)</f>
        <v>0</v>
      </c>
      <c r="BH29" s="146"/>
    </row>
    <row r="30" spans="1:60" ht="23.25" x14ac:dyDescent="0.25">
      <c r="A30" s="54"/>
      <c r="B30" s="49"/>
      <c r="C30" s="50" t="s">
        <v>163</v>
      </c>
      <c r="D30" s="51"/>
      <c r="E30" s="51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1"/>
      <c r="AC30" s="51"/>
      <c r="AD30" s="132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88"/>
      <c r="BH30" s="146"/>
    </row>
    <row r="31" spans="1:60" ht="26.25" x14ac:dyDescent="0.25">
      <c r="A31" s="56" cm="1">
        <f t="array" ref="A31">SUMPRODUCT(($AV$10:$AV$40&lt;&gt;"")*(ROW($AV$10:$AV$40)&lt;=ROW()))</f>
        <v>15</v>
      </c>
      <c r="B31" s="59"/>
      <c r="C31" s="60" t="s">
        <v>212</v>
      </c>
      <c r="D31" s="59" t="s">
        <v>107</v>
      </c>
      <c r="E31" s="43"/>
      <c r="F31" s="44">
        <f t="shared" ref="F31:F40" si="44">H31-$H$7</f>
        <v>46108</v>
      </c>
      <c r="G31" s="45"/>
      <c r="H31" s="44">
        <f t="shared" ref="H31:H40" si="45">J31-$J$7</f>
        <v>46115</v>
      </c>
      <c r="I31" s="45"/>
      <c r="J31" s="44">
        <f t="shared" ref="J31:J40" si="46">L31-$L$7</f>
        <v>46121</v>
      </c>
      <c r="K31" s="45"/>
      <c r="L31" s="44">
        <f t="shared" ref="L31:L40" si="47">N31-$N$7</f>
        <v>46124</v>
      </c>
      <c r="M31" s="45"/>
      <c r="N31" s="44">
        <f t="shared" ref="N31:N40" si="48">P31-$P$7</f>
        <v>46154</v>
      </c>
      <c r="O31" s="45"/>
      <c r="P31" s="44">
        <f t="shared" ref="P31:P40" si="49">R31-$R$7</f>
        <v>46164</v>
      </c>
      <c r="Q31" s="45"/>
      <c r="R31" s="44">
        <f t="shared" ref="R31:R40" si="50">T31-$T$7</f>
        <v>46184</v>
      </c>
      <c r="S31" s="45"/>
      <c r="T31" s="44">
        <f t="shared" ref="T31:T40" si="51">V31-$V$7</f>
        <v>46191</v>
      </c>
      <c r="U31" s="45"/>
      <c r="V31" s="44">
        <f t="shared" ref="V31:V40" si="52">X31-$X$7</f>
        <v>46198</v>
      </c>
      <c r="W31" s="45"/>
      <c r="X31" s="44">
        <f t="shared" ref="X31:X40" si="53">AN31</f>
        <v>46203</v>
      </c>
      <c r="Y31" s="45"/>
      <c r="Z31" s="46">
        <f t="shared" ref="Z31:Z40" si="54">X31+$Z$7</f>
        <v>46213</v>
      </c>
      <c r="AA31" s="45"/>
      <c r="AB31" s="32">
        <f t="shared" ref="AB31:AB40" si="55">IF(AV31="10. Issued to Contractor","-",IF(AV31="11. Subcontract Agreement signed","-",MAX(AN31,AR31)-$C$6))</f>
        <v>91</v>
      </c>
      <c r="AC31" s="16"/>
      <c r="AD31" s="131">
        <f t="shared" ref="AD31:AD40" si="56">SUM($H$7:$Y$7)</f>
        <v>95</v>
      </c>
      <c r="AE31" s="16"/>
      <c r="AF31" s="96"/>
      <c r="AG31" s="72"/>
      <c r="AH31" s="72">
        <v>7083909</v>
      </c>
      <c r="AI31" s="72"/>
      <c r="AJ31" s="73" t="str">
        <f t="shared" ref="AJ31:AJ40" si="57">IF(AI31&gt;0,SUM(AH31)-SUM(AI31),"")</f>
        <v/>
      </c>
      <c r="AK31" s="101"/>
      <c r="AL31" s="48"/>
      <c r="AM31" s="104">
        <v>30</v>
      </c>
      <c r="AN31" s="74">
        <f t="shared" ref="AN31:AN40" si="58">$M$3+AM31-1</f>
        <v>46203</v>
      </c>
      <c r="AO31" s="108">
        <f t="shared" ref="AO31:AO33" si="59">AN31-AU31</f>
        <v>-4</v>
      </c>
      <c r="AP31" s="48"/>
      <c r="AQ31" s="110"/>
      <c r="AR31" s="75">
        <f t="shared" ref="AR31:AR33" si="60">IFERROR(WORKDAY.INTL(AN31,AQ31,11),"")</f>
        <v>46203</v>
      </c>
      <c r="AS31" s="108">
        <f t="shared" ref="AS31:AS33" si="61">AR31-AU31</f>
        <v>-4</v>
      </c>
      <c r="AT31" s="48"/>
      <c r="AU31" s="114">
        <f t="shared" ref="AU31:AU40" si="62">IF(Y31&gt;0,Y31,IFERROR(MAX(_xlfn.XLOOKUP($AV31,$H$8:$Z$8,$G31:$Y31),$C$6)+(AN31-_xlfn.XLOOKUP($AV31,$H$8:$Z$8,$F31:$X31))*AD31/SUM($H$7:$Y$7),$C$6+SUM(AD31)))</f>
        <v>46207</v>
      </c>
      <c r="AV31" s="120" t="str" cm="1">
        <f t="array" ref="AV31">IF(OR(G31&gt;$C$6,G31=""),$F$8,INDEX($E$8:$Z$8,MATCH(TRUE,(F31:AA31=""),0)))</f>
        <v>1. Tender Docs &amp; BOQ</v>
      </c>
      <c r="AW31" s="117" t="b">
        <f t="shared" ref="AW31:AW40" si="63">IF(AND(G31&gt;0,G31&lt;$C$6),TRUE,FALSE)</f>
        <v>0</v>
      </c>
      <c r="AX31" s="76" t="b">
        <f t="shared" ref="AX31:AX40" si="64">IF(AND(I31&gt;0,I31&lt;$C$6),TRUE,FALSE)</f>
        <v>0</v>
      </c>
      <c r="AY31" s="76" t="b">
        <f t="shared" ref="AY31:AY40" si="65">IF(AND(K31&gt;0,K31&lt;$C$6),TRUE,FALSE)</f>
        <v>0</v>
      </c>
      <c r="AZ31" s="76" t="b">
        <f t="shared" ref="AZ31:AZ40" si="66">IF(AND(M31&gt;0,M31&lt;$C$6),TRUE,FALSE)</f>
        <v>0</v>
      </c>
      <c r="BA31" s="76" t="b">
        <f t="shared" ref="BA31:BA40" si="67">IF(AND(O31&gt;0,O31&lt;$C$6),TRUE,FALSE)</f>
        <v>0</v>
      </c>
      <c r="BB31" s="76" t="b">
        <f t="shared" ref="BB31:BB40" si="68">IF(AND(Q31&gt;0,Q31&lt;$C$6),TRUE,FALSE)</f>
        <v>0</v>
      </c>
      <c r="BC31" s="76" t="b">
        <f t="shared" ref="BC31:BC40" si="69">IF(AND(S31&gt;0,S31&lt;$C$6),TRUE,FALSE)</f>
        <v>0</v>
      </c>
      <c r="BD31" s="76" t="b">
        <f t="shared" ref="BD31:BD40" si="70">IF(AND(U31&gt;0,U31&lt;$C$6),TRUE,FALSE)</f>
        <v>0</v>
      </c>
      <c r="BE31" s="76" t="b">
        <f t="shared" ref="BE31:BE40" si="71">IF(AND(W31&gt;0,W31&lt;$C$6),TRUE,FALSE)</f>
        <v>0</v>
      </c>
      <c r="BF31" s="76" t="b">
        <f t="shared" ref="BF31:BF40" si="72">IF(AND(Y31&gt;0,Y31&lt;$C$6),TRUE,FALSE)</f>
        <v>0</v>
      </c>
      <c r="BG31" s="90" t="b">
        <f t="shared" ref="BG31:BG40" si="73">IF(AND(AA31&gt;0,AA31&lt;$C$6),TRUE,FALSE)</f>
        <v>0</v>
      </c>
      <c r="BH31" s="146"/>
    </row>
    <row r="32" spans="1:60" ht="26.25" x14ac:dyDescent="0.25">
      <c r="A32" s="56" cm="1">
        <f t="array" ref="A32">SUMPRODUCT(($AV$10:$AV$40&lt;&gt;"")*(ROW($AV$10:$AV$40)&lt;=ROW()))</f>
        <v>16</v>
      </c>
      <c r="B32" s="57"/>
      <c r="C32" s="58" t="s">
        <v>374</v>
      </c>
      <c r="D32" s="93" t="s">
        <v>7</v>
      </c>
      <c r="E32" s="16"/>
      <c r="F32" s="29">
        <f t="shared" si="44"/>
        <v>46198</v>
      </c>
      <c r="G32" s="42"/>
      <c r="H32" s="29">
        <f t="shared" si="45"/>
        <v>46205</v>
      </c>
      <c r="I32" s="42"/>
      <c r="J32" s="29">
        <f t="shared" si="46"/>
        <v>46211</v>
      </c>
      <c r="K32" s="42"/>
      <c r="L32" s="29">
        <f t="shared" si="47"/>
        <v>46214</v>
      </c>
      <c r="M32" s="42"/>
      <c r="N32" s="29">
        <f t="shared" si="48"/>
        <v>46244</v>
      </c>
      <c r="O32" s="42"/>
      <c r="P32" s="29">
        <f t="shared" si="49"/>
        <v>46254</v>
      </c>
      <c r="Q32" s="42"/>
      <c r="R32" s="29">
        <f t="shared" si="50"/>
        <v>46274</v>
      </c>
      <c r="S32" s="42"/>
      <c r="T32" s="29">
        <f t="shared" si="51"/>
        <v>46281</v>
      </c>
      <c r="U32" s="42"/>
      <c r="V32" s="29">
        <f t="shared" si="52"/>
        <v>46288</v>
      </c>
      <c r="W32" s="42"/>
      <c r="X32" s="29">
        <f t="shared" si="53"/>
        <v>46293</v>
      </c>
      <c r="Y32" s="42"/>
      <c r="Z32" s="30">
        <f t="shared" si="54"/>
        <v>46303</v>
      </c>
      <c r="AA32" s="42"/>
      <c r="AB32" s="31">
        <f t="shared" si="55"/>
        <v>181</v>
      </c>
      <c r="AC32" s="16"/>
      <c r="AD32" s="131">
        <f t="shared" si="56"/>
        <v>95</v>
      </c>
      <c r="AE32" s="16"/>
      <c r="AF32" s="95"/>
      <c r="AG32" s="67"/>
      <c r="AH32" s="67">
        <v>664002</v>
      </c>
      <c r="AI32" s="67"/>
      <c r="AJ32" s="68" t="str">
        <f t="shared" si="57"/>
        <v/>
      </c>
      <c r="AK32" s="102"/>
      <c r="AL32" s="48"/>
      <c r="AM32" s="105">
        <v>120</v>
      </c>
      <c r="AN32" s="69">
        <f t="shared" si="58"/>
        <v>46293</v>
      </c>
      <c r="AO32" s="107">
        <f t="shared" si="59"/>
        <v>86</v>
      </c>
      <c r="AP32" s="48"/>
      <c r="AQ32" s="111"/>
      <c r="AR32" s="70">
        <f t="shared" si="60"/>
        <v>46293</v>
      </c>
      <c r="AS32" s="107">
        <f t="shared" si="61"/>
        <v>86</v>
      </c>
      <c r="AT32" s="48"/>
      <c r="AU32" s="113">
        <f t="shared" si="62"/>
        <v>46207</v>
      </c>
      <c r="AV32" s="119" t="str" cm="1">
        <f t="array" ref="AV32">IF(OR(G32&gt;$C$6,G32=""),$F$8,INDEX($E$8:$Z$8,MATCH(TRUE,(F32:AA32=""),0)))</f>
        <v>1. Tender Docs &amp; BOQ</v>
      </c>
      <c r="AW32" s="116" t="b">
        <f t="shared" si="63"/>
        <v>0</v>
      </c>
      <c r="AX32" s="71" t="b">
        <f t="shared" si="64"/>
        <v>0</v>
      </c>
      <c r="AY32" s="71" t="b">
        <f t="shared" si="65"/>
        <v>0</v>
      </c>
      <c r="AZ32" s="71" t="b">
        <f t="shared" si="66"/>
        <v>0</v>
      </c>
      <c r="BA32" s="71" t="b">
        <f t="shared" si="67"/>
        <v>0</v>
      </c>
      <c r="BB32" s="71" t="b">
        <f t="shared" si="68"/>
        <v>0</v>
      </c>
      <c r="BC32" s="71" t="b">
        <f t="shared" si="69"/>
        <v>0</v>
      </c>
      <c r="BD32" s="71" t="b">
        <f t="shared" si="70"/>
        <v>0</v>
      </c>
      <c r="BE32" s="71" t="b">
        <f t="shared" si="71"/>
        <v>0</v>
      </c>
      <c r="BF32" s="71" t="b">
        <f t="shared" si="72"/>
        <v>0</v>
      </c>
      <c r="BG32" s="89" t="b">
        <f t="shared" si="73"/>
        <v>0</v>
      </c>
      <c r="BH32" s="146"/>
    </row>
    <row r="33" spans="1:60" ht="26.25" x14ac:dyDescent="0.25">
      <c r="A33" s="56" cm="1">
        <f t="array" ref="A33">SUMPRODUCT(($AV$10:$AV$40&lt;&gt;"")*(ROW($AV$10:$AV$40)&lt;=ROW()))</f>
        <v>17</v>
      </c>
      <c r="B33" s="59"/>
      <c r="C33" s="60" t="s">
        <v>375</v>
      </c>
      <c r="D33" s="59" t="s">
        <v>13</v>
      </c>
      <c r="E33" s="43"/>
      <c r="F33" s="44">
        <f t="shared" si="44"/>
        <v>46198</v>
      </c>
      <c r="G33" s="45"/>
      <c r="H33" s="44">
        <f t="shared" si="45"/>
        <v>46205</v>
      </c>
      <c r="I33" s="45"/>
      <c r="J33" s="44">
        <f t="shared" si="46"/>
        <v>46211</v>
      </c>
      <c r="K33" s="45"/>
      <c r="L33" s="44">
        <f t="shared" si="47"/>
        <v>46214</v>
      </c>
      <c r="M33" s="45"/>
      <c r="N33" s="44">
        <f t="shared" si="48"/>
        <v>46244</v>
      </c>
      <c r="O33" s="45"/>
      <c r="P33" s="44">
        <f t="shared" si="49"/>
        <v>46254</v>
      </c>
      <c r="Q33" s="45"/>
      <c r="R33" s="44">
        <f t="shared" si="50"/>
        <v>46274</v>
      </c>
      <c r="S33" s="45"/>
      <c r="T33" s="44">
        <f t="shared" si="51"/>
        <v>46281</v>
      </c>
      <c r="U33" s="45"/>
      <c r="V33" s="44">
        <f t="shared" si="52"/>
        <v>46288</v>
      </c>
      <c r="W33" s="45"/>
      <c r="X33" s="44">
        <f t="shared" si="53"/>
        <v>46293</v>
      </c>
      <c r="Y33" s="45"/>
      <c r="Z33" s="46">
        <f t="shared" si="54"/>
        <v>46303</v>
      </c>
      <c r="AA33" s="45"/>
      <c r="AB33" s="32">
        <f t="shared" si="55"/>
        <v>181</v>
      </c>
      <c r="AC33" s="16"/>
      <c r="AD33" s="131">
        <f t="shared" si="56"/>
        <v>95</v>
      </c>
      <c r="AE33" s="16"/>
      <c r="AF33" s="96"/>
      <c r="AG33" s="72"/>
      <c r="AH33" s="72">
        <v>9518139</v>
      </c>
      <c r="AI33" s="72"/>
      <c r="AJ33" s="73" t="str">
        <f t="shared" si="57"/>
        <v/>
      </c>
      <c r="AK33" s="101"/>
      <c r="AL33" s="48"/>
      <c r="AM33" s="104">
        <v>120</v>
      </c>
      <c r="AN33" s="74">
        <f t="shared" si="58"/>
        <v>46293</v>
      </c>
      <c r="AO33" s="108">
        <f t="shared" si="59"/>
        <v>86</v>
      </c>
      <c r="AP33" s="48"/>
      <c r="AQ33" s="110"/>
      <c r="AR33" s="75">
        <f t="shared" si="60"/>
        <v>46293</v>
      </c>
      <c r="AS33" s="108">
        <f t="shared" si="61"/>
        <v>86</v>
      </c>
      <c r="AT33" s="48"/>
      <c r="AU33" s="114">
        <f t="shared" si="62"/>
        <v>46207</v>
      </c>
      <c r="AV33" s="120" t="str" cm="1">
        <f t="array" ref="AV33">IF(OR(G33&gt;$C$6,G33=""),$F$8,INDEX($E$8:$Z$8,MATCH(TRUE,(F33:AA33=""),0)))</f>
        <v>1. Tender Docs &amp; BOQ</v>
      </c>
      <c r="AW33" s="117" t="b">
        <f t="shared" si="63"/>
        <v>0</v>
      </c>
      <c r="AX33" s="76" t="b">
        <f t="shared" si="64"/>
        <v>0</v>
      </c>
      <c r="AY33" s="76" t="b">
        <f t="shared" si="65"/>
        <v>0</v>
      </c>
      <c r="AZ33" s="76" t="b">
        <f t="shared" si="66"/>
        <v>0</v>
      </c>
      <c r="BA33" s="76" t="b">
        <f t="shared" si="67"/>
        <v>0</v>
      </c>
      <c r="BB33" s="76" t="b">
        <f t="shared" si="68"/>
        <v>0</v>
      </c>
      <c r="BC33" s="76" t="b">
        <f t="shared" si="69"/>
        <v>0</v>
      </c>
      <c r="BD33" s="76" t="b">
        <f t="shared" si="70"/>
        <v>0</v>
      </c>
      <c r="BE33" s="76" t="b">
        <f t="shared" si="71"/>
        <v>0</v>
      </c>
      <c r="BF33" s="76" t="b">
        <f t="shared" si="72"/>
        <v>0</v>
      </c>
      <c r="BG33" s="90" t="b">
        <f t="shared" si="73"/>
        <v>0</v>
      </c>
      <c r="BH33" s="146"/>
    </row>
    <row r="34" spans="1:60" ht="26.25" x14ac:dyDescent="0.25">
      <c r="A34" s="56" cm="1">
        <f t="array" ref="A34">SUMPRODUCT(($AV$10:$AV$40&lt;&gt;"")*(ROW($AV$10:$AV$40)&lt;=ROW()))</f>
        <v>18</v>
      </c>
      <c r="B34" s="57"/>
      <c r="C34" s="58" t="s">
        <v>299</v>
      </c>
      <c r="D34" s="93" t="s">
        <v>13</v>
      </c>
      <c r="E34" s="16"/>
      <c r="F34" s="29">
        <f t="shared" si="44"/>
        <v>46198</v>
      </c>
      <c r="G34" s="42"/>
      <c r="H34" s="29">
        <f t="shared" si="45"/>
        <v>46205</v>
      </c>
      <c r="I34" s="42"/>
      <c r="J34" s="29">
        <f t="shared" si="46"/>
        <v>46211</v>
      </c>
      <c r="K34" s="42"/>
      <c r="L34" s="29">
        <f t="shared" si="47"/>
        <v>46214</v>
      </c>
      <c r="M34" s="42"/>
      <c r="N34" s="29">
        <f t="shared" si="48"/>
        <v>46244</v>
      </c>
      <c r="O34" s="42"/>
      <c r="P34" s="29">
        <f t="shared" si="49"/>
        <v>46254</v>
      </c>
      <c r="Q34" s="42"/>
      <c r="R34" s="29">
        <f t="shared" si="50"/>
        <v>46274</v>
      </c>
      <c r="S34" s="42"/>
      <c r="T34" s="29">
        <f t="shared" si="51"/>
        <v>46281</v>
      </c>
      <c r="U34" s="42"/>
      <c r="V34" s="29">
        <f t="shared" si="52"/>
        <v>46288</v>
      </c>
      <c r="W34" s="42"/>
      <c r="X34" s="29">
        <f t="shared" si="53"/>
        <v>46293</v>
      </c>
      <c r="Y34" s="42"/>
      <c r="Z34" s="30">
        <f t="shared" si="54"/>
        <v>46303</v>
      </c>
      <c r="AA34" s="42"/>
      <c r="AB34" s="31">
        <f t="shared" si="55"/>
        <v>181</v>
      </c>
      <c r="AC34" s="16"/>
      <c r="AD34" s="131">
        <f t="shared" si="56"/>
        <v>95</v>
      </c>
      <c r="AE34" s="16"/>
      <c r="AF34" s="95"/>
      <c r="AG34" s="67"/>
      <c r="AH34" s="67">
        <v>4427013</v>
      </c>
      <c r="AI34" s="67"/>
      <c r="AJ34" s="68" t="str">
        <f t="shared" si="57"/>
        <v/>
      </c>
      <c r="AK34" s="102"/>
      <c r="AL34" s="48"/>
      <c r="AM34" s="105">
        <v>120</v>
      </c>
      <c r="AN34" s="69">
        <f t="shared" si="58"/>
        <v>46293</v>
      </c>
      <c r="AO34" s="107">
        <f>AN34-AU34</f>
        <v>86</v>
      </c>
      <c r="AP34" s="48"/>
      <c r="AQ34" s="111"/>
      <c r="AR34" s="70">
        <f>IFERROR(WORKDAY.INTL(AN34,AQ34,11),"")</f>
        <v>46293</v>
      </c>
      <c r="AS34" s="107">
        <f>AR34-AU34</f>
        <v>86</v>
      </c>
      <c r="AT34" s="48"/>
      <c r="AU34" s="113">
        <f t="shared" si="62"/>
        <v>46207</v>
      </c>
      <c r="AV34" s="119" t="str" cm="1">
        <f t="array" ref="AV34">IF(OR(G34&gt;$C$6,G34=""),$F$8,INDEX($E$8:$Z$8,MATCH(TRUE,(F34:AA34=""),0)))</f>
        <v>1. Tender Docs &amp; BOQ</v>
      </c>
      <c r="AW34" s="116" t="b">
        <f t="shared" si="63"/>
        <v>0</v>
      </c>
      <c r="AX34" s="71" t="b">
        <f t="shared" si="64"/>
        <v>0</v>
      </c>
      <c r="AY34" s="71" t="b">
        <f t="shared" si="65"/>
        <v>0</v>
      </c>
      <c r="AZ34" s="71" t="b">
        <f t="shared" si="66"/>
        <v>0</v>
      </c>
      <c r="BA34" s="71" t="b">
        <f t="shared" si="67"/>
        <v>0</v>
      </c>
      <c r="BB34" s="71" t="b">
        <f t="shared" si="68"/>
        <v>0</v>
      </c>
      <c r="BC34" s="71" t="b">
        <f t="shared" si="69"/>
        <v>0</v>
      </c>
      <c r="BD34" s="71" t="b">
        <f t="shared" si="70"/>
        <v>0</v>
      </c>
      <c r="BE34" s="71" t="b">
        <f t="shared" si="71"/>
        <v>0</v>
      </c>
      <c r="BF34" s="71" t="b">
        <f t="shared" si="72"/>
        <v>0</v>
      </c>
      <c r="BG34" s="89" t="b">
        <f t="shared" si="73"/>
        <v>0</v>
      </c>
      <c r="BH34" s="146"/>
    </row>
    <row r="35" spans="1:60" ht="26.25" x14ac:dyDescent="0.25">
      <c r="A35" s="56" cm="1">
        <f t="array" ref="A35">SUMPRODUCT(($AV$10:$AV$40&lt;&gt;"")*(ROW($AV$10:$AV$40)&lt;=ROW()))</f>
        <v>19</v>
      </c>
      <c r="B35" s="59"/>
      <c r="C35" s="60" t="s">
        <v>385</v>
      </c>
      <c r="D35" s="59" t="s">
        <v>3</v>
      </c>
      <c r="E35" s="43"/>
      <c r="F35" s="44">
        <f t="shared" si="44"/>
        <v>46198</v>
      </c>
      <c r="G35" s="45"/>
      <c r="H35" s="44">
        <f t="shared" si="45"/>
        <v>46205</v>
      </c>
      <c r="I35" s="45"/>
      <c r="J35" s="44">
        <f t="shared" si="46"/>
        <v>46211</v>
      </c>
      <c r="K35" s="45"/>
      <c r="L35" s="44">
        <f t="shared" si="47"/>
        <v>46214</v>
      </c>
      <c r="M35" s="45"/>
      <c r="N35" s="44">
        <f t="shared" si="48"/>
        <v>46244</v>
      </c>
      <c r="O35" s="45"/>
      <c r="P35" s="44">
        <f t="shared" si="49"/>
        <v>46254</v>
      </c>
      <c r="Q35" s="45"/>
      <c r="R35" s="44">
        <f t="shared" si="50"/>
        <v>46274</v>
      </c>
      <c r="S35" s="45"/>
      <c r="T35" s="44">
        <f t="shared" si="51"/>
        <v>46281</v>
      </c>
      <c r="U35" s="45"/>
      <c r="V35" s="44">
        <f t="shared" si="52"/>
        <v>46288</v>
      </c>
      <c r="W35" s="45"/>
      <c r="X35" s="44">
        <f t="shared" si="53"/>
        <v>46293</v>
      </c>
      <c r="Y35" s="45"/>
      <c r="Z35" s="46">
        <f t="shared" si="54"/>
        <v>46303</v>
      </c>
      <c r="AA35" s="45"/>
      <c r="AB35" s="32">
        <f t="shared" si="55"/>
        <v>181</v>
      </c>
      <c r="AC35" s="16"/>
      <c r="AD35" s="131">
        <f t="shared" si="56"/>
        <v>95</v>
      </c>
      <c r="AE35" s="16"/>
      <c r="AF35" s="96"/>
      <c r="AG35" s="72"/>
      <c r="AH35" s="72">
        <v>1992117</v>
      </c>
      <c r="AI35" s="72"/>
      <c r="AJ35" s="73" t="str">
        <f t="shared" si="57"/>
        <v/>
      </c>
      <c r="AK35" s="101"/>
      <c r="AL35" s="48"/>
      <c r="AM35" s="104">
        <v>120</v>
      </c>
      <c r="AN35" s="74">
        <f t="shared" si="58"/>
        <v>46293</v>
      </c>
      <c r="AO35" s="108">
        <f t="shared" ref="AO35:AO40" si="74">AN35-AU35</f>
        <v>86</v>
      </c>
      <c r="AP35" s="48"/>
      <c r="AQ35" s="110"/>
      <c r="AR35" s="75">
        <f t="shared" ref="AR35:AR40" si="75">IFERROR(WORKDAY.INTL(AN35,AQ35,11),"")</f>
        <v>46293</v>
      </c>
      <c r="AS35" s="108">
        <f t="shared" ref="AS35:AS40" si="76">AR35-AU35</f>
        <v>86</v>
      </c>
      <c r="AT35" s="48"/>
      <c r="AU35" s="114">
        <f t="shared" si="62"/>
        <v>46207</v>
      </c>
      <c r="AV35" s="120" t="str" cm="1">
        <f t="array" ref="AV35">IF(OR(G35&gt;$C$6,G35=""),$F$8,INDEX($E$8:$Z$8,MATCH(TRUE,(F35:AA35=""),0)))</f>
        <v>1. Tender Docs &amp; BOQ</v>
      </c>
      <c r="AW35" s="117" t="b">
        <f t="shared" si="63"/>
        <v>0</v>
      </c>
      <c r="AX35" s="76" t="b">
        <f t="shared" si="64"/>
        <v>0</v>
      </c>
      <c r="AY35" s="76" t="b">
        <f t="shared" si="65"/>
        <v>0</v>
      </c>
      <c r="AZ35" s="76" t="b">
        <f t="shared" si="66"/>
        <v>0</v>
      </c>
      <c r="BA35" s="76" t="b">
        <f t="shared" si="67"/>
        <v>0</v>
      </c>
      <c r="BB35" s="76" t="b">
        <f t="shared" si="68"/>
        <v>0</v>
      </c>
      <c r="BC35" s="76" t="b">
        <f t="shared" si="69"/>
        <v>0</v>
      </c>
      <c r="BD35" s="76" t="b">
        <f t="shared" si="70"/>
        <v>0</v>
      </c>
      <c r="BE35" s="76" t="b">
        <f t="shared" si="71"/>
        <v>0</v>
      </c>
      <c r="BF35" s="76" t="b">
        <f t="shared" si="72"/>
        <v>0</v>
      </c>
      <c r="BG35" s="90" t="b">
        <f t="shared" si="73"/>
        <v>0</v>
      </c>
      <c r="BH35" s="146"/>
    </row>
    <row r="36" spans="1:60" ht="26.25" x14ac:dyDescent="0.25">
      <c r="A36" s="56" cm="1">
        <f t="array" ref="A36">SUMPRODUCT(($AV$10:$AV$40&lt;&gt;"")*(ROW($AV$10:$AV$40)&lt;=ROW()))</f>
        <v>20</v>
      </c>
      <c r="B36" s="57"/>
      <c r="C36" s="58" t="s">
        <v>267</v>
      </c>
      <c r="D36" s="93" t="s">
        <v>13</v>
      </c>
      <c r="E36" s="16"/>
      <c r="F36" s="29">
        <f t="shared" si="44"/>
        <v>46378</v>
      </c>
      <c r="G36" s="42"/>
      <c r="H36" s="29">
        <f t="shared" si="45"/>
        <v>46385</v>
      </c>
      <c r="I36" s="42"/>
      <c r="J36" s="29">
        <f t="shared" si="46"/>
        <v>46391</v>
      </c>
      <c r="K36" s="42"/>
      <c r="L36" s="29">
        <f t="shared" si="47"/>
        <v>46394</v>
      </c>
      <c r="M36" s="42"/>
      <c r="N36" s="29">
        <f t="shared" si="48"/>
        <v>46424</v>
      </c>
      <c r="O36" s="42"/>
      <c r="P36" s="29">
        <f t="shared" si="49"/>
        <v>46434</v>
      </c>
      <c r="Q36" s="42"/>
      <c r="R36" s="29">
        <f t="shared" si="50"/>
        <v>46454</v>
      </c>
      <c r="S36" s="42"/>
      <c r="T36" s="29">
        <f t="shared" si="51"/>
        <v>46461</v>
      </c>
      <c r="U36" s="42"/>
      <c r="V36" s="29">
        <f t="shared" si="52"/>
        <v>46468</v>
      </c>
      <c r="W36" s="42"/>
      <c r="X36" s="29">
        <f t="shared" si="53"/>
        <v>46473</v>
      </c>
      <c r="Y36" s="42"/>
      <c r="Z36" s="30">
        <f t="shared" si="54"/>
        <v>46483</v>
      </c>
      <c r="AA36" s="42"/>
      <c r="AB36" s="31">
        <f t="shared" si="55"/>
        <v>361</v>
      </c>
      <c r="AC36" s="16"/>
      <c r="AD36" s="131">
        <f t="shared" si="56"/>
        <v>95</v>
      </c>
      <c r="AE36" s="16"/>
      <c r="AF36" s="95"/>
      <c r="AG36" s="67"/>
      <c r="AH36" s="67">
        <v>2213562</v>
      </c>
      <c r="AI36" s="67"/>
      <c r="AJ36" s="68" t="str">
        <f t="shared" si="57"/>
        <v/>
      </c>
      <c r="AK36" s="102"/>
      <c r="AL36" s="48"/>
      <c r="AM36" s="105">
        <v>300</v>
      </c>
      <c r="AN36" s="69">
        <f t="shared" si="58"/>
        <v>46473</v>
      </c>
      <c r="AO36" s="107">
        <f t="shared" si="74"/>
        <v>266</v>
      </c>
      <c r="AP36" s="48"/>
      <c r="AQ36" s="111"/>
      <c r="AR36" s="70">
        <f t="shared" si="75"/>
        <v>46473</v>
      </c>
      <c r="AS36" s="107">
        <f t="shared" si="76"/>
        <v>266</v>
      </c>
      <c r="AT36" s="48"/>
      <c r="AU36" s="113">
        <f t="shared" si="62"/>
        <v>46207</v>
      </c>
      <c r="AV36" s="119" t="str" cm="1">
        <f t="array" ref="AV36">IF(OR(G36&gt;$C$6,G36=""),$F$8,INDEX($E$8:$Z$8,MATCH(TRUE,(F36:AA36=""),0)))</f>
        <v>1. Tender Docs &amp; BOQ</v>
      </c>
      <c r="AW36" s="116" t="b">
        <f t="shared" si="63"/>
        <v>0</v>
      </c>
      <c r="AX36" s="71" t="b">
        <f t="shared" si="64"/>
        <v>0</v>
      </c>
      <c r="AY36" s="71" t="b">
        <f t="shared" si="65"/>
        <v>0</v>
      </c>
      <c r="AZ36" s="71" t="b">
        <f t="shared" si="66"/>
        <v>0</v>
      </c>
      <c r="BA36" s="71" t="b">
        <f t="shared" si="67"/>
        <v>0</v>
      </c>
      <c r="BB36" s="71" t="b">
        <f t="shared" si="68"/>
        <v>0</v>
      </c>
      <c r="BC36" s="71" t="b">
        <f t="shared" si="69"/>
        <v>0</v>
      </c>
      <c r="BD36" s="71" t="b">
        <f t="shared" si="70"/>
        <v>0</v>
      </c>
      <c r="BE36" s="71" t="b">
        <f t="shared" si="71"/>
        <v>0</v>
      </c>
      <c r="BF36" s="71" t="b">
        <f t="shared" si="72"/>
        <v>0</v>
      </c>
      <c r="BG36" s="89" t="b">
        <f t="shared" si="73"/>
        <v>0</v>
      </c>
      <c r="BH36" s="146"/>
    </row>
    <row r="37" spans="1:60" ht="26.25" x14ac:dyDescent="0.25">
      <c r="A37" s="56" cm="1">
        <f t="array" ref="A37">SUMPRODUCT(($AV$10:$AV$40&lt;&gt;"")*(ROW($AV$10:$AV$40)&lt;=ROW()))</f>
        <v>21</v>
      </c>
      <c r="B37" s="59"/>
      <c r="C37" s="60" t="s">
        <v>376</v>
      </c>
      <c r="D37" s="59" t="s">
        <v>13</v>
      </c>
      <c r="E37" s="43"/>
      <c r="F37" s="44">
        <f t="shared" si="44"/>
        <v>46378</v>
      </c>
      <c r="G37" s="45"/>
      <c r="H37" s="44">
        <f t="shared" si="45"/>
        <v>46385</v>
      </c>
      <c r="I37" s="45"/>
      <c r="J37" s="44">
        <f t="shared" si="46"/>
        <v>46391</v>
      </c>
      <c r="K37" s="45"/>
      <c r="L37" s="44">
        <f t="shared" si="47"/>
        <v>46394</v>
      </c>
      <c r="M37" s="45"/>
      <c r="N37" s="44">
        <f t="shared" si="48"/>
        <v>46424</v>
      </c>
      <c r="O37" s="45"/>
      <c r="P37" s="44">
        <f t="shared" si="49"/>
        <v>46434</v>
      </c>
      <c r="Q37" s="45"/>
      <c r="R37" s="44">
        <f t="shared" si="50"/>
        <v>46454</v>
      </c>
      <c r="S37" s="45"/>
      <c r="T37" s="44">
        <f t="shared" si="51"/>
        <v>46461</v>
      </c>
      <c r="U37" s="45"/>
      <c r="V37" s="44">
        <f t="shared" si="52"/>
        <v>46468</v>
      </c>
      <c r="W37" s="45"/>
      <c r="X37" s="44">
        <f t="shared" si="53"/>
        <v>46473</v>
      </c>
      <c r="Y37" s="45"/>
      <c r="Z37" s="46">
        <f t="shared" si="54"/>
        <v>46483</v>
      </c>
      <c r="AA37" s="45"/>
      <c r="AB37" s="32">
        <f t="shared" si="55"/>
        <v>361</v>
      </c>
      <c r="AC37" s="16"/>
      <c r="AD37" s="131">
        <f t="shared" si="56"/>
        <v>95</v>
      </c>
      <c r="AE37" s="16"/>
      <c r="AF37" s="96"/>
      <c r="AG37" s="72"/>
      <c r="AH37" s="72">
        <v>553335</v>
      </c>
      <c r="AI37" s="72"/>
      <c r="AJ37" s="73" t="str">
        <f t="shared" si="57"/>
        <v/>
      </c>
      <c r="AK37" s="101"/>
      <c r="AL37" s="48"/>
      <c r="AM37" s="104">
        <v>300</v>
      </c>
      <c r="AN37" s="74">
        <f t="shared" si="58"/>
        <v>46473</v>
      </c>
      <c r="AO37" s="108">
        <f t="shared" si="74"/>
        <v>266</v>
      </c>
      <c r="AP37" s="48"/>
      <c r="AQ37" s="110"/>
      <c r="AR37" s="75">
        <f t="shared" si="75"/>
        <v>46473</v>
      </c>
      <c r="AS37" s="108">
        <f t="shared" si="76"/>
        <v>266</v>
      </c>
      <c r="AT37" s="48"/>
      <c r="AU37" s="114">
        <f t="shared" si="62"/>
        <v>46207</v>
      </c>
      <c r="AV37" s="120" t="str" cm="1">
        <f t="array" ref="AV37">IF(OR(G37&gt;$C$6,G37=""),$F$8,INDEX($E$8:$Z$8,MATCH(TRUE,(F37:AA37=""),0)))</f>
        <v>1. Tender Docs &amp; BOQ</v>
      </c>
      <c r="AW37" s="117" t="b">
        <f t="shared" si="63"/>
        <v>0</v>
      </c>
      <c r="AX37" s="76" t="b">
        <f t="shared" si="64"/>
        <v>0</v>
      </c>
      <c r="AY37" s="76" t="b">
        <f t="shared" si="65"/>
        <v>0</v>
      </c>
      <c r="AZ37" s="76" t="b">
        <f t="shared" si="66"/>
        <v>0</v>
      </c>
      <c r="BA37" s="76" t="b">
        <f t="shared" si="67"/>
        <v>0</v>
      </c>
      <c r="BB37" s="76" t="b">
        <f t="shared" si="68"/>
        <v>0</v>
      </c>
      <c r="BC37" s="76" t="b">
        <f t="shared" si="69"/>
        <v>0</v>
      </c>
      <c r="BD37" s="76" t="b">
        <f t="shared" si="70"/>
        <v>0</v>
      </c>
      <c r="BE37" s="76" t="b">
        <f t="shared" si="71"/>
        <v>0</v>
      </c>
      <c r="BF37" s="76" t="b">
        <f t="shared" si="72"/>
        <v>0</v>
      </c>
      <c r="BG37" s="90" t="b">
        <f t="shared" si="73"/>
        <v>0</v>
      </c>
      <c r="BH37" s="146"/>
    </row>
    <row r="38" spans="1:60" ht="26.25" x14ac:dyDescent="0.25">
      <c r="A38" s="56" cm="1">
        <f t="array" ref="A38">SUMPRODUCT(($AV$10:$AV$40&lt;&gt;"")*(ROW($AV$10:$AV$40)&lt;=ROW()))</f>
        <v>22</v>
      </c>
      <c r="B38" s="57"/>
      <c r="C38" s="58" t="s">
        <v>386</v>
      </c>
      <c r="D38" s="93" t="s">
        <v>13</v>
      </c>
      <c r="E38" s="16"/>
      <c r="F38" s="29">
        <f t="shared" si="44"/>
        <v>46378</v>
      </c>
      <c r="G38" s="42"/>
      <c r="H38" s="29">
        <f t="shared" si="45"/>
        <v>46385</v>
      </c>
      <c r="I38" s="42"/>
      <c r="J38" s="29">
        <f t="shared" si="46"/>
        <v>46391</v>
      </c>
      <c r="K38" s="42"/>
      <c r="L38" s="29">
        <f t="shared" si="47"/>
        <v>46394</v>
      </c>
      <c r="M38" s="42"/>
      <c r="N38" s="29">
        <f t="shared" si="48"/>
        <v>46424</v>
      </c>
      <c r="O38" s="42"/>
      <c r="P38" s="29">
        <f t="shared" si="49"/>
        <v>46434</v>
      </c>
      <c r="Q38" s="42"/>
      <c r="R38" s="29">
        <f t="shared" si="50"/>
        <v>46454</v>
      </c>
      <c r="S38" s="42"/>
      <c r="T38" s="29">
        <f t="shared" si="51"/>
        <v>46461</v>
      </c>
      <c r="U38" s="42"/>
      <c r="V38" s="29">
        <f t="shared" si="52"/>
        <v>46468</v>
      </c>
      <c r="W38" s="42"/>
      <c r="X38" s="29">
        <f t="shared" si="53"/>
        <v>46473</v>
      </c>
      <c r="Y38" s="42"/>
      <c r="Z38" s="30">
        <f t="shared" si="54"/>
        <v>46483</v>
      </c>
      <c r="AA38" s="42"/>
      <c r="AB38" s="31">
        <f t="shared" si="55"/>
        <v>361</v>
      </c>
      <c r="AC38" s="16"/>
      <c r="AD38" s="131">
        <f t="shared" si="56"/>
        <v>95</v>
      </c>
      <c r="AE38" s="16"/>
      <c r="AF38" s="97"/>
      <c r="AG38" s="67"/>
      <c r="AH38" s="67">
        <v>442668</v>
      </c>
      <c r="AI38" s="67"/>
      <c r="AJ38" s="68" t="str">
        <f t="shared" si="57"/>
        <v/>
      </c>
      <c r="AK38" s="102"/>
      <c r="AL38" s="48"/>
      <c r="AM38" s="105">
        <v>300</v>
      </c>
      <c r="AN38" s="69">
        <f t="shared" si="58"/>
        <v>46473</v>
      </c>
      <c r="AO38" s="107">
        <f t="shared" si="74"/>
        <v>266</v>
      </c>
      <c r="AP38" s="48"/>
      <c r="AQ38" s="111"/>
      <c r="AR38" s="70">
        <f t="shared" si="75"/>
        <v>46473</v>
      </c>
      <c r="AS38" s="107">
        <f t="shared" si="76"/>
        <v>266</v>
      </c>
      <c r="AT38" s="48"/>
      <c r="AU38" s="113">
        <f t="shared" si="62"/>
        <v>46207</v>
      </c>
      <c r="AV38" s="119" t="str" cm="1">
        <f t="array" ref="AV38">IF(OR(G38&gt;$C$6,G38=""),$F$8,INDEX($E$8:$Z$8,MATCH(TRUE,(F38:AA38=""),0)))</f>
        <v>1. Tender Docs &amp; BOQ</v>
      </c>
      <c r="AW38" s="116" t="b">
        <f t="shared" si="63"/>
        <v>0</v>
      </c>
      <c r="AX38" s="71" t="b">
        <f t="shared" si="64"/>
        <v>0</v>
      </c>
      <c r="AY38" s="71" t="b">
        <f t="shared" si="65"/>
        <v>0</v>
      </c>
      <c r="AZ38" s="71" t="b">
        <f t="shared" si="66"/>
        <v>0</v>
      </c>
      <c r="BA38" s="71" t="b">
        <f t="shared" si="67"/>
        <v>0</v>
      </c>
      <c r="BB38" s="71" t="b">
        <f t="shared" si="68"/>
        <v>0</v>
      </c>
      <c r="BC38" s="71" t="b">
        <f t="shared" si="69"/>
        <v>0</v>
      </c>
      <c r="BD38" s="71" t="b">
        <f t="shared" si="70"/>
        <v>0</v>
      </c>
      <c r="BE38" s="71" t="b">
        <f t="shared" si="71"/>
        <v>0</v>
      </c>
      <c r="BF38" s="71" t="b">
        <f t="shared" si="72"/>
        <v>0</v>
      </c>
      <c r="BG38" s="89" t="b">
        <f t="shared" si="73"/>
        <v>0</v>
      </c>
      <c r="BH38" s="146"/>
    </row>
    <row r="39" spans="1:60" ht="26.25" x14ac:dyDescent="0.25">
      <c r="A39" s="56" cm="1">
        <f t="array" ref="A39">SUMPRODUCT(($AV$10:$AV$40&lt;&gt;"")*(ROW($AV$10:$AV$40)&lt;=ROW()))</f>
        <v>23</v>
      </c>
      <c r="B39" s="59"/>
      <c r="C39" s="60" t="s">
        <v>378</v>
      </c>
      <c r="D39" s="59" t="s">
        <v>13</v>
      </c>
      <c r="E39" s="43"/>
      <c r="F39" s="44">
        <f t="shared" si="44"/>
        <v>46378</v>
      </c>
      <c r="G39" s="45"/>
      <c r="H39" s="44">
        <f t="shared" si="45"/>
        <v>46385</v>
      </c>
      <c r="I39" s="45"/>
      <c r="J39" s="44">
        <f t="shared" si="46"/>
        <v>46391</v>
      </c>
      <c r="K39" s="45"/>
      <c r="L39" s="44">
        <f t="shared" si="47"/>
        <v>46394</v>
      </c>
      <c r="M39" s="45"/>
      <c r="N39" s="44">
        <f t="shared" si="48"/>
        <v>46424</v>
      </c>
      <c r="O39" s="45"/>
      <c r="P39" s="44">
        <f t="shared" si="49"/>
        <v>46434</v>
      </c>
      <c r="Q39" s="45"/>
      <c r="R39" s="44">
        <f t="shared" si="50"/>
        <v>46454</v>
      </c>
      <c r="S39" s="45"/>
      <c r="T39" s="44">
        <f t="shared" si="51"/>
        <v>46461</v>
      </c>
      <c r="U39" s="45"/>
      <c r="V39" s="44">
        <f t="shared" si="52"/>
        <v>46468</v>
      </c>
      <c r="W39" s="45"/>
      <c r="X39" s="44">
        <f t="shared" si="53"/>
        <v>46473</v>
      </c>
      <c r="Y39" s="45"/>
      <c r="Z39" s="46">
        <f t="shared" si="54"/>
        <v>46483</v>
      </c>
      <c r="AA39" s="45"/>
      <c r="AB39" s="32">
        <f t="shared" si="55"/>
        <v>361</v>
      </c>
      <c r="AC39" s="16"/>
      <c r="AD39" s="131">
        <f t="shared" si="56"/>
        <v>95</v>
      </c>
      <c r="AE39" s="16"/>
      <c r="AF39" s="96"/>
      <c r="AG39" s="72"/>
      <c r="AH39" s="72">
        <v>61938</v>
      </c>
      <c r="AI39" s="72"/>
      <c r="AJ39" s="73" t="str">
        <f t="shared" si="57"/>
        <v/>
      </c>
      <c r="AK39" s="101"/>
      <c r="AL39" s="48"/>
      <c r="AM39" s="104">
        <v>300</v>
      </c>
      <c r="AN39" s="74">
        <f t="shared" si="58"/>
        <v>46473</v>
      </c>
      <c r="AO39" s="108">
        <f t="shared" si="74"/>
        <v>266</v>
      </c>
      <c r="AP39" s="48"/>
      <c r="AQ39" s="110"/>
      <c r="AR39" s="75">
        <f t="shared" si="75"/>
        <v>46473</v>
      </c>
      <c r="AS39" s="108">
        <f t="shared" si="76"/>
        <v>266</v>
      </c>
      <c r="AT39" s="48"/>
      <c r="AU39" s="114">
        <f t="shared" si="62"/>
        <v>46207</v>
      </c>
      <c r="AV39" s="120" t="str" cm="1">
        <f t="array" ref="AV39">IF(OR(G39&gt;$C$6,G39=""),$F$8,INDEX($E$8:$Z$8,MATCH(TRUE,(F39:AA39=""),0)))</f>
        <v>1. Tender Docs &amp; BOQ</v>
      </c>
      <c r="AW39" s="117" t="b">
        <f t="shared" si="63"/>
        <v>0</v>
      </c>
      <c r="AX39" s="76" t="b">
        <f t="shared" si="64"/>
        <v>0</v>
      </c>
      <c r="AY39" s="76" t="b">
        <f t="shared" si="65"/>
        <v>0</v>
      </c>
      <c r="AZ39" s="76" t="b">
        <f t="shared" si="66"/>
        <v>0</v>
      </c>
      <c r="BA39" s="76" t="b">
        <f t="shared" si="67"/>
        <v>0</v>
      </c>
      <c r="BB39" s="76" t="b">
        <f t="shared" si="68"/>
        <v>0</v>
      </c>
      <c r="BC39" s="76" t="b">
        <f t="shared" si="69"/>
        <v>0</v>
      </c>
      <c r="BD39" s="76" t="b">
        <f t="shared" si="70"/>
        <v>0</v>
      </c>
      <c r="BE39" s="76" t="b">
        <f t="shared" si="71"/>
        <v>0</v>
      </c>
      <c r="BF39" s="76" t="b">
        <f t="shared" si="72"/>
        <v>0</v>
      </c>
      <c r="BG39" s="90" t="b">
        <f t="shared" si="73"/>
        <v>0</v>
      </c>
      <c r="BH39" s="146"/>
    </row>
    <row r="40" spans="1:60" ht="26.25" x14ac:dyDescent="0.25">
      <c r="A40" s="56" cm="1">
        <f t="array" ref="A40">SUMPRODUCT(($AV$10:$AV$40&lt;&gt;"")*(ROW($AV$10:$AV$40)&lt;=ROW()))</f>
        <v>24</v>
      </c>
      <c r="B40" s="57"/>
      <c r="C40" s="58" t="s">
        <v>379</v>
      </c>
      <c r="D40" s="93" t="s">
        <v>13</v>
      </c>
      <c r="E40" s="16"/>
      <c r="F40" s="29">
        <f t="shared" si="44"/>
        <v>46378</v>
      </c>
      <c r="G40" s="42"/>
      <c r="H40" s="29">
        <f t="shared" si="45"/>
        <v>46385</v>
      </c>
      <c r="I40" s="42"/>
      <c r="J40" s="29">
        <f t="shared" si="46"/>
        <v>46391</v>
      </c>
      <c r="K40" s="42"/>
      <c r="L40" s="29">
        <f t="shared" si="47"/>
        <v>46394</v>
      </c>
      <c r="M40" s="42"/>
      <c r="N40" s="29">
        <f t="shared" si="48"/>
        <v>46424</v>
      </c>
      <c r="O40" s="42"/>
      <c r="P40" s="29">
        <f t="shared" si="49"/>
        <v>46434</v>
      </c>
      <c r="Q40" s="42"/>
      <c r="R40" s="29">
        <f t="shared" si="50"/>
        <v>46454</v>
      </c>
      <c r="S40" s="42"/>
      <c r="T40" s="29">
        <f t="shared" si="51"/>
        <v>46461</v>
      </c>
      <c r="U40" s="42"/>
      <c r="V40" s="29">
        <f t="shared" si="52"/>
        <v>46468</v>
      </c>
      <c r="W40" s="42"/>
      <c r="X40" s="29">
        <f t="shared" si="53"/>
        <v>46473</v>
      </c>
      <c r="Y40" s="42"/>
      <c r="Z40" s="30">
        <f t="shared" si="54"/>
        <v>46483</v>
      </c>
      <c r="AA40" s="42"/>
      <c r="AB40" s="31">
        <f t="shared" si="55"/>
        <v>361</v>
      </c>
      <c r="AC40" s="16"/>
      <c r="AD40" s="131">
        <f t="shared" si="56"/>
        <v>95</v>
      </c>
      <c r="AE40" s="16"/>
      <c r="AF40" s="95"/>
      <c r="AG40" s="67"/>
      <c r="AH40" s="67">
        <v>1106781</v>
      </c>
      <c r="AI40" s="67"/>
      <c r="AJ40" s="68" t="str">
        <f t="shared" si="57"/>
        <v/>
      </c>
      <c r="AK40" s="102"/>
      <c r="AL40" s="48"/>
      <c r="AM40" s="105">
        <v>300</v>
      </c>
      <c r="AN40" s="69">
        <f t="shared" si="58"/>
        <v>46473</v>
      </c>
      <c r="AO40" s="107">
        <f t="shared" si="74"/>
        <v>266</v>
      </c>
      <c r="AP40" s="48"/>
      <c r="AQ40" s="111"/>
      <c r="AR40" s="70">
        <f t="shared" si="75"/>
        <v>46473</v>
      </c>
      <c r="AS40" s="107">
        <f t="shared" si="76"/>
        <v>266</v>
      </c>
      <c r="AT40" s="48"/>
      <c r="AU40" s="113">
        <f t="shared" si="62"/>
        <v>46207</v>
      </c>
      <c r="AV40" s="119" t="str" cm="1">
        <f t="array" ref="AV40">IF(OR(G40&gt;$C$6,G40=""),$F$8,INDEX($E$8:$Z$8,MATCH(TRUE,(F40:AA40=""),0)))</f>
        <v>1. Tender Docs &amp; BOQ</v>
      </c>
      <c r="AW40" s="116" t="b">
        <f t="shared" si="63"/>
        <v>0</v>
      </c>
      <c r="AX40" s="71" t="b">
        <f t="shared" si="64"/>
        <v>0</v>
      </c>
      <c r="AY40" s="71" t="b">
        <f t="shared" si="65"/>
        <v>0</v>
      </c>
      <c r="AZ40" s="71" t="b">
        <f t="shared" si="66"/>
        <v>0</v>
      </c>
      <c r="BA40" s="71" t="b">
        <f t="shared" si="67"/>
        <v>0</v>
      </c>
      <c r="BB40" s="71" t="b">
        <f t="shared" si="68"/>
        <v>0</v>
      </c>
      <c r="BC40" s="71" t="b">
        <f t="shared" si="69"/>
        <v>0</v>
      </c>
      <c r="BD40" s="71" t="b">
        <f t="shared" si="70"/>
        <v>0</v>
      </c>
      <c r="BE40" s="71" t="b">
        <f t="shared" si="71"/>
        <v>0</v>
      </c>
      <c r="BF40" s="71" t="b">
        <f t="shared" si="72"/>
        <v>0</v>
      </c>
      <c r="BG40" s="89" t="b">
        <f t="shared" si="73"/>
        <v>0</v>
      </c>
      <c r="BH40" s="146"/>
    </row>
    <row r="41" spans="1:60" ht="26.25" x14ac:dyDescent="0.25">
      <c r="A41" s="8"/>
      <c r="B41" s="8"/>
      <c r="C41" s="34" t="s">
        <v>189</v>
      </c>
      <c r="D41" s="100"/>
      <c r="E41" s="16"/>
      <c r="F41" s="123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124"/>
      <c r="AC41" s="16"/>
      <c r="AD41" s="130"/>
      <c r="AE41" s="16"/>
      <c r="AF41" s="99">
        <f>SUM(AF10:AF40)</f>
        <v>0</v>
      </c>
      <c r="AG41" s="10">
        <f>SUM(AG10:AG40)</f>
        <v>0</v>
      </c>
      <c r="AH41" s="10">
        <f>SUM(AH10:AH40)</f>
        <v>588986535</v>
      </c>
      <c r="AI41" s="10">
        <f>SUM(AI10:AI40)</f>
        <v>0</v>
      </c>
      <c r="AJ41" s="10">
        <f>SUM(AJ10:AJ40)</f>
        <v>0</v>
      </c>
      <c r="AK41" s="9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92"/>
      <c r="BH41" s="48"/>
    </row>
  </sheetData>
  <sheetProtection formatColumns="0" formatRows="0" autoFilter="0"/>
  <mergeCells count="75">
    <mergeCell ref="AU7:AU9"/>
    <mergeCell ref="AG7:AG9"/>
    <mergeCell ref="AH7:AH9"/>
    <mergeCell ref="AI7:AI9"/>
    <mergeCell ref="AJ7:AJ9"/>
    <mergeCell ref="AK7:AK9"/>
    <mergeCell ref="AN7:AN9"/>
    <mergeCell ref="AO7:AO9"/>
    <mergeCell ref="AQ7:AQ9"/>
    <mergeCell ref="AR7:AR9"/>
    <mergeCell ref="AS7:AS9"/>
    <mergeCell ref="AM7:AM9"/>
    <mergeCell ref="BF7:BF9"/>
    <mergeCell ref="BG7:BG9"/>
    <mergeCell ref="AV7:AV9"/>
    <mergeCell ref="AW7:AW9"/>
    <mergeCell ref="AX7:AX9"/>
    <mergeCell ref="AY7:AY9"/>
    <mergeCell ref="AZ7:AZ9"/>
    <mergeCell ref="BA7:BA9"/>
    <mergeCell ref="BB7:BB9"/>
    <mergeCell ref="BC7:BC9"/>
    <mergeCell ref="BD7:BD9"/>
    <mergeCell ref="BE7:BE9"/>
    <mergeCell ref="AF7:AF9"/>
    <mergeCell ref="V8:W8"/>
    <mergeCell ref="X8:Y8"/>
    <mergeCell ref="Z8:AA8"/>
    <mergeCell ref="T7:U7"/>
    <mergeCell ref="V7:W7"/>
    <mergeCell ref="X7:Y7"/>
    <mergeCell ref="Z7:AA7"/>
    <mergeCell ref="AB7:AB9"/>
    <mergeCell ref="AD7:AD9"/>
    <mergeCell ref="A7:A9"/>
    <mergeCell ref="B7:B9"/>
    <mergeCell ref="C7:C9"/>
    <mergeCell ref="D7:D9"/>
    <mergeCell ref="F7:G7"/>
    <mergeCell ref="H7:I7"/>
    <mergeCell ref="F8:G8"/>
    <mergeCell ref="H8:I8"/>
    <mergeCell ref="J7:K7"/>
    <mergeCell ref="L7:M7"/>
    <mergeCell ref="L8:M8"/>
    <mergeCell ref="N7:O7"/>
    <mergeCell ref="P7:Q7"/>
    <mergeCell ref="R7:S7"/>
    <mergeCell ref="T8:U8"/>
    <mergeCell ref="J8:K8"/>
    <mergeCell ref="N8:O8"/>
    <mergeCell ref="P8:Q8"/>
    <mergeCell ref="R8:S8"/>
    <mergeCell ref="H3:H4"/>
    <mergeCell ref="I3:I4"/>
    <mergeCell ref="J3:J4"/>
    <mergeCell ref="K3:K4"/>
    <mergeCell ref="L3:L4"/>
    <mergeCell ref="M3:N4"/>
    <mergeCell ref="I1:I2"/>
    <mergeCell ref="J1:J2"/>
    <mergeCell ref="K1:K2"/>
    <mergeCell ref="L1:L2"/>
    <mergeCell ref="M1:N2"/>
    <mergeCell ref="A3:B4"/>
    <mergeCell ref="C3:C4"/>
    <mergeCell ref="D3:D4"/>
    <mergeCell ref="F3:F4"/>
    <mergeCell ref="G3:G4"/>
    <mergeCell ref="H1:H2"/>
    <mergeCell ref="A1:B2"/>
    <mergeCell ref="C1:C2"/>
    <mergeCell ref="D1:D2"/>
    <mergeCell ref="F1:F2"/>
    <mergeCell ref="G1:G2"/>
  </mergeCells>
  <conditionalFormatting sqref="G11:G12 I11:I12 K11:K12 M11:M12 O11:O12 Q11:Q12 S11:S12 U11:U12 W11:W12 Y11:Y12 AA11:AA12 G14 I14 K14 M14 O14 Q14 S14 U14 W14 Y14 AA14 G16:G19 I16:I19 K16:K19 M16:M19 O16:O19 Q16:Q19 S16:S19 U16:U19 W16:W19 Y16:Y19 AA16:AA19 G21:G23 I21:I23 K21:K23 M21:M23 O21:O23 Q21:Q23 S21:S23 U21:U23 W21:W23 Y21:Y23 AA21:AA23 G25:G26 I25:I26 K25:K26 M25:M26 O25:O26 Q25:Q26 S25:S26 U25:U26 W25:W26 Y25:Y26 AA25:AA26 G28:G29 I28:I29 K28:K29 M28:M29 O28:O29 Q28:Q29 S28:S29 U28:U29 W28:W29 Y28:Y29 AA28:AA29 G31:G40 I31:I40 K31:K40 M31:M40 O31:O40 Q31:Q40 S31:S40 U31:U40 W31:W40 Y31:Y40 AA31:AA40">
    <cfRule type="cellIs" dxfId="54" priority="6" operator="between">
      <formula>1</formula>
      <formula>$C$6</formula>
    </cfRule>
  </conditionalFormatting>
  <conditionalFormatting sqref="AB10:AB41 AO11:AO12 AS11:AS12 AO14 AS14 AO21:AO23 AS21:AS23">
    <cfRule type="cellIs" dxfId="53" priority="10" operator="lessThan">
      <formula>0</formula>
    </cfRule>
  </conditionalFormatting>
  <conditionalFormatting sqref="AO16:AO19 AS16:AS19 AO25:AO26 AS25:AS26 AO28:AO29 AS28:AS29 AO31:AO40 AS31:AS40">
    <cfRule type="cellIs" dxfId="52" priority="11" operator="lessThan">
      <formula>0</formula>
    </cfRule>
  </conditionalFormatting>
  <conditionalFormatting sqref="AW11:BG12 BB13:BG15 AW14:BG14 AW16:BG19 BB20:BG20 AW21:BG23 BB24:BG24 AW25:BG26 BB27:BG27 AW28:BG29 BB30:BG30 AW31:BG40 AL41:BG41">
    <cfRule type="cellIs" dxfId="45" priority="7" operator="equal">
      <formula>TRUE</formula>
    </cfRule>
  </conditionalFormatting>
  <conditionalFormatting sqref="BB10:BG10">
    <cfRule type="cellIs" dxfId="44" priority="5" operator="equal">
      <formula>TRUE</formula>
    </cfRule>
  </conditionalFormatting>
  <pageMargins left="3.937007874015748E-2" right="3.937007874015748E-2" top="0.74803149606299213" bottom="0.74803149606299213" header="0.31496062992125984" footer="0.31496062992125984"/>
  <pageSetup paperSize="8" scale="71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068BE6C7-2E92-4C14-A0EB-F3AC7E05A275}">
            <xm:f>AV11=Data!$B$12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8" stopIfTrue="1" id="{7A1116EC-9120-4AB1-8DE3-3E7696A63B4C}">
            <xm:f>AV11=Data!$B$11</xm:f>
            <x14:dxf>
              <fill>
                <patternFill>
                  <bgColor theme="9" tint="0.79998168889431442"/>
                </patternFill>
              </fill>
            </x14:dxf>
          </x14:cfRule>
          <x14:cfRule type="expression" priority="9" id="{F8C43B36-FEFF-455E-ACD1-91A583885E44}">
            <xm:f>AV11=Data!$B$2</xm:f>
            <x14:dxf>
              <fill>
                <patternFill>
                  <bgColor rgb="FFFFE5E5"/>
                </patternFill>
              </fill>
            </x14:dxf>
          </x14:cfRule>
          <xm:sqref>AU11:AU42</xm:sqref>
        </x14:conditionalFormatting>
        <x14:conditionalFormatting xmlns:xm="http://schemas.microsoft.com/office/excel/2006/main">
          <x14:cfRule type="cellIs" priority="1" operator="equal" id="{1B63A6AD-828C-4FDD-B8CF-BB0F32C9B45D}">
            <xm:f>Data!$B$12</xm:f>
            <x14:dxf>
              <fill>
                <patternFill>
                  <bgColor theme="9" tint="0.59996337778862885"/>
                </patternFill>
              </fill>
            </x14:dxf>
          </x14:cfRule>
          <x14:cfRule type="cellIs" priority="2" stopIfTrue="1" operator="equal" id="{D17D167A-CFC1-414E-95BC-1495F2907DDA}">
            <xm:f>Data!$B$11</xm:f>
            <x14:dxf>
              <fill>
                <patternFill>
                  <bgColor theme="9" tint="0.79998168889431442"/>
                </patternFill>
              </fill>
            </x14:dxf>
          </x14:cfRule>
          <x14:cfRule type="cellIs" priority="3" operator="equal" id="{95F64A14-5B22-4B7B-B18F-2B11C52BCAF3}">
            <xm:f>Data!$B$2</xm:f>
            <x14:dxf>
              <fill>
                <patternFill>
                  <bgColor rgb="FFFFE5E5"/>
                </patternFill>
              </fill>
            </x14:dxf>
          </x14:cfRule>
          <xm:sqref>AV11:AV12 AV14 AV16:AV19 AV21:AV23 AV25:AV26 AV28:AV29 AV31:AV40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77F1B60-F4DE-4F7E-AD42-B96FFF48A9F7}">
          <x14:formula1>
            <xm:f>Data!$B$2:$B$13</xm:f>
          </x14:formula1>
          <xm:sqref>AV28:AV29 AV16:AV19 AV25:AV26 AV31:AV40 AV14 AV11:AV12 AV21:AV23</xm:sqref>
        </x14:dataValidation>
        <x14:dataValidation type="list" allowBlank="1" showInputMessage="1" showErrorMessage="1" xr:uid="{E7D64CBE-02FF-4A35-8200-86A2CFB1CB4B}">
          <x14:formula1>
            <xm:f>Data!$C$2:$C$12</xm:f>
          </x14:formula1>
          <xm:sqref>D16:D19 D25:D26 D28:D29 D31:D40 D14 D11:D12 D21:D23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4E228-9098-49AC-85C9-21EDB686F93C}">
  <sheetPr codeName="Sheet14">
    <tabColor theme="4" tint="0.59999389629810485"/>
    <pageSetUpPr fitToPage="1"/>
  </sheetPr>
  <dimension ref="A1:BH40"/>
  <sheetViews>
    <sheetView showGridLines="0" tabSelected="1" zoomScale="70" zoomScaleNormal="70" zoomScalePageLayoutView="55" workbookViewId="0">
      <pane xSplit="3" ySplit="9" topLeftCell="D10" activePane="bottomRight" state="frozen"/>
      <selection pane="topRight" activeCell="AI6" sqref="AI6:AI8"/>
      <selection pane="bottomLeft" activeCell="AI6" sqref="AI6:AI8"/>
      <selection pane="bottomRight" activeCell="L27" sqref="L27"/>
    </sheetView>
  </sheetViews>
  <sheetFormatPr defaultColWidth="9.140625" defaultRowHeight="12.75" outlineLevelRow="1" outlineLevelCol="1" x14ac:dyDescent="0.25"/>
  <cols>
    <col min="1" max="1" width="13.7109375" style="3" bestFit="1" customWidth="1"/>
    <col min="2" max="2" width="8.5703125" style="3" bestFit="1" customWidth="1"/>
    <col min="3" max="3" width="31.85546875" style="7" bestFit="1" customWidth="1"/>
    <col min="4" max="4" width="14.42578125" style="5" bestFit="1" customWidth="1" outlineLevel="1"/>
    <col min="5" max="5" width="1.140625" style="3" customWidth="1" outlineLevel="1"/>
    <col min="6" max="6" width="13.42578125" style="4" bestFit="1" customWidth="1" outlineLevel="1"/>
    <col min="7" max="10" width="13.140625" style="4" bestFit="1" customWidth="1" outlineLevel="1"/>
    <col min="11" max="12" width="13.5703125" style="4" bestFit="1" customWidth="1" outlineLevel="1"/>
    <col min="13" max="13" width="13" style="4" bestFit="1" customWidth="1" outlineLevel="1"/>
    <col min="14" max="14" width="13.140625" style="4" bestFit="1" customWidth="1" outlineLevel="1"/>
    <col min="15" max="15" width="13" style="4" bestFit="1" customWidth="1" outlineLevel="1"/>
    <col min="16" max="16" width="30.140625" style="4" bestFit="1" customWidth="1" outlineLevel="1"/>
    <col min="17" max="19" width="13" style="4" bestFit="1" customWidth="1" outlineLevel="1"/>
    <col min="20" max="20" width="13.42578125" style="4" bestFit="1" customWidth="1" outlineLevel="1"/>
    <col min="21" max="21" width="43.140625" style="4" bestFit="1" customWidth="1" outlineLevel="1"/>
    <col min="22" max="22" width="13.42578125" style="4" bestFit="1" customWidth="1" outlineLevel="1"/>
    <col min="23" max="23" width="13.140625" style="4" bestFit="1" customWidth="1" outlineLevel="1"/>
    <col min="24" max="24" width="13.42578125" style="4" bestFit="1" customWidth="1" outlineLevel="1"/>
    <col min="25" max="25" width="12.42578125" style="4" bestFit="1" customWidth="1" outlineLevel="1"/>
    <col min="26" max="26" width="13.5703125" style="4" bestFit="1" customWidth="1" outlineLevel="1"/>
    <col min="27" max="27" width="23" style="4" bestFit="1" customWidth="1" outlineLevel="1"/>
    <col min="28" max="28" width="21.7109375" style="5" bestFit="1" customWidth="1" outlineLevel="1"/>
    <col min="29" max="29" width="1" style="3" customWidth="1" outlineLevel="1"/>
    <col min="30" max="30" width="26.7109375" style="5" bestFit="1" customWidth="1" outlineLevel="1"/>
    <col min="31" max="31" width="1.140625" style="3" customWidth="1" outlineLevel="1"/>
    <col min="32" max="32" width="35" style="3" bestFit="1" customWidth="1"/>
    <col min="33" max="33" width="31.5703125" style="3" bestFit="1" customWidth="1"/>
    <col min="34" max="34" width="31.28515625" style="3" bestFit="1" customWidth="1"/>
    <col min="35" max="35" width="29.140625" style="3" bestFit="1" customWidth="1"/>
    <col min="36" max="36" width="31.42578125" style="3" bestFit="1" customWidth="1" outlineLevel="1"/>
    <col min="37" max="37" width="25.85546875" style="3" bestFit="1" customWidth="1"/>
    <col min="38" max="38" width="0.85546875" style="3" customWidth="1"/>
    <col min="39" max="39" width="9.7109375" style="3" bestFit="1" customWidth="1"/>
    <col min="40" max="40" width="27.42578125" style="3" bestFit="1" customWidth="1"/>
    <col min="41" max="41" width="5.7109375" style="5" bestFit="1" customWidth="1"/>
    <col min="42" max="42" width="0.85546875" style="3" customWidth="1"/>
    <col min="43" max="43" width="6" style="5" bestFit="1" customWidth="1"/>
    <col min="44" max="44" width="25.140625" style="3" bestFit="1" customWidth="1"/>
    <col min="45" max="45" width="5.7109375" style="5" bestFit="1" customWidth="1"/>
    <col min="46" max="46" width="0.85546875" style="3" customWidth="1"/>
    <col min="47" max="47" width="25" style="3" bestFit="1" customWidth="1"/>
    <col min="48" max="48" width="26.42578125" style="3" bestFit="1" customWidth="1"/>
    <col min="49" max="49" width="16.42578125" style="6" bestFit="1" customWidth="1"/>
    <col min="50" max="50" width="9.7109375" style="6" bestFit="1" customWidth="1"/>
    <col min="51" max="51" width="5.28515625" style="6" bestFit="1" customWidth="1"/>
    <col min="52" max="52" width="12" style="6" bestFit="1" customWidth="1"/>
    <col min="53" max="53" width="15.85546875" style="6" bestFit="1" customWidth="1"/>
    <col min="54" max="54" width="16.42578125" style="6" bestFit="1" customWidth="1"/>
    <col min="55" max="55" width="7.42578125" style="6" bestFit="1" customWidth="1"/>
    <col min="56" max="56" width="16.42578125" style="6" bestFit="1" customWidth="1"/>
    <col min="57" max="58" width="18.7109375" style="6" bestFit="1" customWidth="1"/>
    <col min="59" max="59" width="16.42578125" style="6" bestFit="1" customWidth="1"/>
    <col min="60" max="60" width="21.140625" style="3" customWidth="1"/>
    <col min="61" max="16384" width="9.140625" style="3"/>
  </cols>
  <sheetData>
    <row r="1" spans="1:60" s="11" customFormat="1" ht="15" customHeight="1" outlineLevel="1" x14ac:dyDescent="0.25">
      <c r="A1" s="208" t="s">
        <v>57</v>
      </c>
      <c r="B1" s="209"/>
      <c r="C1" s="206" t="s">
        <v>58</v>
      </c>
      <c r="D1" s="211" t="s">
        <v>59</v>
      </c>
      <c r="F1" s="206" t="s">
        <v>60</v>
      </c>
      <c r="G1" s="206" t="s">
        <v>61</v>
      </c>
      <c r="H1" s="206" t="s">
        <v>62</v>
      </c>
      <c r="I1" s="206" t="s">
        <v>63</v>
      </c>
      <c r="J1" s="206" t="s">
        <v>64</v>
      </c>
      <c r="K1" s="206" t="s">
        <v>19</v>
      </c>
      <c r="L1" s="206" t="s">
        <v>65</v>
      </c>
      <c r="M1" s="211" t="s">
        <v>66</v>
      </c>
      <c r="N1" s="224"/>
      <c r="P1" s="27" t="s">
        <v>67</v>
      </c>
      <c r="Q1" s="26"/>
      <c r="R1" s="26"/>
      <c r="S1" s="26"/>
      <c r="U1" s="26" t="s">
        <v>20</v>
      </c>
      <c r="V1" s="26"/>
      <c r="W1" s="26"/>
      <c r="X1" s="26"/>
      <c r="Y1" s="26"/>
      <c r="AA1" s="27" t="s">
        <v>68</v>
      </c>
      <c r="AB1" s="26"/>
      <c r="AC1" s="26"/>
      <c r="AD1" s="28"/>
      <c r="AF1" s="27" t="s">
        <v>33</v>
      </c>
      <c r="AG1" s="26"/>
      <c r="AH1" s="39" t="s">
        <v>34</v>
      </c>
      <c r="AI1" s="40" t="s">
        <v>35</v>
      </c>
      <c r="AY1" s="33"/>
      <c r="AZ1" s="33"/>
      <c r="BA1" s="33"/>
      <c r="BB1" s="33"/>
      <c r="BC1" s="33"/>
      <c r="BD1" s="33"/>
      <c r="BE1" s="33"/>
      <c r="BF1" s="33"/>
      <c r="BG1" s="33"/>
    </row>
    <row r="2" spans="1:60" s="11" customFormat="1" ht="15" outlineLevel="1" x14ac:dyDescent="0.25">
      <c r="A2" s="208"/>
      <c r="B2" s="209"/>
      <c r="C2" s="210"/>
      <c r="D2" s="208"/>
      <c r="E2" s="15"/>
      <c r="F2" s="207"/>
      <c r="G2" s="207"/>
      <c r="H2" s="207"/>
      <c r="I2" s="207"/>
      <c r="J2" s="207"/>
      <c r="K2" s="207"/>
      <c r="L2" s="207"/>
      <c r="M2" s="225"/>
      <c r="N2" s="226"/>
      <c r="P2" s="22" t="s">
        <v>69</v>
      </c>
      <c r="Q2" s="23"/>
      <c r="R2" s="23"/>
      <c r="S2" s="147"/>
      <c r="U2" s="22" t="s">
        <v>25</v>
      </c>
      <c r="V2" s="23"/>
      <c r="W2" s="23"/>
      <c r="X2" s="35">
        <f>AI19</f>
        <v>0</v>
      </c>
      <c r="Y2" s="37">
        <f>X2/(SUM(AH10:$AH$18)+SUM(AI10:$AI$18)-SUMIFS(AH10:$AH$18,$AI$10:$AI$18,"&lt;&gt;"))</f>
        <v>0</v>
      </c>
      <c r="AA2" s="24" t="s">
        <v>70</v>
      </c>
      <c r="AB2" s="25"/>
      <c r="AC2" s="25"/>
      <c r="AD2" s="12" cm="1">
        <f t="array" ref="AD2">SUM(ISNUMBER($AO$10:AO18)*1)</f>
        <v>7</v>
      </c>
      <c r="AF2" s="22" t="s">
        <v>444</v>
      </c>
      <c r="AG2" s="23"/>
      <c r="AH2" s="13">
        <f>COUNTIFS($AB$10:AB18,"&lt;0")</f>
        <v>5</v>
      </c>
      <c r="AI2" s="13">
        <f>MIN(AB10:AB18)</f>
        <v>-84</v>
      </c>
    </row>
    <row r="3" spans="1:60" s="11" customFormat="1" ht="15" outlineLevel="1" x14ac:dyDescent="0.25">
      <c r="A3" s="212" t="s">
        <v>388</v>
      </c>
      <c r="B3" s="213"/>
      <c r="C3" s="216" t="s">
        <v>389</v>
      </c>
      <c r="D3" s="218" t="s">
        <v>73</v>
      </c>
      <c r="E3" s="122"/>
      <c r="F3" s="218" t="s">
        <v>74</v>
      </c>
      <c r="G3" s="218" t="s">
        <v>390</v>
      </c>
      <c r="H3" s="218" t="s">
        <v>74</v>
      </c>
      <c r="I3" s="218" t="s">
        <v>391</v>
      </c>
      <c r="J3" s="227">
        <v>179478.21</v>
      </c>
      <c r="K3" s="227" t="s">
        <v>392</v>
      </c>
      <c r="L3" s="218">
        <v>45838</v>
      </c>
      <c r="M3" s="220">
        <v>45887</v>
      </c>
      <c r="N3" s="221"/>
      <c r="P3" s="22" t="s">
        <v>77</v>
      </c>
      <c r="Q3" s="23"/>
      <c r="R3" s="23"/>
      <c r="S3" s="148">
        <f>AF19</f>
        <v>0</v>
      </c>
      <c r="U3" s="22" t="s">
        <v>78</v>
      </c>
      <c r="V3" s="23"/>
      <c r="W3" s="23"/>
      <c r="X3" s="36">
        <f>S4-SUMIFS(AH10:$AH$18,$AI$10:$AI$18,"&lt;&gt;")</f>
        <v>60504168</v>
      </c>
      <c r="Y3" s="153">
        <f>X3/(X2+X3)</f>
        <v>1</v>
      </c>
      <c r="AA3" s="22" t="s">
        <v>79</v>
      </c>
      <c r="AB3" s="23"/>
      <c r="AC3" s="23"/>
      <c r="AD3" s="13">
        <f>COUNTIFS($AV$10:AV18,Z8)</f>
        <v>0</v>
      </c>
      <c r="AF3" s="22" t="s">
        <v>447</v>
      </c>
      <c r="AG3" s="23"/>
      <c r="AH3" s="13">
        <f>COUNTIFS($AO$10:AO18,"&lt;0")</f>
        <v>5</v>
      </c>
      <c r="AI3" s="14">
        <f>MIN(AO10:AO18)</f>
        <v>-144</v>
      </c>
    </row>
    <row r="4" spans="1:60" s="11" customFormat="1" ht="15" outlineLevel="1" x14ac:dyDescent="0.25">
      <c r="A4" s="214"/>
      <c r="B4" s="215"/>
      <c r="C4" s="217"/>
      <c r="D4" s="219"/>
      <c r="E4" s="122"/>
      <c r="F4" s="219"/>
      <c r="G4" s="219"/>
      <c r="H4" s="219"/>
      <c r="I4" s="219"/>
      <c r="J4" s="228"/>
      <c r="K4" s="228"/>
      <c r="L4" s="219"/>
      <c r="M4" s="222"/>
      <c r="N4" s="223"/>
      <c r="P4" s="22" t="s">
        <v>23</v>
      </c>
      <c r="Q4" s="23"/>
      <c r="R4" s="23"/>
      <c r="S4" s="148">
        <f>AH19</f>
        <v>60504168</v>
      </c>
      <c r="U4" s="22" t="s">
        <v>80</v>
      </c>
      <c r="V4" s="23"/>
      <c r="W4" s="23"/>
      <c r="X4" s="36">
        <f>SUMIFS(AF10:$AF$18,$AI$10:$AI$18,"&lt;&gt;")-X2</f>
        <v>0</v>
      </c>
      <c r="Y4" s="38" t="e">
        <f>X4/$S$2</f>
        <v>#DIV/0!</v>
      </c>
      <c r="AA4" s="22" t="s">
        <v>81</v>
      </c>
      <c r="AB4" s="23"/>
      <c r="AC4" s="23"/>
      <c r="AD4" s="13">
        <f>C6-L3</f>
        <v>274</v>
      </c>
      <c r="AF4" s="22" t="s">
        <v>448</v>
      </c>
      <c r="AG4" s="23"/>
      <c r="AH4" s="13">
        <f>COUNTIFS($AS$10:AS18,"&lt;0")</f>
        <v>5</v>
      </c>
      <c r="AI4" s="14">
        <f>MIN(AS10:AS18)</f>
        <v>-144</v>
      </c>
    </row>
    <row r="5" spans="1:60" s="11" customFormat="1" ht="15" outlineLevel="1" x14ac:dyDescent="0.25">
      <c r="U5" s="22" t="s">
        <v>82</v>
      </c>
      <c r="V5" s="23"/>
      <c r="W5" s="23"/>
      <c r="X5" s="36">
        <f>SUMIFS(AH10:$AH$18,$AI$10:$AI$18,"&lt;&gt;")-X2</f>
        <v>0</v>
      </c>
      <c r="Y5" s="38" t="e">
        <f>X5/$S$2</f>
        <v>#DIV/0!</v>
      </c>
      <c r="Z5" s="160"/>
      <c r="AA5" s="160"/>
      <c r="AB5" s="160"/>
      <c r="AC5" s="160"/>
      <c r="AD5" s="160"/>
      <c r="AE5" s="160"/>
      <c r="AF5" s="160"/>
      <c r="AG5" s="160"/>
      <c r="AH5" s="160"/>
      <c r="AI5" s="160"/>
    </row>
    <row r="6" spans="1:60" ht="23.25" outlineLevel="1" x14ac:dyDescent="0.25">
      <c r="A6" s="127" t="s">
        <v>83</v>
      </c>
      <c r="B6" s="128"/>
      <c r="C6" s="129">
        <v>46112</v>
      </c>
      <c r="D6" s="19"/>
      <c r="E6" s="16"/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5"/>
      <c r="AB6" s="126"/>
      <c r="AC6" s="19"/>
      <c r="AD6" s="19"/>
      <c r="AE6" s="19"/>
      <c r="AF6" s="19"/>
      <c r="AG6" s="19"/>
      <c r="AH6" s="19"/>
      <c r="AI6" s="19"/>
      <c r="AJ6" s="19"/>
      <c r="AK6" s="19"/>
      <c r="AL6" s="16"/>
      <c r="AM6" s="168" t="s">
        <v>446</v>
      </c>
      <c r="AN6" s="16"/>
      <c r="AO6" s="16"/>
      <c r="AP6" s="16"/>
      <c r="AQ6" s="16"/>
      <c r="AR6" s="16"/>
      <c r="AS6" s="16"/>
      <c r="AT6" s="16"/>
      <c r="AU6" s="16"/>
      <c r="AV6" s="16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6"/>
    </row>
    <row r="7" spans="1:60" ht="18.75" customHeight="1" x14ac:dyDescent="0.25">
      <c r="A7" s="233" t="s">
        <v>84</v>
      </c>
      <c r="B7" s="236" t="s">
        <v>85</v>
      </c>
      <c r="C7" s="236" t="s">
        <v>86</v>
      </c>
      <c r="D7" s="238" t="s">
        <v>1</v>
      </c>
      <c r="F7" s="229">
        <v>15</v>
      </c>
      <c r="G7" s="230"/>
      <c r="H7" s="229">
        <v>7</v>
      </c>
      <c r="I7" s="230"/>
      <c r="J7" s="229">
        <v>6</v>
      </c>
      <c r="K7" s="230"/>
      <c r="L7" s="229">
        <v>3</v>
      </c>
      <c r="M7" s="230"/>
      <c r="N7" s="229">
        <v>30</v>
      </c>
      <c r="O7" s="230"/>
      <c r="P7" s="229">
        <v>10</v>
      </c>
      <c r="Q7" s="230"/>
      <c r="R7" s="229">
        <v>20</v>
      </c>
      <c r="S7" s="230"/>
      <c r="T7" s="229">
        <v>7</v>
      </c>
      <c r="U7" s="230"/>
      <c r="V7" s="229">
        <v>7</v>
      </c>
      <c r="W7" s="230"/>
      <c r="X7" s="229">
        <v>5</v>
      </c>
      <c r="Y7" s="230"/>
      <c r="Z7" s="229">
        <v>10</v>
      </c>
      <c r="AA7" s="230"/>
      <c r="AB7" s="243" t="s">
        <v>87</v>
      </c>
      <c r="AC7" s="16"/>
      <c r="AD7" s="244" t="s">
        <v>88</v>
      </c>
      <c r="AE7" s="16"/>
      <c r="AF7" s="241" t="s">
        <v>77</v>
      </c>
      <c r="AG7" s="257" t="s">
        <v>89</v>
      </c>
      <c r="AH7" s="257" t="s">
        <v>23</v>
      </c>
      <c r="AI7" s="257" t="s">
        <v>90</v>
      </c>
      <c r="AJ7" s="257" t="s">
        <v>91</v>
      </c>
      <c r="AK7" s="258" t="s">
        <v>92</v>
      </c>
      <c r="AL7" s="86"/>
      <c r="AM7" s="255" t="s">
        <v>93</v>
      </c>
      <c r="AN7" s="257" t="s">
        <v>94</v>
      </c>
      <c r="AO7" s="259" t="s">
        <v>95</v>
      </c>
      <c r="AP7" s="86"/>
      <c r="AQ7" s="261" t="s">
        <v>96</v>
      </c>
      <c r="AR7" s="252" t="s">
        <v>97</v>
      </c>
      <c r="AS7" s="259" t="s">
        <v>95</v>
      </c>
      <c r="AT7" s="86"/>
      <c r="AU7" s="255" t="s">
        <v>98</v>
      </c>
      <c r="AV7" s="252" t="s">
        <v>99</v>
      </c>
      <c r="AW7" s="246" t="s">
        <v>2</v>
      </c>
      <c r="AX7" s="246" t="s">
        <v>4</v>
      </c>
      <c r="AY7" s="246" t="s">
        <v>6</v>
      </c>
      <c r="AZ7" s="246" t="s">
        <v>100</v>
      </c>
      <c r="BA7" s="246" t="s">
        <v>10</v>
      </c>
      <c r="BB7" s="246" t="s">
        <v>12</v>
      </c>
      <c r="BC7" s="246" t="s">
        <v>14</v>
      </c>
      <c r="BD7" s="246" t="s">
        <v>15</v>
      </c>
      <c r="BE7" s="246" t="s">
        <v>16</v>
      </c>
      <c r="BF7" s="246" t="s">
        <v>17</v>
      </c>
      <c r="BG7" s="249" t="s">
        <v>101</v>
      </c>
      <c r="BH7" s="86"/>
    </row>
    <row r="8" spans="1:60" ht="26.25" x14ac:dyDescent="0.25">
      <c r="A8" s="234"/>
      <c r="B8" s="237"/>
      <c r="C8" s="237"/>
      <c r="D8" s="239"/>
      <c r="E8" s="16"/>
      <c r="F8" s="231" t="s">
        <v>2</v>
      </c>
      <c r="G8" s="232"/>
      <c r="H8" s="231" t="s">
        <v>4</v>
      </c>
      <c r="I8" s="232"/>
      <c r="J8" s="231" t="s">
        <v>6</v>
      </c>
      <c r="K8" s="232"/>
      <c r="L8" s="231" t="s">
        <v>8</v>
      </c>
      <c r="M8" s="232"/>
      <c r="N8" s="231" t="s">
        <v>10</v>
      </c>
      <c r="O8" s="232"/>
      <c r="P8" s="231" t="s">
        <v>12</v>
      </c>
      <c r="Q8" s="232"/>
      <c r="R8" s="231" t="s">
        <v>14</v>
      </c>
      <c r="S8" s="232"/>
      <c r="T8" s="231" t="s">
        <v>15</v>
      </c>
      <c r="U8" s="232"/>
      <c r="V8" s="231" t="s">
        <v>16</v>
      </c>
      <c r="W8" s="232"/>
      <c r="X8" s="231" t="s">
        <v>17</v>
      </c>
      <c r="Y8" s="232"/>
      <c r="Z8" s="231" t="s">
        <v>18</v>
      </c>
      <c r="AA8" s="232"/>
      <c r="AB8" s="243"/>
      <c r="AC8" s="16"/>
      <c r="AD8" s="245"/>
      <c r="AE8" s="16"/>
      <c r="AF8" s="242"/>
      <c r="AG8" s="237"/>
      <c r="AH8" s="237"/>
      <c r="AI8" s="237"/>
      <c r="AJ8" s="237"/>
      <c r="AK8" s="239"/>
      <c r="AL8" s="48"/>
      <c r="AM8" s="234"/>
      <c r="AN8" s="237"/>
      <c r="AO8" s="260"/>
      <c r="AP8" s="48"/>
      <c r="AQ8" s="262"/>
      <c r="AR8" s="253"/>
      <c r="AS8" s="260"/>
      <c r="AT8" s="48"/>
      <c r="AU8" s="234"/>
      <c r="AV8" s="253"/>
      <c r="AW8" s="247"/>
      <c r="AX8" s="247"/>
      <c r="AY8" s="247"/>
      <c r="AZ8" s="247"/>
      <c r="BA8" s="247"/>
      <c r="BB8" s="247"/>
      <c r="BC8" s="247"/>
      <c r="BD8" s="247"/>
      <c r="BE8" s="247"/>
      <c r="BF8" s="247"/>
      <c r="BG8" s="250"/>
      <c r="BH8" s="146"/>
    </row>
    <row r="9" spans="1:60" s="7" customFormat="1" ht="22.5" x14ac:dyDescent="0.25">
      <c r="A9" s="235"/>
      <c r="B9" s="237"/>
      <c r="C9" s="237"/>
      <c r="D9" s="240"/>
      <c r="E9" s="20"/>
      <c r="F9" s="65" t="s">
        <v>102</v>
      </c>
      <c r="G9" s="66" t="s">
        <v>103</v>
      </c>
      <c r="H9" s="65" t="s">
        <v>102</v>
      </c>
      <c r="I9" s="66" t="s">
        <v>103</v>
      </c>
      <c r="J9" s="65" t="s">
        <v>102</v>
      </c>
      <c r="K9" s="66" t="s">
        <v>103</v>
      </c>
      <c r="L9" s="65" t="s">
        <v>102</v>
      </c>
      <c r="M9" s="66" t="s">
        <v>103</v>
      </c>
      <c r="N9" s="65" t="s">
        <v>102</v>
      </c>
      <c r="O9" s="66" t="s">
        <v>103</v>
      </c>
      <c r="P9" s="65" t="s">
        <v>102</v>
      </c>
      <c r="Q9" s="66" t="s">
        <v>103</v>
      </c>
      <c r="R9" s="65" t="s">
        <v>102</v>
      </c>
      <c r="S9" s="66" t="s">
        <v>103</v>
      </c>
      <c r="T9" s="65" t="s">
        <v>102</v>
      </c>
      <c r="U9" s="66" t="s">
        <v>103</v>
      </c>
      <c r="V9" s="65" t="s">
        <v>102</v>
      </c>
      <c r="W9" s="66" t="s">
        <v>103</v>
      </c>
      <c r="X9" s="65" t="s">
        <v>102</v>
      </c>
      <c r="Y9" s="66" t="s">
        <v>103</v>
      </c>
      <c r="Z9" s="65" t="s">
        <v>102</v>
      </c>
      <c r="AA9" s="66" t="s">
        <v>103</v>
      </c>
      <c r="AB9" s="243"/>
      <c r="AC9" s="20"/>
      <c r="AD9" s="245"/>
      <c r="AE9" s="20"/>
      <c r="AF9" s="242"/>
      <c r="AG9" s="237"/>
      <c r="AH9" s="237"/>
      <c r="AI9" s="237"/>
      <c r="AJ9" s="237"/>
      <c r="AK9" s="239"/>
      <c r="AL9" s="87"/>
      <c r="AM9" s="234"/>
      <c r="AN9" s="237"/>
      <c r="AO9" s="260"/>
      <c r="AP9" s="87"/>
      <c r="AQ9" s="263"/>
      <c r="AR9" s="254"/>
      <c r="AS9" s="264"/>
      <c r="AT9" s="87"/>
      <c r="AU9" s="256"/>
      <c r="AV9" s="254"/>
      <c r="AW9" s="248"/>
      <c r="AX9" s="248"/>
      <c r="AY9" s="248"/>
      <c r="AZ9" s="248"/>
      <c r="BA9" s="248"/>
      <c r="BB9" s="248"/>
      <c r="BC9" s="248"/>
      <c r="BD9" s="248"/>
      <c r="BE9" s="248"/>
      <c r="BF9" s="248"/>
      <c r="BG9" s="251"/>
      <c r="BH9" s="87"/>
    </row>
    <row r="10" spans="1:60" ht="23.25" x14ac:dyDescent="0.25">
      <c r="A10" s="53"/>
      <c r="B10" s="49"/>
      <c r="C10" s="50" t="s">
        <v>104</v>
      </c>
      <c r="D10" s="61"/>
      <c r="E10" s="51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1"/>
      <c r="BF10" s="51"/>
      <c r="BG10" s="88"/>
      <c r="BH10" s="146"/>
    </row>
    <row r="11" spans="1:60" ht="26.25" x14ac:dyDescent="0.25">
      <c r="A11" s="56" cm="1">
        <f t="array" ref="A11">SUMPRODUCT(($AV$10:$AV$18&lt;&gt;"")*(ROW($AV$10:$AV$18)&lt;=ROW()))</f>
        <v>1</v>
      </c>
      <c r="B11" s="57"/>
      <c r="C11" s="58" t="s">
        <v>110</v>
      </c>
      <c r="D11" s="93" t="s">
        <v>5</v>
      </c>
      <c r="E11" s="16"/>
      <c r="F11" s="29">
        <f>H11-$H$7</f>
        <v>45933</v>
      </c>
      <c r="G11" s="42">
        <v>46000</v>
      </c>
      <c r="H11" s="29">
        <f>J11-$J$7</f>
        <v>45940</v>
      </c>
      <c r="I11" s="42">
        <v>46006</v>
      </c>
      <c r="J11" s="29">
        <f>L11-$L$7</f>
        <v>45946</v>
      </c>
      <c r="K11" s="42">
        <v>46011</v>
      </c>
      <c r="L11" s="29">
        <f>N11-$N$7</f>
        <v>45949</v>
      </c>
      <c r="M11" s="42">
        <v>46063</v>
      </c>
      <c r="N11" s="29">
        <f>P11-$P$7</f>
        <v>45979</v>
      </c>
      <c r="O11" s="42">
        <v>46070</v>
      </c>
      <c r="P11" s="29">
        <f>R11-$R$7</f>
        <v>45989</v>
      </c>
      <c r="Q11" s="42">
        <v>46113</v>
      </c>
      <c r="R11" s="29">
        <f>T11-$T$7</f>
        <v>46009</v>
      </c>
      <c r="S11" s="42"/>
      <c r="T11" s="29">
        <f>V11-$V$7</f>
        <v>46016</v>
      </c>
      <c r="U11" s="42"/>
      <c r="V11" s="29">
        <f>X11-$X$7</f>
        <v>46023</v>
      </c>
      <c r="W11" s="42"/>
      <c r="X11" s="29">
        <f>AN11</f>
        <v>46028</v>
      </c>
      <c r="Y11" s="42"/>
      <c r="Z11" s="30">
        <f>X11+$Z$7</f>
        <v>46038</v>
      </c>
      <c r="AA11" s="42"/>
      <c r="AB11" s="31">
        <f>IF(AV11="10. Issued to Contractor","-",IF(AV11="11. Subcontract Agreement signed","-",MAX(AN11,AR11)-$C$6))</f>
        <v>-84</v>
      </c>
      <c r="AC11" s="16"/>
      <c r="AD11" s="131">
        <f>SUM($H$7:$Y$7)</f>
        <v>95</v>
      </c>
      <c r="AE11" s="16"/>
      <c r="AF11" s="95"/>
      <c r="AG11" s="67"/>
      <c r="AH11" s="67">
        <v>17000000</v>
      </c>
      <c r="AI11" s="67"/>
      <c r="AJ11" s="68" t="str">
        <f>IF(AI11&gt;0,SUM(AH11)-SUM(AI11),"")</f>
        <v/>
      </c>
      <c r="AK11" s="102"/>
      <c r="AL11" s="48"/>
      <c r="AM11" s="105">
        <v>142</v>
      </c>
      <c r="AN11" s="69">
        <f>$M$3+AM11-1</f>
        <v>46028</v>
      </c>
      <c r="AO11" s="107">
        <f>AN11-AU11</f>
        <v>-124</v>
      </c>
      <c r="AP11" s="48"/>
      <c r="AQ11" s="111"/>
      <c r="AR11" s="70">
        <f>IFERROR(WORKDAY.INTL(AN11,AQ11,11),"")</f>
        <v>46028</v>
      </c>
      <c r="AS11" s="107">
        <f>AR11-AU11</f>
        <v>-124</v>
      </c>
      <c r="AT11" s="48"/>
      <c r="AU11" s="113">
        <f>IF(Y11&gt;0,Y11,IFERROR(MAX(_xlfn.XLOOKUP($AV11,$H$8:$Z$8,$G11:$Y11),$C$6)+(AN11-_xlfn.XLOOKUP($AV11,$H$8:$Z$8,$F11:$X11))*AD11/SUM($H$7:$Y$7),$C$6+SUM(AD11)))</f>
        <v>46152</v>
      </c>
      <c r="AV11" s="119" t="str" cm="1">
        <f t="array" ref="AV11">IF(OR(G11&gt;$C$6,G11=""),$F$8,INDEX($E$8:$Z$8,MATCH(TRUE,(F11:AA11=""),0)))</f>
        <v>7. BAFO</v>
      </c>
      <c r="AW11" s="116" t="b">
        <f>IF(AND(G11&gt;0,G11&lt;$C$6),TRUE,FALSE)</f>
        <v>1</v>
      </c>
      <c r="AX11" s="71" t="b">
        <f>IF(AND(I11&gt;0,I11&lt;$C$6),TRUE,FALSE)</f>
        <v>1</v>
      </c>
      <c r="AY11" s="71" t="b">
        <f>IF(AND(K11&gt;0,K11&lt;$C$6),TRUE,FALSE)</f>
        <v>1</v>
      </c>
      <c r="AZ11" s="71" t="b">
        <f>IF(AND(M11&gt;0,M11&lt;$C$6),TRUE,FALSE)</f>
        <v>1</v>
      </c>
      <c r="BA11" s="71" t="b">
        <f>IF(AND(O11&gt;0,O11&lt;$C$6),TRUE,FALSE)</f>
        <v>1</v>
      </c>
      <c r="BB11" s="71" t="b">
        <f>IF(AND(Q11&gt;0,Q11&lt;$C$6),TRUE,FALSE)</f>
        <v>0</v>
      </c>
      <c r="BC11" s="71" t="b">
        <f>IF(AND(S11&gt;0,S11&lt;$C$6),TRUE,FALSE)</f>
        <v>0</v>
      </c>
      <c r="BD11" s="71" t="b">
        <f>IF(AND(U11&gt;0,U11&lt;$C$6),TRUE,FALSE)</f>
        <v>0</v>
      </c>
      <c r="BE11" s="71" t="b">
        <f>IF(AND(W11&gt;0,W11&lt;$C$6),TRUE,FALSE)</f>
        <v>0</v>
      </c>
      <c r="BF11" s="71" t="b">
        <f>IF(AND(Y11&gt;0,Y11&lt;$C$6),TRUE,FALSE)</f>
        <v>0</v>
      </c>
      <c r="BG11" s="89" t="b">
        <f>IF(AND(AA11&gt;0,AA11&lt;$C$6),TRUE,FALSE)</f>
        <v>0</v>
      </c>
      <c r="BH11" s="146"/>
    </row>
    <row r="12" spans="1:60" ht="26.25" x14ac:dyDescent="0.25">
      <c r="A12" s="56" cm="1">
        <f t="array" ref="A12">SUMPRODUCT(($AV$10:$AV$18&lt;&gt;"")*(ROW($AV$10:$AV$18)&lt;=ROW()))</f>
        <v>2</v>
      </c>
      <c r="B12" s="59"/>
      <c r="C12" s="60" t="s">
        <v>275</v>
      </c>
      <c r="D12" s="59" t="s">
        <v>5</v>
      </c>
      <c r="E12" s="43"/>
      <c r="F12" s="44">
        <f>H12-$H$7</f>
        <v>45986</v>
      </c>
      <c r="G12" s="45">
        <v>46064</v>
      </c>
      <c r="H12" s="44">
        <f>J12-$J$7</f>
        <v>45993</v>
      </c>
      <c r="I12" s="45">
        <v>45932</v>
      </c>
      <c r="J12" s="44">
        <f>L12-$L$7</f>
        <v>45999</v>
      </c>
      <c r="K12" s="45">
        <v>46063</v>
      </c>
      <c r="L12" s="44">
        <f>N12-$N$7</f>
        <v>46002</v>
      </c>
      <c r="M12" s="45">
        <v>46066</v>
      </c>
      <c r="N12" s="44">
        <f>P12-$P$7</f>
        <v>46032</v>
      </c>
      <c r="O12" s="45">
        <v>46070</v>
      </c>
      <c r="P12" s="44">
        <f>R12-$R$7</f>
        <v>46042</v>
      </c>
      <c r="Q12" s="45">
        <v>46097</v>
      </c>
      <c r="R12" s="44">
        <f>T12-$T$7</f>
        <v>46062</v>
      </c>
      <c r="S12" s="45">
        <v>46113</v>
      </c>
      <c r="T12" s="44">
        <f>V12-$V$7</f>
        <v>46069</v>
      </c>
      <c r="U12" s="45">
        <v>46114</v>
      </c>
      <c r="V12" s="44">
        <f>X12-$X$7</f>
        <v>46076</v>
      </c>
      <c r="W12" s="45"/>
      <c r="X12" s="44">
        <f t="shared" ref="X12" si="0">AN12</f>
        <v>46081</v>
      </c>
      <c r="Y12" s="45"/>
      <c r="Z12" s="46">
        <f>X12+$Z$7</f>
        <v>46091</v>
      </c>
      <c r="AA12" s="45"/>
      <c r="AB12" s="47">
        <f>IF(AV12="10. Issued to Contractor","-",IF(AV12="11. Subcontract Agreement signed","-",MAX(AN12,AR12)-$C$6))</f>
        <v>-31</v>
      </c>
      <c r="AC12" s="16"/>
      <c r="AD12" s="131">
        <f t="shared" ref="AD12" si="1">SUM($H$7:$Y$7)</f>
        <v>95</v>
      </c>
      <c r="AE12" s="16"/>
      <c r="AF12" s="96"/>
      <c r="AG12" s="72"/>
      <c r="AH12" s="72">
        <v>14000000</v>
      </c>
      <c r="AI12" s="72"/>
      <c r="AJ12" s="73" t="str">
        <f>IF(AI12&gt;0,SUM(AH12)-SUM(AI12),"")</f>
        <v/>
      </c>
      <c r="AK12" s="101"/>
      <c r="AL12" s="48"/>
      <c r="AM12" s="104">
        <v>195</v>
      </c>
      <c r="AN12" s="74">
        <f>$M$3+AM12-1</f>
        <v>46081</v>
      </c>
      <c r="AO12" s="108">
        <f>AN12-AU12</f>
        <v>-45</v>
      </c>
      <c r="AP12" s="48"/>
      <c r="AQ12" s="110"/>
      <c r="AR12" s="75">
        <f>IFERROR(WORKDAY.INTL(AN12,AQ12,11),"")</f>
        <v>46081</v>
      </c>
      <c r="AS12" s="108">
        <f>AR12-AU12</f>
        <v>-45</v>
      </c>
      <c r="AT12" s="48"/>
      <c r="AU12" s="114">
        <f t="shared" ref="AU12" si="2">IF(Y12&gt;0,Y12,IFERROR(MAX(_xlfn.XLOOKUP($AV12,$H$8:$Z$8,$G12:$Y12),$C$6)+(AN12-_xlfn.XLOOKUP($AV12,$H$8:$Z$8,$F12:$X12))*AD12/SUM($H$7:$Y$7),$C$6+SUM(AD12)))</f>
        <v>46126</v>
      </c>
      <c r="AV12" s="120" t="str" cm="1">
        <f t="array" ref="AV12">IF(OR(G12&gt;$C$6,G12=""),$F$8,INDEX($E$8:$Z$8,MATCH(TRUE,(F12:AA12=""),0)))</f>
        <v>9. Award Rec. Approval</v>
      </c>
      <c r="AW12" s="117" t="b">
        <f>IF(AND(G12&gt;0,G12&lt;$C$6),TRUE,FALSE)</f>
        <v>1</v>
      </c>
      <c r="AX12" s="76" t="b">
        <f>IF(AND(I12&gt;0,I12&lt;$C$6),TRUE,FALSE)</f>
        <v>1</v>
      </c>
      <c r="AY12" s="76" t="b">
        <f>IF(AND(K12&gt;0,K12&lt;$C$6),TRUE,FALSE)</f>
        <v>1</v>
      </c>
      <c r="AZ12" s="76" t="b">
        <f>IF(AND(M12&gt;0,M12&lt;$C$6),TRUE,FALSE)</f>
        <v>1</v>
      </c>
      <c r="BA12" s="76" t="b">
        <f>IF(AND(O12&gt;0,O12&lt;$C$6),TRUE,FALSE)</f>
        <v>1</v>
      </c>
      <c r="BB12" s="76" t="b">
        <f>IF(AND(Q12&gt;0,Q12&lt;$C$6),TRUE,FALSE)</f>
        <v>1</v>
      </c>
      <c r="BC12" s="76" t="b">
        <f>IF(AND(S12&gt;0,S12&lt;$C$6),TRUE,FALSE)</f>
        <v>0</v>
      </c>
      <c r="BD12" s="76" t="b">
        <f>IF(AND(U12&gt;0,U12&lt;$C$6),TRUE,FALSE)</f>
        <v>0</v>
      </c>
      <c r="BE12" s="76" t="b">
        <f>IF(AND(W12&gt;0,W12&lt;$C$6),TRUE,FALSE)</f>
        <v>0</v>
      </c>
      <c r="BF12" s="76" t="b">
        <f>IF(AND(Y12&gt;0,Y12&lt;$C$6),TRUE,FALSE)</f>
        <v>0</v>
      </c>
      <c r="BG12" s="90" t="b">
        <f>IF(AND(AA12&gt;0,AA12&lt;$C$6),TRUE,FALSE)</f>
        <v>0</v>
      </c>
      <c r="BH12" s="146"/>
    </row>
    <row r="13" spans="1:60" ht="26.25" x14ac:dyDescent="0.25">
      <c r="A13" s="56" cm="1">
        <f t="array" ref="A13">SUMPRODUCT(($AV$10:$AV$18&lt;&gt;"")*(ROW($AV$10:$AV$18)&lt;=ROW()))</f>
        <v>3</v>
      </c>
      <c r="B13" s="57"/>
      <c r="C13" s="204" t="s">
        <v>393</v>
      </c>
      <c r="D13" s="93" t="s">
        <v>11</v>
      </c>
      <c r="E13" s="16"/>
      <c r="F13" s="29">
        <f>H13-$H$7</f>
        <v>45955</v>
      </c>
      <c r="G13" s="42">
        <v>46000</v>
      </c>
      <c r="H13" s="29">
        <f>J13-$J$7</f>
        <v>45962</v>
      </c>
      <c r="I13" s="42">
        <v>46006</v>
      </c>
      <c r="J13" s="29">
        <f>L13-$L$7</f>
        <v>45968</v>
      </c>
      <c r="K13" s="42">
        <v>46011</v>
      </c>
      <c r="L13" s="29">
        <f>N13-$N$7</f>
        <v>45971</v>
      </c>
      <c r="M13" s="42"/>
      <c r="N13" s="29">
        <f>P13-$P$7</f>
        <v>46001</v>
      </c>
      <c r="O13" s="42"/>
      <c r="P13" s="29">
        <f>R13-$R$7</f>
        <v>46011</v>
      </c>
      <c r="Q13" s="42"/>
      <c r="R13" s="29">
        <f>T13-$T$7</f>
        <v>46031</v>
      </c>
      <c r="S13" s="42"/>
      <c r="T13" s="29">
        <f>V13-$V$7</f>
        <v>46038</v>
      </c>
      <c r="U13" s="42"/>
      <c r="V13" s="29">
        <f>X13-$X$7</f>
        <v>46045</v>
      </c>
      <c r="W13" s="42"/>
      <c r="X13" s="29">
        <f>AN13</f>
        <v>46050</v>
      </c>
      <c r="Y13" s="42"/>
      <c r="Z13" s="30">
        <f>X13+$Z$7</f>
        <v>46060</v>
      </c>
      <c r="AA13" s="42"/>
      <c r="AB13" s="31">
        <f>IF(AV13="10. Issued to Contractor","-",IF(AV13="11. Subcontract Agreement signed","-",MAX(AN13,AR13)-$C$6))</f>
        <v>-62</v>
      </c>
      <c r="AC13" s="16"/>
      <c r="AD13" s="131">
        <f>SUM($H$7:$Y$7)</f>
        <v>95</v>
      </c>
      <c r="AE13" s="16"/>
      <c r="AF13" s="95"/>
      <c r="AG13" s="67"/>
      <c r="AH13" s="67">
        <v>8004168</v>
      </c>
      <c r="AI13" s="67"/>
      <c r="AJ13" s="68" t="str">
        <f>IF(AI13&gt;0,SUM(AH13)-SUM(AI13),"")</f>
        <v/>
      </c>
      <c r="AK13" s="102"/>
      <c r="AL13" s="48"/>
      <c r="AM13" s="105">
        <v>164</v>
      </c>
      <c r="AN13" s="69">
        <f>$M$3+AM13-1</f>
        <v>46050</v>
      </c>
      <c r="AO13" s="107">
        <f>AN13-AU13</f>
        <v>-144</v>
      </c>
      <c r="AP13" s="48"/>
      <c r="AQ13" s="111"/>
      <c r="AR13" s="70">
        <f>IFERROR(WORKDAY.INTL(AN13,AQ13,11),"")</f>
        <v>46050</v>
      </c>
      <c r="AS13" s="107">
        <f>AR13-AU13</f>
        <v>-144</v>
      </c>
      <c r="AT13" s="48"/>
      <c r="AU13" s="113">
        <f>IF(Y13&gt;0,Y13,IFERROR(MAX(_xlfn.XLOOKUP($AV13,$H$8:$Z$8,$G13:$Y13),$C$6)+(AN13-_xlfn.XLOOKUP($AV13,$H$8:$Z$8,$F13:$X13))*AD13/SUM($H$7:$Y$7),$C$6+SUM(AD13)))</f>
        <v>46194</v>
      </c>
      <c r="AV13" s="119" t="str" cm="1">
        <f t="array" ref="AV13">IF(OR(G13&gt;$C$6,G13=""),$F$8,INDEX($E$8:$Z$8,MATCH(TRUE,(F13:AA13=""),0)))</f>
        <v>4. Tender Float</v>
      </c>
      <c r="AW13" s="116" t="b">
        <f>IF(AND(G13&gt;0,G13&lt;$C$6),TRUE,FALSE)</f>
        <v>1</v>
      </c>
      <c r="AX13" s="71" t="b">
        <f>IF(AND(I13&gt;0,I13&lt;$C$6),TRUE,FALSE)</f>
        <v>1</v>
      </c>
      <c r="AY13" s="71" t="b">
        <f>IF(AND(K13&gt;0,K13&lt;$C$6),TRUE,FALSE)</f>
        <v>1</v>
      </c>
      <c r="AZ13" s="71" t="b">
        <f>IF(AND(M13&gt;0,M13&lt;$C$6),TRUE,FALSE)</f>
        <v>0</v>
      </c>
      <c r="BA13" s="71" t="b">
        <f>IF(AND(O13&gt;0,O13&lt;$C$6),TRUE,FALSE)</f>
        <v>0</v>
      </c>
      <c r="BB13" s="71" t="b">
        <f>IF(AND(Q13&gt;0,Q13&lt;$C$6),TRUE,FALSE)</f>
        <v>0</v>
      </c>
      <c r="BC13" s="71" t="b">
        <f>IF(AND(S13&gt;0,S13&lt;$C$6),TRUE,FALSE)</f>
        <v>0</v>
      </c>
      <c r="BD13" s="71" t="b">
        <f>IF(AND(U13&gt;0,U13&lt;$C$6),TRUE,FALSE)</f>
        <v>0</v>
      </c>
      <c r="BE13" s="71" t="b">
        <f>IF(AND(W13&gt;0,W13&lt;$C$6),TRUE,FALSE)</f>
        <v>0</v>
      </c>
      <c r="BF13" s="71" t="b">
        <f>IF(AND(Y13&gt;0,Y13&lt;$C$6),TRUE,FALSE)</f>
        <v>0</v>
      </c>
      <c r="BG13" s="89" t="b">
        <f>IF(AND(AA13&gt;0,AA13&lt;$C$6),TRUE,FALSE)</f>
        <v>0</v>
      </c>
      <c r="BH13" s="146"/>
    </row>
    <row r="14" spans="1:60" ht="23.25" x14ac:dyDescent="0.25">
      <c r="A14" s="54"/>
      <c r="B14" s="49"/>
      <c r="C14" s="50" t="s">
        <v>163</v>
      </c>
      <c r="D14" s="51"/>
      <c r="E14" s="51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1"/>
      <c r="AC14" s="51"/>
      <c r="AD14" s="132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1"/>
      <c r="BF14" s="51"/>
      <c r="BG14" s="88"/>
      <c r="BH14" s="146"/>
    </row>
    <row r="15" spans="1:60" ht="26.25" x14ac:dyDescent="0.25">
      <c r="A15" s="56" cm="1">
        <f t="array" ref="A15">SUMPRODUCT(($AV$10:$AV$18&lt;&gt;"")*(ROW($AV$10:$AV$18)&lt;=ROW()))</f>
        <v>4</v>
      </c>
      <c r="B15" s="59"/>
      <c r="C15" s="60" t="s">
        <v>212</v>
      </c>
      <c r="D15" s="59" t="s">
        <v>107</v>
      </c>
      <c r="E15" s="43"/>
      <c r="F15" s="44">
        <f t="shared" ref="F15:F18" si="3">H15-$H$7</f>
        <v>45963</v>
      </c>
      <c r="G15" s="45">
        <v>46050</v>
      </c>
      <c r="H15" s="44">
        <f t="shared" ref="H15:H18" si="4">J15-$J$7</f>
        <v>45970</v>
      </c>
      <c r="I15" s="45">
        <v>46006</v>
      </c>
      <c r="J15" s="44">
        <f t="shared" ref="J15:J18" si="5">L15-$L$7</f>
        <v>45976</v>
      </c>
      <c r="K15" s="45">
        <v>46017</v>
      </c>
      <c r="L15" s="44">
        <f t="shared" ref="L15:L18" si="6">N15-$N$7</f>
        <v>45979</v>
      </c>
      <c r="M15" s="45">
        <v>46055</v>
      </c>
      <c r="N15" s="44">
        <f t="shared" ref="N15:N18" si="7">P15-$P$7</f>
        <v>46009</v>
      </c>
      <c r="O15" s="45">
        <v>46066</v>
      </c>
      <c r="P15" s="44">
        <f t="shared" ref="P15:P18" si="8">R15-$R$7</f>
        <v>46019</v>
      </c>
      <c r="Q15" s="45">
        <v>46066</v>
      </c>
      <c r="R15" s="44">
        <f t="shared" ref="R15:R18" si="9">T15-$T$7</f>
        <v>46039</v>
      </c>
      <c r="S15" s="45">
        <v>46066</v>
      </c>
      <c r="T15" s="44">
        <f t="shared" ref="T15:T18" si="10">V15-$V$7</f>
        <v>46046</v>
      </c>
      <c r="U15" s="45"/>
      <c r="V15" s="44">
        <f t="shared" ref="V15:V18" si="11">X15-$X$7</f>
        <v>46053</v>
      </c>
      <c r="W15" s="45">
        <v>46111</v>
      </c>
      <c r="X15" s="44">
        <f t="shared" ref="X15:X18" si="12">AN15</f>
        <v>46058</v>
      </c>
      <c r="Y15" s="45"/>
      <c r="Z15" s="46">
        <f t="shared" ref="Z15:Z18" si="13">X15+$Z$7</f>
        <v>46068</v>
      </c>
      <c r="AA15" s="45"/>
      <c r="AB15" s="32">
        <f t="shared" ref="AB15:AB18" si="14">IF(AV15="10. Issued to Contractor","-",IF(AV15="11. Subcontract Agreement signed","-",MAX(AN15,AR15)-$C$6))</f>
        <v>-54</v>
      </c>
      <c r="AC15" s="16"/>
      <c r="AD15" s="131">
        <f t="shared" ref="AD15:AD18" si="15">SUM($H$7:$Y$7)</f>
        <v>95</v>
      </c>
      <c r="AE15" s="16"/>
      <c r="AF15" s="96"/>
      <c r="AG15" s="72"/>
      <c r="AH15" s="72">
        <v>8000000</v>
      </c>
      <c r="AI15" s="72"/>
      <c r="AJ15" s="73" t="str">
        <f>IF(AI15&gt;0,SUM(AH15)-SUM(AI15),"")</f>
        <v/>
      </c>
      <c r="AK15" s="101"/>
      <c r="AL15" s="48"/>
      <c r="AM15" s="104">
        <v>172</v>
      </c>
      <c r="AN15" s="74">
        <f t="shared" ref="AN15:AN18" si="16">$M$3+AM15-1</f>
        <v>46058</v>
      </c>
      <c r="AO15" s="108">
        <f t="shared" ref="AO15:AO17" si="17">AN15-AU15</f>
        <v>-73</v>
      </c>
      <c r="AP15" s="48"/>
      <c r="AQ15" s="110"/>
      <c r="AR15" s="75">
        <f t="shared" ref="AR15:AR17" si="18">IFERROR(WORKDAY.INTL(AN15,AQ15,11),"")</f>
        <v>46058</v>
      </c>
      <c r="AS15" s="108">
        <f t="shared" ref="AS15:AS17" si="19">AR15-AU15</f>
        <v>-73</v>
      </c>
      <c r="AT15" s="48"/>
      <c r="AU15" s="114">
        <f t="shared" ref="AU15:AU18" si="20">IF(Y15&gt;0,Y15,IFERROR(MAX(_xlfn.XLOOKUP($AV15,$H$8:$Z$8,$G15:$Y15),$C$6)+(AN15-_xlfn.XLOOKUP($AV15,$H$8:$Z$8,$F15:$X15))*AD15/SUM($H$7:$Y$7),$C$6+SUM(AD15)))</f>
        <v>46131</v>
      </c>
      <c r="AV15" s="120" t="str" cm="1">
        <f t="array" ref="AV15">IF(OR(G15&gt;$C$6,G15=""),$F$8,INDEX($E$8:$Z$8,MATCH(TRUE,(F15:AA15=""),0)))</f>
        <v>8. Tech &amp; Com Review</v>
      </c>
      <c r="AW15" s="117" t="b">
        <f t="shared" ref="AW15:AW18" si="21">IF(AND(G15&gt;0,G15&lt;$C$6),TRUE,FALSE)</f>
        <v>1</v>
      </c>
      <c r="AX15" s="76" t="b">
        <f t="shared" ref="AX15:AX18" si="22">IF(AND(I15&gt;0,I15&lt;$C$6),TRUE,FALSE)</f>
        <v>1</v>
      </c>
      <c r="AY15" s="76" t="b">
        <f t="shared" ref="AY15:AY18" si="23">IF(AND(K15&gt;0,K15&lt;$C$6),TRUE,FALSE)</f>
        <v>1</v>
      </c>
      <c r="AZ15" s="76" t="b">
        <f t="shared" ref="AZ15:AZ18" si="24">IF(AND(M15&gt;0,M15&lt;$C$6),TRUE,FALSE)</f>
        <v>1</v>
      </c>
      <c r="BA15" s="76" t="b">
        <f t="shared" ref="BA15:BA18" si="25">IF(AND(O15&gt;0,O15&lt;$C$6),TRUE,FALSE)</f>
        <v>1</v>
      </c>
      <c r="BB15" s="76" t="b">
        <f t="shared" ref="BB15:BB18" si="26">IF(AND(Q15&gt;0,Q15&lt;$C$6),TRUE,FALSE)</f>
        <v>1</v>
      </c>
      <c r="BC15" s="76" t="b">
        <f t="shared" ref="BC15:BC18" si="27">IF(AND(S15&gt;0,S15&lt;$C$6),TRUE,FALSE)</f>
        <v>1</v>
      </c>
      <c r="BD15" s="76" t="b">
        <f t="shared" ref="BD15:BD18" si="28">IF(AND(U15&gt;0,U15&lt;$C$6),TRUE,FALSE)</f>
        <v>0</v>
      </c>
      <c r="BE15" s="76" t="b">
        <f t="shared" ref="BE15:BE18" si="29">IF(AND(W15&gt;0,W15&lt;$C$6),TRUE,FALSE)</f>
        <v>1</v>
      </c>
      <c r="BF15" s="76" t="b">
        <f t="shared" ref="BF15:BF18" si="30">IF(AND(Y15&gt;0,Y15&lt;$C$6),TRUE,FALSE)</f>
        <v>0</v>
      </c>
      <c r="BG15" s="90" t="b">
        <f t="shared" ref="BG15:BG18" si="31">IF(AND(AA15&gt;0,AA15&lt;$C$6),TRUE,FALSE)</f>
        <v>0</v>
      </c>
      <c r="BH15" s="146"/>
    </row>
    <row r="16" spans="1:60" ht="26.25" x14ac:dyDescent="0.25">
      <c r="A16" s="56" cm="1">
        <f t="array" ref="A16">SUMPRODUCT(($AV$10:$AV$18&lt;&gt;"")*(ROW($AV$10:$AV$18)&lt;=ROW()))</f>
        <v>5</v>
      </c>
      <c r="B16" s="57"/>
      <c r="C16" s="58" t="s">
        <v>188</v>
      </c>
      <c r="D16" s="93" t="s">
        <v>13</v>
      </c>
      <c r="E16" s="16"/>
      <c r="F16" s="29">
        <f t="shared" si="3"/>
        <v>46001</v>
      </c>
      <c r="G16" s="42"/>
      <c r="H16" s="29">
        <f t="shared" si="4"/>
        <v>46008</v>
      </c>
      <c r="I16" s="42"/>
      <c r="J16" s="29">
        <f t="shared" si="5"/>
        <v>46014</v>
      </c>
      <c r="K16" s="42"/>
      <c r="L16" s="29">
        <f t="shared" si="6"/>
        <v>46017</v>
      </c>
      <c r="M16" s="42"/>
      <c r="N16" s="29">
        <f t="shared" si="7"/>
        <v>46047</v>
      </c>
      <c r="O16" s="42"/>
      <c r="P16" s="29">
        <f t="shared" si="8"/>
        <v>46057</v>
      </c>
      <c r="Q16" s="42"/>
      <c r="R16" s="29">
        <f t="shared" si="9"/>
        <v>46077</v>
      </c>
      <c r="S16" s="42"/>
      <c r="T16" s="29">
        <f t="shared" si="10"/>
        <v>46084</v>
      </c>
      <c r="U16" s="42"/>
      <c r="V16" s="29">
        <f t="shared" si="11"/>
        <v>46091</v>
      </c>
      <c r="W16" s="42"/>
      <c r="X16" s="29">
        <f t="shared" si="12"/>
        <v>46096</v>
      </c>
      <c r="Y16" s="42"/>
      <c r="Z16" s="30">
        <f t="shared" si="13"/>
        <v>46106</v>
      </c>
      <c r="AA16" s="42"/>
      <c r="AB16" s="31">
        <f t="shared" si="14"/>
        <v>-16</v>
      </c>
      <c r="AC16" s="16"/>
      <c r="AD16" s="131">
        <f t="shared" si="15"/>
        <v>95</v>
      </c>
      <c r="AE16" s="16"/>
      <c r="AF16" s="95"/>
      <c r="AG16" s="67"/>
      <c r="AH16" s="67">
        <v>10200000</v>
      </c>
      <c r="AI16" s="67"/>
      <c r="AJ16" s="68" t="str">
        <f>IF(AI16&gt;0,SUM(AH16)-SUM(AI16),"")</f>
        <v/>
      </c>
      <c r="AK16" s="102"/>
      <c r="AL16" s="48"/>
      <c r="AM16" s="105">
        <v>210</v>
      </c>
      <c r="AN16" s="69">
        <f t="shared" si="16"/>
        <v>46096</v>
      </c>
      <c r="AO16" s="107">
        <f t="shared" si="17"/>
        <v>-111</v>
      </c>
      <c r="AP16" s="48"/>
      <c r="AQ16" s="111"/>
      <c r="AR16" s="70">
        <f t="shared" si="18"/>
        <v>46096</v>
      </c>
      <c r="AS16" s="107">
        <f t="shared" si="19"/>
        <v>-111</v>
      </c>
      <c r="AT16" s="48"/>
      <c r="AU16" s="113">
        <f t="shared" si="20"/>
        <v>46207</v>
      </c>
      <c r="AV16" s="119" t="str" cm="1">
        <f t="array" ref="AV16">IF(OR(G16&gt;$C$6,G16=""),$F$8,INDEX($E$8:$Z$8,MATCH(TRUE,(F16:AA16=""),0)))</f>
        <v>1. Tender Docs &amp; BOQ</v>
      </c>
      <c r="AW16" s="116" t="b">
        <f t="shared" si="21"/>
        <v>0</v>
      </c>
      <c r="AX16" s="71" t="b">
        <f t="shared" si="22"/>
        <v>0</v>
      </c>
      <c r="AY16" s="71" t="b">
        <f t="shared" si="23"/>
        <v>0</v>
      </c>
      <c r="AZ16" s="71" t="b">
        <f t="shared" si="24"/>
        <v>0</v>
      </c>
      <c r="BA16" s="71" t="b">
        <f t="shared" si="25"/>
        <v>0</v>
      </c>
      <c r="BB16" s="71" t="b">
        <f t="shared" si="26"/>
        <v>0</v>
      </c>
      <c r="BC16" s="71" t="b">
        <f t="shared" si="27"/>
        <v>0</v>
      </c>
      <c r="BD16" s="71" t="b">
        <f t="shared" si="28"/>
        <v>0</v>
      </c>
      <c r="BE16" s="71" t="b">
        <f t="shared" si="29"/>
        <v>0</v>
      </c>
      <c r="BF16" s="71" t="b">
        <f t="shared" si="30"/>
        <v>0</v>
      </c>
      <c r="BG16" s="89" t="b">
        <f t="shared" si="31"/>
        <v>0</v>
      </c>
      <c r="BH16" s="146"/>
    </row>
    <row r="17" spans="1:60" ht="26.25" x14ac:dyDescent="0.25">
      <c r="A17" s="56" cm="1">
        <f t="array" ref="A17">SUMPRODUCT(($AV$10:$AV$18&lt;&gt;"")*(ROW($AV$10:$AV$18)&lt;=ROW()))</f>
        <v>6</v>
      </c>
      <c r="B17" s="59"/>
      <c r="C17" s="205" t="s">
        <v>267</v>
      </c>
      <c r="D17" s="59" t="s">
        <v>13</v>
      </c>
      <c r="E17" s="43"/>
      <c r="F17" s="44">
        <f t="shared" si="3"/>
        <v>46271</v>
      </c>
      <c r="G17" s="45"/>
      <c r="H17" s="44">
        <f t="shared" si="4"/>
        <v>46278</v>
      </c>
      <c r="I17" s="45"/>
      <c r="J17" s="44">
        <f t="shared" si="5"/>
        <v>46284</v>
      </c>
      <c r="K17" s="45"/>
      <c r="L17" s="44">
        <f t="shared" si="6"/>
        <v>46287</v>
      </c>
      <c r="M17" s="45"/>
      <c r="N17" s="44">
        <f t="shared" si="7"/>
        <v>46317</v>
      </c>
      <c r="O17" s="45"/>
      <c r="P17" s="44">
        <f t="shared" si="8"/>
        <v>46327</v>
      </c>
      <c r="Q17" s="45"/>
      <c r="R17" s="44">
        <f t="shared" si="9"/>
        <v>46347</v>
      </c>
      <c r="S17" s="45"/>
      <c r="T17" s="44">
        <f t="shared" si="10"/>
        <v>46354</v>
      </c>
      <c r="U17" s="45"/>
      <c r="V17" s="44">
        <f t="shared" si="11"/>
        <v>46361</v>
      </c>
      <c r="W17" s="45"/>
      <c r="X17" s="44">
        <f t="shared" si="12"/>
        <v>46366</v>
      </c>
      <c r="Y17" s="45"/>
      <c r="Z17" s="46">
        <f t="shared" si="13"/>
        <v>46376</v>
      </c>
      <c r="AA17" s="45"/>
      <c r="AB17" s="32">
        <f t="shared" si="14"/>
        <v>254</v>
      </c>
      <c r="AC17" s="16"/>
      <c r="AD17" s="131">
        <f t="shared" si="15"/>
        <v>95</v>
      </c>
      <c r="AE17" s="16"/>
      <c r="AF17" s="96"/>
      <c r="AG17" s="72"/>
      <c r="AH17" s="72">
        <v>1600000</v>
      </c>
      <c r="AI17" s="72"/>
      <c r="AJ17" s="73" t="str">
        <f>IF(AI17&gt;0,SUM(AH17)-SUM(AI17),"")</f>
        <v/>
      </c>
      <c r="AK17" s="101"/>
      <c r="AL17" s="48"/>
      <c r="AM17" s="104">
        <v>480</v>
      </c>
      <c r="AN17" s="74">
        <f t="shared" si="16"/>
        <v>46366</v>
      </c>
      <c r="AO17" s="108">
        <f t="shared" si="17"/>
        <v>159</v>
      </c>
      <c r="AP17" s="48"/>
      <c r="AQ17" s="110"/>
      <c r="AR17" s="75">
        <f t="shared" si="18"/>
        <v>46366</v>
      </c>
      <c r="AS17" s="108">
        <f t="shared" si="19"/>
        <v>159</v>
      </c>
      <c r="AT17" s="48"/>
      <c r="AU17" s="114">
        <f t="shared" si="20"/>
        <v>46207</v>
      </c>
      <c r="AV17" s="120" t="str" cm="1">
        <f t="array" ref="AV17">IF(OR(G17&gt;$C$6,G17=""),$F$8,INDEX($E$8:$Z$8,MATCH(TRUE,(F17:AA17=""),0)))</f>
        <v>1. Tender Docs &amp; BOQ</v>
      </c>
      <c r="AW17" s="117" t="b">
        <f t="shared" si="21"/>
        <v>0</v>
      </c>
      <c r="AX17" s="76" t="b">
        <f t="shared" si="22"/>
        <v>0</v>
      </c>
      <c r="AY17" s="76" t="b">
        <f t="shared" si="23"/>
        <v>0</v>
      </c>
      <c r="AZ17" s="76" t="b">
        <f t="shared" si="24"/>
        <v>0</v>
      </c>
      <c r="BA17" s="76" t="b">
        <f t="shared" si="25"/>
        <v>0</v>
      </c>
      <c r="BB17" s="76" t="b">
        <f t="shared" si="26"/>
        <v>0</v>
      </c>
      <c r="BC17" s="76" t="b">
        <f t="shared" si="27"/>
        <v>0</v>
      </c>
      <c r="BD17" s="76" t="b">
        <f t="shared" si="28"/>
        <v>0</v>
      </c>
      <c r="BE17" s="76" t="b">
        <f t="shared" si="29"/>
        <v>0</v>
      </c>
      <c r="BF17" s="76" t="b">
        <f t="shared" si="30"/>
        <v>0</v>
      </c>
      <c r="BG17" s="90" t="b">
        <f t="shared" si="31"/>
        <v>0</v>
      </c>
      <c r="BH17" s="146"/>
    </row>
    <row r="18" spans="1:60" ht="26.25" x14ac:dyDescent="0.25">
      <c r="A18" s="56" cm="1">
        <f t="array" ref="A18">SUMPRODUCT(($AV$10:$AV$18&lt;&gt;"")*(ROW($AV$10:$AV$18)&lt;=ROW()))</f>
        <v>7</v>
      </c>
      <c r="B18" s="57"/>
      <c r="C18" s="58" t="s">
        <v>266</v>
      </c>
      <c r="D18" s="93" t="s">
        <v>13</v>
      </c>
      <c r="E18" s="16"/>
      <c r="F18" s="29">
        <f t="shared" si="3"/>
        <v>46302</v>
      </c>
      <c r="G18" s="42"/>
      <c r="H18" s="29">
        <f t="shared" si="4"/>
        <v>46309</v>
      </c>
      <c r="I18" s="42"/>
      <c r="J18" s="29">
        <f t="shared" si="5"/>
        <v>46315</v>
      </c>
      <c r="K18" s="42"/>
      <c r="L18" s="29">
        <f t="shared" si="6"/>
        <v>46318</v>
      </c>
      <c r="M18" s="42"/>
      <c r="N18" s="29">
        <f t="shared" si="7"/>
        <v>46348</v>
      </c>
      <c r="O18" s="42"/>
      <c r="P18" s="29">
        <f t="shared" si="8"/>
        <v>46358</v>
      </c>
      <c r="Q18" s="42"/>
      <c r="R18" s="29">
        <f t="shared" si="9"/>
        <v>46378</v>
      </c>
      <c r="S18" s="42"/>
      <c r="T18" s="29">
        <f t="shared" si="10"/>
        <v>46385</v>
      </c>
      <c r="U18" s="42"/>
      <c r="V18" s="29">
        <f t="shared" si="11"/>
        <v>46392</v>
      </c>
      <c r="W18" s="42"/>
      <c r="X18" s="29">
        <f t="shared" si="12"/>
        <v>46397</v>
      </c>
      <c r="Y18" s="42"/>
      <c r="Z18" s="30">
        <f t="shared" si="13"/>
        <v>46407</v>
      </c>
      <c r="AA18" s="42"/>
      <c r="AB18" s="31">
        <f t="shared" si="14"/>
        <v>285</v>
      </c>
      <c r="AC18" s="16"/>
      <c r="AD18" s="131">
        <f t="shared" si="15"/>
        <v>95</v>
      </c>
      <c r="AE18" s="16"/>
      <c r="AF18" s="95"/>
      <c r="AG18" s="67"/>
      <c r="AH18" s="67">
        <v>1700000</v>
      </c>
      <c r="AI18" s="67"/>
      <c r="AJ18" s="68" t="str">
        <f>IF(AI18&gt;0,SUM(AH18)-SUM(AI18),"")</f>
        <v/>
      </c>
      <c r="AK18" s="102"/>
      <c r="AL18" s="48"/>
      <c r="AM18" s="105">
        <v>511</v>
      </c>
      <c r="AN18" s="69">
        <f t="shared" si="16"/>
        <v>46397</v>
      </c>
      <c r="AO18" s="107">
        <f>AN18-AU18</f>
        <v>190</v>
      </c>
      <c r="AP18" s="48"/>
      <c r="AQ18" s="111"/>
      <c r="AR18" s="70">
        <f>IFERROR(WORKDAY.INTL(AN18,AQ18,11),"")</f>
        <v>46397</v>
      </c>
      <c r="AS18" s="107">
        <f>AR18-AU18</f>
        <v>190</v>
      </c>
      <c r="AT18" s="48"/>
      <c r="AU18" s="113">
        <f t="shared" si="20"/>
        <v>46207</v>
      </c>
      <c r="AV18" s="119" t="str" cm="1">
        <f t="array" ref="AV18">IF(OR(G18&gt;$C$6,G18=""),$F$8,INDEX($E$8:$Z$8,MATCH(TRUE,(F18:AA18=""),0)))</f>
        <v>1. Tender Docs &amp; BOQ</v>
      </c>
      <c r="AW18" s="116" t="b">
        <f t="shared" si="21"/>
        <v>0</v>
      </c>
      <c r="AX18" s="71" t="b">
        <f t="shared" si="22"/>
        <v>0</v>
      </c>
      <c r="AY18" s="71" t="b">
        <f t="shared" si="23"/>
        <v>0</v>
      </c>
      <c r="AZ18" s="71" t="b">
        <f t="shared" si="24"/>
        <v>0</v>
      </c>
      <c r="BA18" s="71" t="b">
        <f t="shared" si="25"/>
        <v>0</v>
      </c>
      <c r="BB18" s="71" t="b">
        <f t="shared" si="26"/>
        <v>0</v>
      </c>
      <c r="BC18" s="71" t="b">
        <f t="shared" si="27"/>
        <v>0</v>
      </c>
      <c r="BD18" s="71" t="b">
        <f t="shared" si="28"/>
        <v>0</v>
      </c>
      <c r="BE18" s="71" t="b">
        <f t="shared" si="29"/>
        <v>0</v>
      </c>
      <c r="BF18" s="71" t="b">
        <f t="shared" si="30"/>
        <v>0</v>
      </c>
      <c r="BG18" s="89" t="b">
        <f t="shared" si="31"/>
        <v>0</v>
      </c>
      <c r="BH18" s="146"/>
    </row>
    <row r="19" spans="1:60" ht="23.25" x14ac:dyDescent="0.25">
      <c r="A19" s="8"/>
      <c r="B19" s="8"/>
      <c r="C19" s="34" t="s">
        <v>189</v>
      </c>
      <c r="D19" s="100"/>
      <c r="E19" s="16"/>
      <c r="F19" s="123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124"/>
      <c r="AC19" s="16"/>
      <c r="AD19" s="130"/>
      <c r="AE19" s="16"/>
      <c r="AF19" s="99">
        <f>SUM(AF10:AF18)</f>
        <v>0</v>
      </c>
      <c r="AG19" s="10">
        <f>SUM(AG10:AG18)</f>
        <v>0</v>
      </c>
      <c r="AH19" s="10">
        <f>SUM(AH10:AH18)</f>
        <v>60504168</v>
      </c>
      <c r="AI19" s="10">
        <f>SUM(AI10:AI18)</f>
        <v>0</v>
      </c>
      <c r="AJ19" s="10">
        <f>SUM(AJ10:AJ18)</f>
        <v>0</v>
      </c>
      <c r="AK19" s="9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92"/>
      <c r="BH19" s="146"/>
    </row>
    <row r="20" spans="1:60" ht="23.25" x14ac:dyDescent="0.25">
      <c r="BH20" s="146"/>
    </row>
    <row r="21" spans="1:60" ht="23.25" x14ac:dyDescent="0.25">
      <c r="B21" s="3">
        <v>1</v>
      </c>
      <c r="C21" s="174" t="s">
        <v>490</v>
      </c>
      <c r="D21" s="192"/>
      <c r="E21" s="182"/>
      <c r="F21" s="193"/>
      <c r="G21" s="193"/>
      <c r="H21" s="193"/>
      <c r="I21" s="193"/>
      <c r="J21" s="193"/>
      <c r="K21" s="193"/>
      <c r="L21" s="193"/>
      <c r="M21" s="193"/>
      <c r="N21" s="193"/>
      <c r="O21" s="193"/>
      <c r="P21" s="193"/>
      <c r="Q21" s="193"/>
      <c r="R21" s="193"/>
      <c r="S21" s="193"/>
      <c r="T21" s="193"/>
      <c r="U21" s="193"/>
      <c r="V21" s="193"/>
      <c r="W21" s="193"/>
      <c r="X21" s="193"/>
      <c r="Y21" s="193"/>
      <c r="Z21" s="193"/>
      <c r="AA21" s="193"/>
      <c r="AB21" s="192"/>
      <c r="AC21" s="182"/>
      <c r="AD21" s="192"/>
      <c r="AE21" s="182"/>
      <c r="AF21" s="182" t="s">
        <v>491</v>
      </c>
      <c r="BH21" s="146"/>
    </row>
    <row r="22" spans="1:60" ht="23.25" x14ac:dyDescent="0.25">
      <c r="B22" s="3">
        <v>2</v>
      </c>
      <c r="C22" s="7" t="s">
        <v>505</v>
      </c>
      <c r="AF22" s="3" t="s">
        <v>492</v>
      </c>
      <c r="BH22" s="146"/>
    </row>
    <row r="23" spans="1:60" ht="23.25" x14ac:dyDescent="0.25">
      <c r="B23" s="3">
        <v>3</v>
      </c>
      <c r="C23" s="7" t="s">
        <v>493</v>
      </c>
      <c r="BH23" s="146"/>
    </row>
    <row r="24" spans="1:60" ht="23.25" x14ac:dyDescent="0.25">
      <c r="B24" s="3">
        <v>4</v>
      </c>
      <c r="C24" s="7" t="s">
        <v>494</v>
      </c>
      <c r="BH24" s="146"/>
    </row>
    <row r="25" spans="1:60" ht="23.25" x14ac:dyDescent="0.25">
      <c r="B25" s="3">
        <v>5</v>
      </c>
      <c r="BH25" s="146"/>
    </row>
    <row r="26" spans="1:60" ht="23.25" x14ac:dyDescent="0.25">
      <c r="BH26" s="146"/>
    </row>
    <row r="27" spans="1:60" ht="23.25" x14ac:dyDescent="0.25">
      <c r="BH27" s="146"/>
    </row>
    <row r="28" spans="1:60" ht="23.25" x14ac:dyDescent="0.25">
      <c r="BH28" s="146"/>
    </row>
    <row r="29" spans="1:60" ht="23.25" x14ac:dyDescent="0.25">
      <c r="BH29" s="146"/>
    </row>
    <row r="30" spans="1:60" ht="23.25" x14ac:dyDescent="0.25">
      <c r="BH30" s="146"/>
    </row>
    <row r="31" spans="1:60" ht="23.25" x14ac:dyDescent="0.25">
      <c r="BH31" s="146"/>
    </row>
    <row r="32" spans="1:60" ht="23.25" x14ac:dyDescent="0.25">
      <c r="BH32" s="146"/>
    </row>
    <row r="33" spans="60:60" ht="23.25" x14ac:dyDescent="0.25">
      <c r="BH33" s="146"/>
    </row>
    <row r="34" spans="60:60" ht="23.25" x14ac:dyDescent="0.25">
      <c r="BH34" s="146"/>
    </row>
    <row r="35" spans="60:60" ht="23.25" x14ac:dyDescent="0.25">
      <c r="BH35" s="146"/>
    </row>
    <row r="36" spans="60:60" ht="23.25" x14ac:dyDescent="0.25">
      <c r="BH36" s="146"/>
    </row>
    <row r="37" spans="60:60" ht="23.25" x14ac:dyDescent="0.25">
      <c r="BH37" s="146"/>
    </row>
    <row r="38" spans="60:60" ht="23.25" x14ac:dyDescent="0.25">
      <c r="BH38" s="146"/>
    </row>
    <row r="39" spans="60:60" ht="23.25" x14ac:dyDescent="0.25">
      <c r="BH39" s="146"/>
    </row>
    <row r="40" spans="60:60" ht="23.25" x14ac:dyDescent="0.25">
      <c r="BH40" s="146"/>
    </row>
  </sheetData>
  <sheetProtection formatColumns="0" formatRows="0" autoFilter="0"/>
  <mergeCells count="75">
    <mergeCell ref="AU7:AU9"/>
    <mergeCell ref="AG7:AG9"/>
    <mergeCell ref="AH7:AH9"/>
    <mergeCell ref="AI7:AI9"/>
    <mergeCell ref="AJ7:AJ9"/>
    <mergeCell ref="AK7:AK9"/>
    <mergeCell ref="AN7:AN9"/>
    <mergeCell ref="AO7:AO9"/>
    <mergeCell ref="AQ7:AQ9"/>
    <mergeCell ref="AR7:AR9"/>
    <mergeCell ref="AS7:AS9"/>
    <mergeCell ref="AM7:AM9"/>
    <mergeCell ref="BF7:BF9"/>
    <mergeCell ref="BG7:BG9"/>
    <mergeCell ref="AV7:AV9"/>
    <mergeCell ref="AW7:AW9"/>
    <mergeCell ref="AX7:AX9"/>
    <mergeCell ref="AY7:AY9"/>
    <mergeCell ref="AZ7:AZ9"/>
    <mergeCell ref="BA7:BA9"/>
    <mergeCell ref="BB7:BB9"/>
    <mergeCell ref="BC7:BC9"/>
    <mergeCell ref="BD7:BD9"/>
    <mergeCell ref="BE7:BE9"/>
    <mergeCell ref="AF7:AF9"/>
    <mergeCell ref="V8:W8"/>
    <mergeCell ref="X8:Y8"/>
    <mergeCell ref="Z8:AA8"/>
    <mergeCell ref="T7:U7"/>
    <mergeCell ref="V7:W7"/>
    <mergeCell ref="X7:Y7"/>
    <mergeCell ref="Z7:AA7"/>
    <mergeCell ref="AB7:AB9"/>
    <mergeCell ref="AD7:AD9"/>
    <mergeCell ref="A7:A9"/>
    <mergeCell ref="B7:B9"/>
    <mergeCell ref="C7:C9"/>
    <mergeCell ref="D7:D9"/>
    <mergeCell ref="F7:G7"/>
    <mergeCell ref="H7:I7"/>
    <mergeCell ref="F8:G8"/>
    <mergeCell ref="H8:I8"/>
    <mergeCell ref="J7:K7"/>
    <mergeCell ref="L7:M7"/>
    <mergeCell ref="L8:M8"/>
    <mergeCell ref="N7:O7"/>
    <mergeCell ref="P7:Q7"/>
    <mergeCell ref="R7:S7"/>
    <mergeCell ref="T8:U8"/>
    <mergeCell ref="J8:K8"/>
    <mergeCell ref="N8:O8"/>
    <mergeCell ref="P8:Q8"/>
    <mergeCell ref="R8:S8"/>
    <mergeCell ref="H3:H4"/>
    <mergeCell ref="I3:I4"/>
    <mergeCell ref="J3:J4"/>
    <mergeCell ref="K3:K4"/>
    <mergeCell ref="L3:L4"/>
    <mergeCell ref="M3:N4"/>
    <mergeCell ref="I1:I2"/>
    <mergeCell ref="J1:J2"/>
    <mergeCell ref="K1:K2"/>
    <mergeCell ref="L1:L2"/>
    <mergeCell ref="M1:N2"/>
    <mergeCell ref="A3:B4"/>
    <mergeCell ref="C3:C4"/>
    <mergeCell ref="D3:D4"/>
    <mergeCell ref="F3:F4"/>
    <mergeCell ref="G3:G4"/>
    <mergeCell ref="H1:H2"/>
    <mergeCell ref="A1:B2"/>
    <mergeCell ref="C1:C2"/>
    <mergeCell ref="D1:D2"/>
    <mergeCell ref="F1:F2"/>
    <mergeCell ref="G1:G2"/>
  </mergeCells>
  <conditionalFormatting sqref="G11:G13 I11:I13 K11:K13 M11:M13 O11:O13 Q11:Q13 S11:S13 U11:U13 W11:W13 Y11:Y13 AA11:AA13 G15:G18 I15:I18 K15:K18 M15:M18 O15:O18 Q15:Q18 S15:S18 U15:U18 W15:W18 Y15:Y18 AA15:AA18">
    <cfRule type="cellIs" dxfId="43" priority="6" operator="between">
      <formula>1</formula>
      <formula>$C$6</formula>
    </cfRule>
  </conditionalFormatting>
  <conditionalFormatting sqref="AB10:AB19">
    <cfRule type="cellIs" dxfId="42" priority="10" operator="lessThan">
      <formula>0</formula>
    </cfRule>
  </conditionalFormatting>
  <conditionalFormatting sqref="AO11:AO13 AS11:AS13 AO15:AO18 AS15:AS18">
    <cfRule type="cellIs" dxfId="41" priority="11" operator="lessThan">
      <formula>0</formula>
    </cfRule>
  </conditionalFormatting>
  <conditionalFormatting sqref="AW11:BG13 BB14:BG14 AW15:BG18 AL19:BG19">
    <cfRule type="cellIs" dxfId="34" priority="7" operator="equal">
      <formula>TRUE</formula>
    </cfRule>
  </conditionalFormatting>
  <conditionalFormatting sqref="BB10:BG10">
    <cfRule type="cellIs" dxfId="33" priority="5" operator="equal">
      <formula>TRUE</formula>
    </cfRule>
  </conditionalFormatting>
  <pageMargins left="3.937007874015748E-2" right="3.937007874015748E-2" top="0.74803149606299213" bottom="0.74803149606299213" header="0.31496062992125984" footer="0.31496062992125984"/>
  <pageSetup paperSize="8" scale="71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6098A303-29D4-4A2A-B562-D3AB6AA9DCF3}">
            <xm:f>AV11=Data!$B$12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8" stopIfTrue="1" id="{17B39A31-4245-4F27-9DFA-22B3FE158314}">
            <xm:f>AV11=Data!$B$11</xm:f>
            <x14:dxf>
              <fill>
                <patternFill>
                  <bgColor theme="9" tint="0.79998168889431442"/>
                </patternFill>
              </fill>
            </x14:dxf>
          </x14:cfRule>
          <x14:cfRule type="expression" priority="9" id="{B3DEC802-7E92-4755-8ED0-D92B93F863EF}">
            <xm:f>AV11=Data!$B$2</xm:f>
            <x14:dxf>
              <fill>
                <patternFill>
                  <bgColor rgb="FFFFE5E5"/>
                </patternFill>
              </fill>
            </x14:dxf>
          </x14:cfRule>
          <xm:sqref>AU11:AU20</xm:sqref>
        </x14:conditionalFormatting>
        <x14:conditionalFormatting xmlns:xm="http://schemas.microsoft.com/office/excel/2006/main">
          <x14:cfRule type="cellIs" priority="1" operator="equal" id="{EC3F4B51-E807-48D7-B8C8-87B3C30EFA91}">
            <xm:f>Data!$B$12</xm:f>
            <x14:dxf>
              <fill>
                <patternFill>
                  <bgColor theme="9" tint="0.59996337778862885"/>
                </patternFill>
              </fill>
            </x14:dxf>
          </x14:cfRule>
          <x14:cfRule type="cellIs" priority="2" stopIfTrue="1" operator="equal" id="{94D56104-1FD4-473E-9EBC-77B95E4ACC1D}">
            <xm:f>Data!$B$11</xm:f>
            <x14:dxf>
              <fill>
                <patternFill>
                  <bgColor theme="9" tint="0.79998168889431442"/>
                </patternFill>
              </fill>
            </x14:dxf>
          </x14:cfRule>
          <x14:cfRule type="cellIs" priority="3" operator="equal" id="{1D9AF6B1-13F3-4657-89DF-71D3516F135F}">
            <xm:f>Data!$B$2</xm:f>
            <x14:dxf>
              <fill>
                <patternFill>
                  <bgColor rgb="FFFFE5E5"/>
                </patternFill>
              </fill>
            </x14:dxf>
          </x14:cfRule>
          <xm:sqref>AV11:AV13 AV15:AV18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4334A2E-666F-4BBE-94F2-B23E3693FD20}">
          <x14:formula1>
            <xm:f>Data!$B$2:$B$13</xm:f>
          </x14:formula1>
          <xm:sqref>AV15:AV18 AV11:AV13</xm:sqref>
        </x14:dataValidation>
        <x14:dataValidation type="list" allowBlank="1" showInputMessage="1" showErrorMessage="1" xr:uid="{D03D8F8D-DFA5-472B-BAD4-1F7B70AA4672}">
          <x14:formula1>
            <xm:f>Data!$C$2:$C$12</xm:f>
          </x14:formula1>
          <xm:sqref>D15:D18 D11:D13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24135-2A98-4930-A23B-2944F7A0D6E1}">
  <sheetPr codeName="Sheet15">
    <tabColor theme="4" tint="0.59999389629810485"/>
    <pageSetUpPr fitToPage="1"/>
  </sheetPr>
  <dimension ref="A1:BH54"/>
  <sheetViews>
    <sheetView showGridLines="0" zoomScale="80" zoomScaleNormal="80" zoomScalePageLayoutView="55" workbookViewId="0">
      <pane xSplit="3" ySplit="9" topLeftCell="D10" activePane="bottomRight" state="frozen"/>
      <selection pane="topRight" activeCell="AI6" sqref="AI6:AI8"/>
      <selection pane="bottomLeft" activeCell="AI6" sqref="AI6:AI8"/>
      <selection pane="bottomRight" activeCell="D12" sqref="D12"/>
    </sheetView>
  </sheetViews>
  <sheetFormatPr defaultColWidth="9.140625" defaultRowHeight="12.75" outlineLevelRow="1" outlineLevelCol="1" x14ac:dyDescent="0.25"/>
  <cols>
    <col min="1" max="2" width="7.42578125" style="3" customWidth="1"/>
    <col min="3" max="3" width="39.140625" style="7" customWidth="1"/>
    <col min="4" max="4" width="14.5703125" style="5" customWidth="1" outlineLevel="1"/>
    <col min="5" max="5" width="1.140625" style="3" customWidth="1" outlineLevel="1"/>
    <col min="6" max="27" width="11.85546875" style="4" customWidth="1" outlineLevel="1"/>
    <col min="28" max="28" width="11.85546875" style="5" customWidth="1" outlineLevel="1"/>
    <col min="29" max="29" width="1" style="3" customWidth="1" outlineLevel="1"/>
    <col min="30" max="30" width="14.42578125" style="5" customWidth="1" outlineLevel="1"/>
    <col min="31" max="31" width="1.140625" style="3" customWidth="1" outlineLevel="1"/>
    <col min="32" max="35" width="14.85546875" style="3" customWidth="1"/>
    <col min="36" max="36" width="15.5703125" style="3" hidden="1" customWidth="1" outlineLevel="1"/>
    <col min="37" max="37" width="23.5703125" style="3" customWidth="1" collapsed="1"/>
    <col min="38" max="38" width="0.85546875" style="3" customWidth="1"/>
    <col min="39" max="39" width="7.42578125" style="3" customWidth="1"/>
    <col min="40" max="40" width="13.5703125" style="3" customWidth="1"/>
    <col min="41" max="41" width="7.140625" style="5" customWidth="1"/>
    <col min="42" max="42" width="0.85546875" style="3" customWidth="1"/>
    <col min="43" max="43" width="10.5703125" style="5" customWidth="1"/>
    <col min="44" max="44" width="16.85546875" style="3" customWidth="1"/>
    <col min="45" max="45" width="7.140625" style="5" customWidth="1"/>
    <col min="46" max="46" width="0.85546875" style="3" customWidth="1"/>
    <col min="47" max="47" width="12" style="3" customWidth="1"/>
    <col min="48" max="48" width="35" style="3" bestFit="1" customWidth="1"/>
    <col min="49" max="59" width="4.140625" style="6" customWidth="1"/>
    <col min="60" max="60" width="21.140625" style="3" customWidth="1"/>
    <col min="61" max="16384" width="9.140625" style="3"/>
  </cols>
  <sheetData>
    <row r="1" spans="1:60" s="11" customFormat="1" ht="15" customHeight="1" outlineLevel="1" x14ac:dyDescent="0.25">
      <c r="A1" s="208" t="s">
        <v>57</v>
      </c>
      <c r="B1" s="209"/>
      <c r="C1" s="206" t="s">
        <v>58</v>
      </c>
      <c r="D1" s="211" t="s">
        <v>59</v>
      </c>
      <c r="F1" s="206" t="s">
        <v>60</v>
      </c>
      <c r="G1" s="206" t="s">
        <v>61</v>
      </c>
      <c r="H1" s="206" t="s">
        <v>62</v>
      </c>
      <c r="I1" s="206" t="s">
        <v>63</v>
      </c>
      <c r="J1" s="206" t="s">
        <v>64</v>
      </c>
      <c r="K1" s="206" t="s">
        <v>19</v>
      </c>
      <c r="L1" s="206" t="s">
        <v>65</v>
      </c>
      <c r="M1" s="211" t="s">
        <v>66</v>
      </c>
      <c r="N1" s="224"/>
      <c r="P1" s="27" t="s">
        <v>67</v>
      </c>
      <c r="Q1" s="26"/>
      <c r="R1" s="26"/>
      <c r="S1" s="26"/>
      <c r="U1" s="26" t="s">
        <v>20</v>
      </c>
      <c r="V1" s="26"/>
      <c r="W1" s="26"/>
      <c r="X1" s="26"/>
      <c r="Y1" s="26"/>
      <c r="AA1" s="27" t="s">
        <v>68</v>
      </c>
      <c r="AB1" s="26"/>
      <c r="AC1" s="26"/>
      <c r="AD1" s="28"/>
      <c r="AF1" s="27" t="s">
        <v>33</v>
      </c>
      <c r="AG1" s="26"/>
      <c r="AH1" s="39" t="s">
        <v>34</v>
      </c>
      <c r="AI1" s="40" t="s">
        <v>35</v>
      </c>
      <c r="AY1" s="33"/>
      <c r="AZ1" s="33"/>
      <c r="BA1" s="33"/>
      <c r="BB1" s="33"/>
      <c r="BC1" s="33"/>
      <c r="BD1" s="33"/>
      <c r="BE1" s="33"/>
      <c r="BF1" s="33"/>
      <c r="BG1" s="33"/>
    </row>
    <row r="2" spans="1:60" s="11" customFormat="1" ht="15" outlineLevel="1" x14ac:dyDescent="0.25">
      <c r="A2" s="208"/>
      <c r="B2" s="209"/>
      <c r="C2" s="210"/>
      <c r="D2" s="208"/>
      <c r="E2" s="15"/>
      <c r="F2" s="207"/>
      <c r="G2" s="207"/>
      <c r="H2" s="207"/>
      <c r="I2" s="207"/>
      <c r="J2" s="207"/>
      <c r="K2" s="207"/>
      <c r="L2" s="207"/>
      <c r="M2" s="225"/>
      <c r="N2" s="226"/>
      <c r="P2" s="22" t="s">
        <v>69</v>
      </c>
      <c r="Q2" s="23"/>
      <c r="R2" s="23"/>
      <c r="S2" s="147"/>
      <c r="U2" s="22" t="s">
        <v>25</v>
      </c>
      <c r="V2" s="23"/>
      <c r="W2" s="23"/>
      <c r="X2" s="35">
        <f>AI40</f>
        <v>0</v>
      </c>
      <c r="Y2" s="37">
        <f>X2/(SUM(AH10:$AH$39)+SUM(AI10:$AI$39)-SUMIFS(AH10:$AH$39,$AI$10:$AI$39,"&lt;&gt;"))</f>
        <v>0</v>
      </c>
      <c r="AA2" s="24" t="s">
        <v>70</v>
      </c>
      <c r="AB2" s="25"/>
      <c r="AC2" s="25"/>
      <c r="AD2" s="12" cm="1">
        <f t="array" ref="AD2">SUM(ISNUMBER($AO$10:AO39)*1)</f>
        <v>24</v>
      </c>
      <c r="AF2" s="22" t="s">
        <v>444</v>
      </c>
      <c r="AG2" s="23"/>
      <c r="AH2" s="13">
        <f>COUNTIFS($AB$10:AB39,"&lt;0")</f>
        <v>0</v>
      </c>
      <c r="AI2" s="13">
        <f>MIN(AB10:AB39)</f>
        <v>75</v>
      </c>
    </row>
    <row r="3" spans="1:60" s="11" customFormat="1" ht="15" customHeight="1" outlineLevel="1" x14ac:dyDescent="0.25">
      <c r="A3" s="212" t="s">
        <v>394</v>
      </c>
      <c r="B3" s="213"/>
      <c r="C3" s="216" t="s">
        <v>395</v>
      </c>
      <c r="D3" s="218" t="s">
        <v>396</v>
      </c>
      <c r="E3" s="122"/>
      <c r="F3" s="218" t="s">
        <v>74</v>
      </c>
      <c r="G3" s="218" t="s">
        <v>390</v>
      </c>
      <c r="H3" s="218" t="s">
        <v>74</v>
      </c>
      <c r="I3" s="218" t="s">
        <v>397</v>
      </c>
      <c r="J3" s="227"/>
      <c r="K3" s="227">
        <v>275413</v>
      </c>
      <c r="L3" s="218">
        <v>45961</v>
      </c>
      <c r="M3" s="220">
        <v>46143</v>
      </c>
      <c r="N3" s="221"/>
      <c r="P3" s="22" t="s">
        <v>77</v>
      </c>
      <c r="Q3" s="23"/>
      <c r="R3" s="23"/>
      <c r="S3" s="148">
        <f>AF40</f>
        <v>0</v>
      </c>
      <c r="U3" s="22" t="s">
        <v>78</v>
      </c>
      <c r="V3" s="23"/>
      <c r="W3" s="23"/>
      <c r="X3" s="36">
        <f>S4-SUMIFS(AH10:$AH$39,$AI$10:$AI$39,"&lt;&gt;")</f>
        <v>513100000</v>
      </c>
      <c r="Y3" s="153">
        <f>X3/(X2+X3)</f>
        <v>1</v>
      </c>
      <c r="AA3" s="22" t="s">
        <v>79</v>
      </c>
      <c r="AB3" s="23"/>
      <c r="AC3" s="23"/>
      <c r="AD3" s="13">
        <f>COUNTIFS($AV$10:AV39,Z8)</f>
        <v>0</v>
      </c>
      <c r="AF3" s="22" t="s">
        <v>447</v>
      </c>
      <c r="AG3" s="23"/>
      <c r="AH3" s="13">
        <f>COUNTIFS($AO$10:AO39,"&lt;0")</f>
        <v>1</v>
      </c>
      <c r="AI3" s="14">
        <f>MIN(AO10:AO39)</f>
        <v>-20</v>
      </c>
    </row>
    <row r="4" spans="1:60" s="11" customFormat="1" ht="15" outlineLevel="1" x14ac:dyDescent="0.25">
      <c r="A4" s="214"/>
      <c r="B4" s="215"/>
      <c r="C4" s="217"/>
      <c r="D4" s="219"/>
      <c r="E4" s="122"/>
      <c r="F4" s="219"/>
      <c r="G4" s="219"/>
      <c r="H4" s="219"/>
      <c r="I4" s="219"/>
      <c r="J4" s="228"/>
      <c r="K4" s="228"/>
      <c r="L4" s="219"/>
      <c r="M4" s="222"/>
      <c r="N4" s="223"/>
      <c r="P4" s="22" t="s">
        <v>23</v>
      </c>
      <c r="Q4" s="23"/>
      <c r="R4" s="23"/>
      <c r="S4" s="148">
        <f>AH40</f>
        <v>513100000</v>
      </c>
      <c r="U4" s="22" t="s">
        <v>80</v>
      </c>
      <c r="V4" s="23"/>
      <c r="W4" s="23"/>
      <c r="X4" s="36">
        <f>SUMIFS(AF10:$AF$39,$AI$10:$AI$39,"&lt;&gt;")-X2</f>
        <v>0</v>
      </c>
      <c r="Y4" s="38" t="e">
        <f>X4/$S$2</f>
        <v>#DIV/0!</v>
      </c>
      <c r="AA4" s="22" t="s">
        <v>81</v>
      </c>
      <c r="AB4" s="23"/>
      <c r="AC4" s="23"/>
      <c r="AD4" s="13">
        <f>C6-L3</f>
        <v>151</v>
      </c>
      <c r="AF4" s="22" t="s">
        <v>448</v>
      </c>
      <c r="AG4" s="23"/>
      <c r="AH4" s="13">
        <f>COUNTIFS($AS$10:AS39,"&lt;0")</f>
        <v>1</v>
      </c>
      <c r="AI4" s="14">
        <f>MIN(AS10:AS39)</f>
        <v>-20</v>
      </c>
    </row>
    <row r="5" spans="1:60" s="11" customFormat="1" ht="15" outlineLevel="1" x14ac:dyDescent="0.25">
      <c r="U5" s="22" t="s">
        <v>82</v>
      </c>
      <c r="V5" s="23"/>
      <c r="W5" s="23"/>
      <c r="X5" s="36">
        <f>SUMIFS(AH10:$AH$39,$AI$10:$AI$39,"&lt;&gt;")-X2</f>
        <v>0</v>
      </c>
      <c r="Y5" s="38" t="e">
        <f>X5/$S$2</f>
        <v>#DIV/0!</v>
      </c>
      <c r="Z5" s="160"/>
      <c r="AA5" s="160"/>
      <c r="AB5" s="160"/>
      <c r="AC5" s="160"/>
      <c r="AD5" s="160"/>
      <c r="AE5" s="160"/>
      <c r="AF5" s="160"/>
      <c r="AG5" s="160"/>
      <c r="AH5" s="160"/>
      <c r="AI5" s="160"/>
    </row>
    <row r="6" spans="1:60" ht="23.25" outlineLevel="1" x14ac:dyDescent="0.25">
      <c r="A6" s="127" t="s">
        <v>83</v>
      </c>
      <c r="B6" s="128"/>
      <c r="C6" s="129">
        <v>46112</v>
      </c>
      <c r="D6" s="19"/>
      <c r="E6" s="16"/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5"/>
      <c r="AB6" s="126"/>
      <c r="AC6" s="19"/>
      <c r="AD6" s="19"/>
      <c r="AE6" s="19"/>
      <c r="AF6" s="19"/>
      <c r="AG6" s="19"/>
      <c r="AH6" s="19"/>
      <c r="AI6" s="19"/>
      <c r="AJ6" s="19"/>
      <c r="AK6" s="19"/>
      <c r="AL6" s="16"/>
      <c r="AM6" s="168" t="s">
        <v>446</v>
      </c>
      <c r="AN6" s="16"/>
      <c r="AO6" s="16"/>
      <c r="AP6" s="16"/>
      <c r="AQ6" s="16"/>
      <c r="AR6" s="16"/>
      <c r="AS6" s="16"/>
      <c r="AT6" s="16"/>
      <c r="AU6" s="16"/>
      <c r="AV6" s="16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6"/>
    </row>
    <row r="7" spans="1:60" ht="18.75" customHeight="1" x14ac:dyDescent="0.25">
      <c r="A7" s="233" t="s">
        <v>84</v>
      </c>
      <c r="B7" s="236" t="s">
        <v>85</v>
      </c>
      <c r="C7" s="236" t="s">
        <v>86</v>
      </c>
      <c r="D7" s="238" t="s">
        <v>1</v>
      </c>
      <c r="F7" s="229">
        <v>15</v>
      </c>
      <c r="G7" s="230"/>
      <c r="H7" s="229">
        <v>7</v>
      </c>
      <c r="I7" s="230"/>
      <c r="J7" s="229">
        <v>6</v>
      </c>
      <c r="K7" s="230"/>
      <c r="L7" s="229">
        <v>3</v>
      </c>
      <c r="M7" s="230"/>
      <c r="N7" s="229">
        <v>30</v>
      </c>
      <c r="O7" s="230"/>
      <c r="P7" s="229">
        <v>10</v>
      </c>
      <c r="Q7" s="230"/>
      <c r="R7" s="229">
        <v>20</v>
      </c>
      <c r="S7" s="230"/>
      <c r="T7" s="229">
        <v>7</v>
      </c>
      <c r="U7" s="230"/>
      <c r="V7" s="229">
        <v>7</v>
      </c>
      <c r="W7" s="230"/>
      <c r="X7" s="229">
        <v>5</v>
      </c>
      <c r="Y7" s="230"/>
      <c r="Z7" s="229">
        <v>10</v>
      </c>
      <c r="AA7" s="230"/>
      <c r="AB7" s="243" t="s">
        <v>87</v>
      </c>
      <c r="AC7" s="16"/>
      <c r="AD7" s="244" t="s">
        <v>88</v>
      </c>
      <c r="AE7" s="16"/>
      <c r="AF7" s="241" t="s">
        <v>77</v>
      </c>
      <c r="AG7" s="257" t="s">
        <v>89</v>
      </c>
      <c r="AH7" s="257" t="s">
        <v>23</v>
      </c>
      <c r="AI7" s="257" t="s">
        <v>90</v>
      </c>
      <c r="AJ7" s="257" t="s">
        <v>91</v>
      </c>
      <c r="AK7" s="258" t="s">
        <v>92</v>
      </c>
      <c r="AL7" s="86"/>
      <c r="AM7" s="255" t="s">
        <v>93</v>
      </c>
      <c r="AN7" s="257" t="s">
        <v>94</v>
      </c>
      <c r="AO7" s="259" t="s">
        <v>95</v>
      </c>
      <c r="AP7" s="86"/>
      <c r="AQ7" s="261" t="s">
        <v>96</v>
      </c>
      <c r="AR7" s="252" t="s">
        <v>97</v>
      </c>
      <c r="AS7" s="259" t="s">
        <v>95</v>
      </c>
      <c r="AT7" s="86"/>
      <c r="AU7" s="255" t="s">
        <v>98</v>
      </c>
      <c r="AV7" s="252" t="s">
        <v>99</v>
      </c>
      <c r="AW7" s="246" t="s">
        <v>2</v>
      </c>
      <c r="AX7" s="246" t="s">
        <v>4</v>
      </c>
      <c r="AY7" s="246" t="s">
        <v>6</v>
      </c>
      <c r="AZ7" s="246" t="s">
        <v>100</v>
      </c>
      <c r="BA7" s="246" t="s">
        <v>10</v>
      </c>
      <c r="BB7" s="246" t="s">
        <v>12</v>
      </c>
      <c r="BC7" s="246" t="s">
        <v>14</v>
      </c>
      <c r="BD7" s="246" t="s">
        <v>15</v>
      </c>
      <c r="BE7" s="246" t="s">
        <v>16</v>
      </c>
      <c r="BF7" s="246" t="s">
        <v>17</v>
      </c>
      <c r="BG7" s="249" t="s">
        <v>101</v>
      </c>
      <c r="BH7" s="86"/>
    </row>
    <row r="8" spans="1:60" ht="26.25" x14ac:dyDescent="0.25">
      <c r="A8" s="234"/>
      <c r="B8" s="237"/>
      <c r="C8" s="237"/>
      <c r="D8" s="239"/>
      <c r="E8" s="16"/>
      <c r="F8" s="231" t="s">
        <v>2</v>
      </c>
      <c r="G8" s="232"/>
      <c r="H8" s="231" t="s">
        <v>4</v>
      </c>
      <c r="I8" s="232"/>
      <c r="J8" s="231" t="s">
        <v>6</v>
      </c>
      <c r="K8" s="232"/>
      <c r="L8" s="231" t="s">
        <v>8</v>
      </c>
      <c r="M8" s="232"/>
      <c r="N8" s="231" t="s">
        <v>10</v>
      </c>
      <c r="O8" s="232"/>
      <c r="P8" s="231" t="s">
        <v>12</v>
      </c>
      <c r="Q8" s="232"/>
      <c r="R8" s="231" t="s">
        <v>14</v>
      </c>
      <c r="S8" s="232"/>
      <c r="T8" s="231" t="s">
        <v>15</v>
      </c>
      <c r="U8" s="232"/>
      <c r="V8" s="231" t="s">
        <v>16</v>
      </c>
      <c r="W8" s="232"/>
      <c r="X8" s="231" t="s">
        <v>17</v>
      </c>
      <c r="Y8" s="232"/>
      <c r="Z8" s="231" t="s">
        <v>18</v>
      </c>
      <c r="AA8" s="232"/>
      <c r="AB8" s="243"/>
      <c r="AC8" s="16"/>
      <c r="AD8" s="245"/>
      <c r="AE8" s="16"/>
      <c r="AF8" s="242"/>
      <c r="AG8" s="237"/>
      <c r="AH8" s="237"/>
      <c r="AI8" s="237"/>
      <c r="AJ8" s="237"/>
      <c r="AK8" s="239"/>
      <c r="AL8" s="48"/>
      <c r="AM8" s="234"/>
      <c r="AN8" s="237"/>
      <c r="AO8" s="260"/>
      <c r="AP8" s="48"/>
      <c r="AQ8" s="262"/>
      <c r="AR8" s="253"/>
      <c r="AS8" s="260"/>
      <c r="AT8" s="48"/>
      <c r="AU8" s="234"/>
      <c r="AV8" s="253"/>
      <c r="AW8" s="247"/>
      <c r="AX8" s="247"/>
      <c r="AY8" s="247"/>
      <c r="AZ8" s="247"/>
      <c r="BA8" s="247"/>
      <c r="BB8" s="247"/>
      <c r="BC8" s="247"/>
      <c r="BD8" s="247"/>
      <c r="BE8" s="247"/>
      <c r="BF8" s="247"/>
      <c r="BG8" s="250"/>
      <c r="BH8" s="146"/>
    </row>
    <row r="9" spans="1:60" s="7" customFormat="1" ht="22.5" x14ac:dyDescent="0.25">
      <c r="A9" s="235"/>
      <c r="B9" s="237"/>
      <c r="C9" s="237"/>
      <c r="D9" s="240"/>
      <c r="E9" s="20"/>
      <c r="F9" s="65" t="s">
        <v>102</v>
      </c>
      <c r="G9" s="66" t="s">
        <v>103</v>
      </c>
      <c r="H9" s="65" t="s">
        <v>102</v>
      </c>
      <c r="I9" s="66" t="s">
        <v>103</v>
      </c>
      <c r="J9" s="65" t="s">
        <v>102</v>
      </c>
      <c r="K9" s="66" t="s">
        <v>103</v>
      </c>
      <c r="L9" s="65" t="s">
        <v>102</v>
      </c>
      <c r="M9" s="66" t="s">
        <v>103</v>
      </c>
      <c r="N9" s="65" t="s">
        <v>102</v>
      </c>
      <c r="O9" s="66" t="s">
        <v>103</v>
      </c>
      <c r="P9" s="65" t="s">
        <v>102</v>
      </c>
      <c r="Q9" s="66" t="s">
        <v>103</v>
      </c>
      <c r="R9" s="65" t="s">
        <v>102</v>
      </c>
      <c r="S9" s="66" t="s">
        <v>103</v>
      </c>
      <c r="T9" s="65" t="s">
        <v>102</v>
      </c>
      <c r="U9" s="66" t="s">
        <v>103</v>
      </c>
      <c r="V9" s="65" t="s">
        <v>102</v>
      </c>
      <c r="W9" s="66" t="s">
        <v>103</v>
      </c>
      <c r="X9" s="65" t="s">
        <v>102</v>
      </c>
      <c r="Y9" s="66" t="s">
        <v>103</v>
      </c>
      <c r="Z9" s="65" t="s">
        <v>102</v>
      </c>
      <c r="AA9" s="66" t="s">
        <v>103</v>
      </c>
      <c r="AB9" s="243"/>
      <c r="AC9" s="20"/>
      <c r="AD9" s="245"/>
      <c r="AE9" s="20"/>
      <c r="AF9" s="242"/>
      <c r="AG9" s="237"/>
      <c r="AH9" s="237"/>
      <c r="AI9" s="237"/>
      <c r="AJ9" s="237"/>
      <c r="AK9" s="239"/>
      <c r="AL9" s="87"/>
      <c r="AM9" s="234"/>
      <c r="AN9" s="237"/>
      <c r="AO9" s="260"/>
      <c r="AP9" s="87"/>
      <c r="AQ9" s="263"/>
      <c r="AR9" s="254"/>
      <c r="AS9" s="264"/>
      <c r="AT9" s="87"/>
      <c r="AU9" s="256"/>
      <c r="AV9" s="254"/>
      <c r="AW9" s="248"/>
      <c r="AX9" s="248"/>
      <c r="AY9" s="248"/>
      <c r="AZ9" s="248"/>
      <c r="BA9" s="248"/>
      <c r="BB9" s="248"/>
      <c r="BC9" s="248"/>
      <c r="BD9" s="248"/>
      <c r="BE9" s="248"/>
      <c r="BF9" s="248"/>
      <c r="BG9" s="251"/>
      <c r="BH9" s="87"/>
    </row>
    <row r="10" spans="1:60" ht="23.25" x14ac:dyDescent="0.25">
      <c r="A10" s="53"/>
      <c r="B10" s="49"/>
      <c r="C10" s="50" t="s">
        <v>104</v>
      </c>
      <c r="D10" s="61"/>
      <c r="E10" s="51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1"/>
      <c r="BF10" s="51"/>
      <c r="BG10" s="88"/>
      <c r="BH10" s="146"/>
    </row>
    <row r="11" spans="1:60" ht="26.25" x14ac:dyDescent="0.25">
      <c r="A11" s="56" cm="1">
        <f t="array" ref="A11">SUMPRODUCT(($AV$10:$AV$39&lt;&gt;"")*(ROW($AV$10:$AV$39)&lt;=ROW()))</f>
        <v>1</v>
      </c>
      <c r="B11" s="57"/>
      <c r="C11" s="58" t="s">
        <v>398</v>
      </c>
      <c r="D11" s="93" t="s">
        <v>5</v>
      </c>
      <c r="E11" s="16"/>
      <c r="F11" s="29">
        <f>H11-$H$7</f>
        <v>46137</v>
      </c>
      <c r="G11" s="42"/>
      <c r="H11" s="29">
        <f>J11-$J$7</f>
        <v>46144</v>
      </c>
      <c r="I11" s="42"/>
      <c r="J11" s="29">
        <f>L11-$L$7</f>
        <v>46150</v>
      </c>
      <c r="K11" s="42"/>
      <c r="L11" s="29">
        <f>N11-$N$7</f>
        <v>46153</v>
      </c>
      <c r="M11" s="42"/>
      <c r="N11" s="29">
        <f>P11-$P$7</f>
        <v>46183</v>
      </c>
      <c r="O11" s="42"/>
      <c r="P11" s="29">
        <f>R11-$R$7</f>
        <v>46193</v>
      </c>
      <c r="Q11" s="42"/>
      <c r="R11" s="29">
        <f>T11-$T$7</f>
        <v>46213</v>
      </c>
      <c r="S11" s="42"/>
      <c r="T11" s="29">
        <f>V11-$V$7</f>
        <v>46220</v>
      </c>
      <c r="U11" s="42"/>
      <c r="V11" s="29">
        <f>X11-$X$7</f>
        <v>46227</v>
      </c>
      <c r="W11" s="42"/>
      <c r="X11" s="29">
        <f>AN11</f>
        <v>46232</v>
      </c>
      <c r="Y11" s="42"/>
      <c r="Z11" s="30">
        <f>X11+$Z$7</f>
        <v>46242</v>
      </c>
      <c r="AA11" s="42"/>
      <c r="AB11" s="31">
        <f>IF(AV11="10. Issued to Contractor","-",IF(AV11="11. Subcontract Agreement signed","-",MAX(AN11,AR11)-$C$6))</f>
        <v>120</v>
      </c>
      <c r="AC11" s="16"/>
      <c r="AD11" s="131">
        <f>SUM($H$7:$Y$7)</f>
        <v>95</v>
      </c>
      <c r="AE11" s="16"/>
      <c r="AF11" s="95"/>
      <c r="AG11" s="67"/>
      <c r="AH11" s="67">
        <v>19800000</v>
      </c>
      <c r="AI11" s="67"/>
      <c r="AJ11" s="68" t="str">
        <f>IF(AI11&gt;0,SUM(AH11)-SUM(AI11),"")</f>
        <v/>
      </c>
      <c r="AK11" s="102"/>
      <c r="AL11" s="48"/>
      <c r="AM11" s="105">
        <v>90</v>
      </c>
      <c r="AN11" s="69">
        <f>$M$3+AM11-1</f>
        <v>46232</v>
      </c>
      <c r="AO11" s="107">
        <f>AN11-AU11</f>
        <v>25</v>
      </c>
      <c r="AP11" s="48"/>
      <c r="AQ11" s="111"/>
      <c r="AR11" s="70">
        <f>IFERROR(WORKDAY.INTL(AN11,AQ11,11),"")</f>
        <v>46232</v>
      </c>
      <c r="AS11" s="107">
        <f>AR11-AU11</f>
        <v>25</v>
      </c>
      <c r="AT11" s="48"/>
      <c r="AU11" s="113">
        <f>IF(Y11&gt;0,Y11,IFERROR(MAX(_xlfn.XLOOKUP($AV11,$H$8:$Z$8,$G11:$Y11),$C$6)+(AN11-_xlfn.XLOOKUP($AV11,$H$8:$Z$8,$F11:$X11))*AD11/SUM($H$7:$Y$7),$C$6+SUM(AD11)))</f>
        <v>46207</v>
      </c>
      <c r="AV11" s="119" t="str" cm="1">
        <f t="array" ref="AV11">IF(OR(G11&gt;$C$6,G11=""),$F$8,INDEX($E$8:$Z$8,MATCH(TRUE,(F11:AA11=""),0)))</f>
        <v>1. Tender Docs &amp; BOQ</v>
      </c>
      <c r="AW11" s="116" t="b">
        <f>IF(AND(G11&gt;0,G11&lt;$C$6),TRUE,FALSE)</f>
        <v>0</v>
      </c>
      <c r="AX11" s="71" t="b">
        <f>IF(AND(I11&gt;0,I11&lt;$C$6),TRUE,FALSE)</f>
        <v>0</v>
      </c>
      <c r="AY11" s="71" t="b">
        <f>IF(AND(K11&gt;0,K11&lt;$C$6),TRUE,FALSE)</f>
        <v>0</v>
      </c>
      <c r="AZ11" s="71" t="b">
        <f>IF(AND(M11&gt;0,M11&lt;$C$6),TRUE,FALSE)</f>
        <v>0</v>
      </c>
      <c r="BA11" s="71" t="b">
        <f>IF(AND(O11&gt;0,O11&lt;$C$6),TRUE,FALSE)</f>
        <v>0</v>
      </c>
      <c r="BB11" s="71" t="b">
        <f>IF(AND(Q11&gt;0,Q11&lt;$C$6),TRUE,FALSE)</f>
        <v>0</v>
      </c>
      <c r="BC11" s="71" t="b">
        <f>IF(AND(S11&gt;0,S11&lt;$C$6),TRUE,FALSE)</f>
        <v>0</v>
      </c>
      <c r="BD11" s="71" t="b">
        <f>IF(AND(U11&gt;0,U11&lt;$C$6),TRUE,FALSE)</f>
        <v>0</v>
      </c>
      <c r="BE11" s="71" t="b">
        <f>IF(AND(W11&gt;0,W11&lt;$C$6),TRUE,FALSE)</f>
        <v>0</v>
      </c>
      <c r="BF11" s="71" t="b">
        <f>IF(AND(Y11&gt;0,Y11&lt;$C$6),TRUE,FALSE)</f>
        <v>0</v>
      </c>
      <c r="BG11" s="89" t="b">
        <f>IF(AND(AA11&gt;0,AA11&lt;$C$6),TRUE,FALSE)</f>
        <v>0</v>
      </c>
      <c r="BH11" s="146"/>
    </row>
    <row r="12" spans="1:60" ht="26.25" x14ac:dyDescent="0.25">
      <c r="A12" s="56" cm="1">
        <f t="array" ref="A12">SUMPRODUCT(($AV$10:$AV$39&lt;&gt;"")*(ROW($AV$10:$AV$39)&lt;=ROW()))</f>
        <v>2</v>
      </c>
      <c r="B12" s="59"/>
      <c r="C12" s="60" t="s">
        <v>399</v>
      </c>
      <c r="D12" s="59" t="s">
        <v>5</v>
      </c>
      <c r="E12" s="43"/>
      <c r="F12" s="44">
        <f>H12-$H$7</f>
        <v>46137</v>
      </c>
      <c r="G12" s="45"/>
      <c r="H12" s="44">
        <f>J12-$J$7</f>
        <v>46144</v>
      </c>
      <c r="I12" s="45"/>
      <c r="J12" s="44">
        <f>L12-$L$7</f>
        <v>46150</v>
      </c>
      <c r="K12" s="45"/>
      <c r="L12" s="44">
        <f>N12-$N$7</f>
        <v>46153</v>
      </c>
      <c r="M12" s="45"/>
      <c r="N12" s="44">
        <f>P12-$P$7</f>
        <v>46183</v>
      </c>
      <c r="O12" s="45"/>
      <c r="P12" s="44">
        <f>R12-$R$7</f>
        <v>46193</v>
      </c>
      <c r="Q12" s="45"/>
      <c r="R12" s="44">
        <f>T12-$T$7</f>
        <v>46213</v>
      </c>
      <c r="S12" s="45"/>
      <c r="T12" s="44">
        <f>V12-$V$7</f>
        <v>46220</v>
      </c>
      <c r="U12" s="45"/>
      <c r="V12" s="44">
        <f>X12-$X$7</f>
        <v>46227</v>
      </c>
      <c r="W12" s="45"/>
      <c r="X12" s="44">
        <f t="shared" ref="X12:X13" si="0">AN12</f>
        <v>46232</v>
      </c>
      <c r="Y12" s="45"/>
      <c r="Z12" s="46">
        <f>X12+$Z$7</f>
        <v>46242</v>
      </c>
      <c r="AA12" s="45"/>
      <c r="AB12" s="47">
        <f>IF(AV12="10. Issued to Contractor","-",IF(AV12="11. Subcontract Agreement signed","-",MAX(AN12,AR12)-$C$6))</f>
        <v>120</v>
      </c>
      <c r="AC12" s="16"/>
      <c r="AD12" s="131">
        <f t="shared" ref="AD12:AD15" si="1">SUM($H$7:$Y$7)</f>
        <v>95</v>
      </c>
      <c r="AE12" s="16"/>
      <c r="AF12" s="96"/>
      <c r="AG12" s="72"/>
      <c r="AH12" s="72">
        <v>14100000</v>
      </c>
      <c r="AI12" s="72"/>
      <c r="AJ12" s="73" t="str">
        <f>IF(AI12&gt;0,SUM(AH12)-SUM(AI12),"")</f>
        <v/>
      </c>
      <c r="AK12" s="101"/>
      <c r="AL12" s="48"/>
      <c r="AM12" s="104">
        <v>90</v>
      </c>
      <c r="AN12" s="74">
        <f>$M$3+AM12-1</f>
        <v>46232</v>
      </c>
      <c r="AO12" s="108">
        <f>AN12-AU12</f>
        <v>25</v>
      </c>
      <c r="AP12" s="48"/>
      <c r="AQ12" s="110"/>
      <c r="AR12" s="75">
        <f>IFERROR(WORKDAY.INTL(AN12,AQ12,11),"")</f>
        <v>46232</v>
      </c>
      <c r="AS12" s="108">
        <f>AR12-AU12</f>
        <v>25</v>
      </c>
      <c r="AT12" s="48"/>
      <c r="AU12" s="114">
        <f t="shared" ref="AU12:AU13" si="2">IF(Y12&gt;0,Y12,IFERROR(MAX(_xlfn.XLOOKUP($AV12,$H$8:$Z$8,$G12:$Y12),$C$6)+(AN12-_xlfn.XLOOKUP($AV12,$H$8:$Z$8,$F12:$X12))*AD12/SUM($H$7:$Y$7),$C$6+SUM(AD12)))</f>
        <v>46207</v>
      </c>
      <c r="AV12" s="120" t="str" cm="1">
        <f t="array" ref="AV12">IF(OR(G12&gt;$C$6,G12=""),$F$8,INDEX($E$8:$Z$8,MATCH(TRUE,(F12:AA12=""),0)))</f>
        <v>1. Tender Docs &amp; BOQ</v>
      </c>
      <c r="AW12" s="117" t="b">
        <f>IF(AND(G12&gt;0,G12&lt;$C$6),TRUE,FALSE)</f>
        <v>0</v>
      </c>
      <c r="AX12" s="76" t="b">
        <f>IF(AND(I12&gt;0,I12&lt;$C$6),TRUE,FALSE)</f>
        <v>0</v>
      </c>
      <c r="AY12" s="76" t="b">
        <f>IF(AND(K12&gt;0,K12&lt;$C$6),TRUE,FALSE)</f>
        <v>0</v>
      </c>
      <c r="AZ12" s="76" t="b">
        <f>IF(AND(M12&gt;0,M12&lt;$C$6),TRUE,FALSE)</f>
        <v>0</v>
      </c>
      <c r="BA12" s="76" t="b">
        <f>IF(AND(O12&gt;0,O12&lt;$C$6),TRUE,FALSE)</f>
        <v>0</v>
      </c>
      <c r="BB12" s="76" t="b">
        <f>IF(AND(Q12&gt;0,Q12&lt;$C$6),TRUE,FALSE)</f>
        <v>0</v>
      </c>
      <c r="BC12" s="76" t="b">
        <f>IF(AND(S12&gt;0,S12&lt;$C$6),TRUE,FALSE)</f>
        <v>0</v>
      </c>
      <c r="BD12" s="76" t="b">
        <f>IF(AND(U12&gt;0,U12&lt;$C$6),TRUE,FALSE)</f>
        <v>0</v>
      </c>
      <c r="BE12" s="76" t="b">
        <f>IF(AND(W12&gt;0,W12&lt;$C$6),TRUE,FALSE)</f>
        <v>0</v>
      </c>
      <c r="BF12" s="76" t="b">
        <f>IF(AND(Y12&gt;0,Y12&lt;$C$6),TRUE,FALSE)</f>
        <v>0</v>
      </c>
      <c r="BG12" s="90" t="b">
        <f>IF(AND(AA12&gt;0,AA12&lt;$C$6),TRUE,FALSE)</f>
        <v>0</v>
      </c>
      <c r="BH12" s="146"/>
    </row>
    <row r="13" spans="1:60" ht="26.25" x14ac:dyDescent="0.25">
      <c r="A13" s="56" cm="1">
        <f t="array" ref="A13">SUMPRODUCT(($AV$10:$AV$39&lt;&gt;"")*(ROW($AV$10:$AV$39)&lt;=ROW()))</f>
        <v>3</v>
      </c>
      <c r="B13" s="57"/>
      <c r="C13" s="58" t="s">
        <v>400</v>
      </c>
      <c r="D13" s="93" t="s">
        <v>9</v>
      </c>
      <c r="E13" s="16"/>
      <c r="F13" s="29">
        <f>H13-$H$7</f>
        <v>46167</v>
      </c>
      <c r="G13" s="42"/>
      <c r="H13" s="29">
        <f>J13-$J$7</f>
        <v>46174</v>
      </c>
      <c r="I13" s="42"/>
      <c r="J13" s="29">
        <f>L13-$L$7</f>
        <v>46180</v>
      </c>
      <c r="K13" s="42"/>
      <c r="L13" s="29">
        <f>N13-$N$7</f>
        <v>46183</v>
      </c>
      <c r="M13" s="42"/>
      <c r="N13" s="29">
        <f>P13-$P$7</f>
        <v>46213</v>
      </c>
      <c r="O13" s="42"/>
      <c r="P13" s="29">
        <f>R13-$R$7</f>
        <v>46223</v>
      </c>
      <c r="Q13" s="42"/>
      <c r="R13" s="29">
        <f>T13-$T$7</f>
        <v>46243</v>
      </c>
      <c r="S13" s="42"/>
      <c r="T13" s="29">
        <f>V13-$V$7</f>
        <v>46250</v>
      </c>
      <c r="U13" s="42"/>
      <c r="V13" s="29">
        <f>X13-$X$7</f>
        <v>46257</v>
      </c>
      <c r="W13" s="42"/>
      <c r="X13" s="29">
        <f t="shared" si="0"/>
        <v>46262</v>
      </c>
      <c r="Y13" s="42"/>
      <c r="Z13" s="30">
        <f>X13+$Z$7</f>
        <v>46272</v>
      </c>
      <c r="AA13" s="42"/>
      <c r="AB13" s="31">
        <f>IF(AV13="10. Issued to Contractor","-",IF(AV13="11. Subcontract Agreement signed","-",MAX(AN13,AR13)-$C$6))</f>
        <v>150</v>
      </c>
      <c r="AC13" s="16"/>
      <c r="AD13" s="131">
        <f t="shared" si="1"/>
        <v>95</v>
      </c>
      <c r="AE13" s="16"/>
      <c r="AF13" s="95"/>
      <c r="AG13" s="67"/>
      <c r="AH13" s="67">
        <v>6300000</v>
      </c>
      <c r="AI13" s="67"/>
      <c r="AJ13" s="68" t="str">
        <f>IF(AI13&gt;0,SUM(AH13)-SUM(AI13),"")</f>
        <v/>
      </c>
      <c r="AK13" s="102"/>
      <c r="AL13" s="48"/>
      <c r="AM13" s="105">
        <v>120</v>
      </c>
      <c r="AN13" s="69">
        <f>$M$3+AM13-1</f>
        <v>46262</v>
      </c>
      <c r="AO13" s="107">
        <f>AN13-AU13</f>
        <v>55</v>
      </c>
      <c r="AP13" s="48"/>
      <c r="AQ13" s="111"/>
      <c r="AR13" s="70">
        <f>IFERROR(WORKDAY.INTL(AN13,AQ13,11),"")</f>
        <v>46262</v>
      </c>
      <c r="AS13" s="107">
        <f>AR13-AU13</f>
        <v>55</v>
      </c>
      <c r="AT13" s="48"/>
      <c r="AU13" s="113">
        <f t="shared" si="2"/>
        <v>46207</v>
      </c>
      <c r="AV13" s="119" t="str" cm="1">
        <f t="array" ref="AV13">IF(OR(G13&gt;$C$6,G13=""),$F$8,INDEX($E$8:$Z$8,MATCH(TRUE,(F13:AA13=""),0)))</f>
        <v>1. Tender Docs &amp; BOQ</v>
      </c>
      <c r="AW13" s="116" t="b">
        <f>IF(AND(G13&gt;0,G13&lt;$C$6),TRUE,FALSE)</f>
        <v>0</v>
      </c>
      <c r="AX13" s="71" t="b">
        <f>IF(AND(I13&gt;0,I13&lt;$C$6),TRUE,FALSE)</f>
        <v>0</v>
      </c>
      <c r="AY13" s="71" t="b">
        <f>IF(AND(K13&gt;0,K13&lt;$C$6),TRUE,FALSE)</f>
        <v>0</v>
      </c>
      <c r="AZ13" s="71" t="b">
        <f>IF(AND(M13&gt;0,M13&lt;$C$6),TRUE,FALSE)</f>
        <v>0</v>
      </c>
      <c r="BA13" s="71" t="b">
        <f>IF(AND(O13&gt;0,O13&lt;$C$6),TRUE,FALSE)</f>
        <v>0</v>
      </c>
      <c r="BB13" s="71" t="b">
        <f>IF(AND(Q13&gt;0,Q13&lt;$C$6),TRUE,FALSE)</f>
        <v>0</v>
      </c>
      <c r="BC13" s="71" t="b">
        <f>IF(AND(S13&gt;0,S13&lt;$C$6),TRUE,FALSE)</f>
        <v>0</v>
      </c>
      <c r="BD13" s="71" t="b">
        <f>IF(AND(U13&gt;0,U13&lt;$C$6),TRUE,FALSE)</f>
        <v>0</v>
      </c>
      <c r="BE13" s="71" t="b">
        <f>IF(AND(W13&gt;0,W13&lt;$C$6),TRUE,FALSE)</f>
        <v>0</v>
      </c>
      <c r="BF13" s="71" t="b">
        <f>IF(AND(Y13&gt;0,Y13&lt;$C$6),TRUE,FALSE)</f>
        <v>0</v>
      </c>
      <c r="BG13" s="89" t="b">
        <f>IF(AND(AA13&gt;0,AA13&lt;$C$6),TRUE,FALSE)</f>
        <v>0</v>
      </c>
      <c r="BH13" s="146"/>
    </row>
    <row r="14" spans="1:60" ht="30" x14ac:dyDescent="0.25">
      <c r="A14" s="56" cm="1">
        <f t="array" ref="A14">SUMPRODUCT(($AV$10:$AV$39&lt;&gt;"")*(ROW($AV$10:$AV$39)&lt;=ROW()))</f>
        <v>4</v>
      </c>
      <c r="B14" s="59"/>
      <c r="C14" s="60" t="s">
        <v>401</v>
      </c>
      <c r="D14" s="59" t="s">
        <v>9</v>
      </c>
      <c r="E14" s="43"/>
      <c r="F14" s="44">
        <f>H14-$H$7</f>
        <v>46137</v>
      </c>
      <c r="G14" s="45"/>
      <c r="H14" s="44">
        <f>J14-$J$7</f>
        <v>46144</v>
      </c>
      <c r="I14" s="45"/>
      <c r="J14" s="44">
        <f>L14-$L$7</f>
        <v>46150</v>
      </c>
      <c r="K14" s="45"/>
      <c r="L14" s="44">
        <f>N14-$N$7</f>
        <v>46153</v>
      </c>
      <c r="M14" s="45"/>
      <c r="N14" s="44">
        <f>P14-$P$7</f>
        <v>46183</v>
      </c>
      <c r="O14" s="45"/>
      <c r="P14" s="44">
        <f>R14-$R$7</f>
        <v>46193</v>
      </c>
      <c r="Q14" s="45"/>
      <c r="R14" s="44">
        <f>T14-$T$7</f>
        <v>46213</v>
      </c>
      <c r="S14" s="45"/>
      <c r="T14" s="44">
        <f>V14-$V$7</f>
        <v>46220</v>
      </c>
      <c r="U14" s="45"/>
      <c r="V14" s="44">
        <f>X14-$X$7</f>
        <v>46227</v>
      </c>
      <c r="W14" s="45"/>
      <c r="X14" s="44">
        <f t="shared" ref="X14:X15" si="3">AN14</f>
        <v>46232</v>
      </c>
      <c r="Y14" s="45"/>
      <c r="Z14" s="46">
        <f>X14+$Z$7</f>
        <v>46242</v>
      </c>
      <c r="AA14" s="45"/>
      <c r="AB14" s="47">
        <f>IF(AV14="10. Issued to Contractor","-",IF(AV14="11. Subcontract Agreement signed","-",MAX(AN14,AR14)-$C$6))</f>
        <v>120</v>
      </c>
      <c r="AC14" s="16"/>
      <c r="AD14" s="131">
        <f t="shared" si="1"/>
        <v>95</v>
      </c>
      <c r="AE14" s="16"/>
      <c r="AF14" s="96"/>
      <c r="AG14" s="72"/>
      <c r="AH14" s="72">
        <v>6162860</v>
      </c>
      <c r="AI14" s="72"/>
      <c r="AJ14" s="73" t="str">
        <f>IF(AI14&gt;0,SUM(AH14)-SUM(AI14),"")</f>
        <v/>
      </c>
      <c r="AK14" s="101"/>
      <c r="AL14" s="48"/>
      <c r="AM14" s="104">
        <v>90</v>
      </c>
      <c r="AN14" s="74">
        <f>$M$3+AM14-1</f>
        <v>46232</v>
      </c>
      <c r="AO14" s="108">
        <f>AN14-AU14</f>
        <v>25</v>
      </c>
      <c r="AP14" s="48"/>
      <c r="AQ14" s="110"/>
      <c r="AR14" s="75">
        <f>IFERROR(WORKDAY.INTL(AN14,AQ14,11),"")</f>
        <v>46232</v>
      </c>
      <c r="AS14" s="108">
        <f>AR14-AU14</f>
        <v>25</v>
      </c>
      <c r="AT14" s="48"/>
      <c r="AU14" s="114">
        <f t="shared" ref="AU14:AU15" si="4">IF(Y14&gt;0,Y14,IFERROR(MAX(_xlfn.XLOOKUP($AV14,$H$8:$Z$8,$G14:$Y14),$C$6)+(AN14-_xlfn.XLOOKUP($AV14,$H$8:$Z$8,$F14:$X14))*AD14/SUM($H$7:$Y$7),$C$6+SUM(AD14)))</f>
        <v>46207</v>
      </c>
      <c r="AV14" s="120" t="str" cm="1">
        <f t="array" ref="AV14">IF(OR(G14&gt;$C$6,G14=""),$F$8,INDEX($E$8:$Z$8,MATCH(TRUE,(F14:AA14=""),0)))</f>
        <v>1. Tender Docs &amp; BOQ</v>
      </c>
      <c r="AW14" s="117" t="b">
        <f>IF(AND(G14&gt;0,G14&lt;$C$6),TRUE,FALSE)</f>
        <v>0</v>
      </c>
      <c r="AX14" s="76" t="b">
        <f>IF(AND(I14&gt;0,I14&lt;$C$6),TRUE,FALSE)</f>
        <v>0</v>
      </c>
      <c r="AY14" s="76" t="b">
        <f>IF(AND(K14&gt;0,K14&lt;$C$6),TRUE,FALSE)</f>
        <v>0</v>
      </c>
      <c r="AZ14" s="76" t="b">
        <f>IF(AND(M14&gt;0,M14&lt;$C$6),TRUE,FALSE)</f>
        <v>0</v>
      </c>
      <c r="BA14" s="76" t="b">
        <f>IF(AND(O14&gt;0,O14&lt;$C$6),TRUE,FALSE)</f>
        <v>0</v>
      </c>
      <c r="BB14" s="76" t="b">
        <f>IF(AND(Q14&gt;0,Q14&lt;$C$6),TRUE,FALSE)</f>
        <v>0</v>
      </c>
      <c r="BC14" s="76" t="b">
        <f>IF(AND(S14&gt;0,S14&lt;$C$6),TRUE,FALSE)</f>
        <v>0</v>
      </c>
      <c r="BD14" s="76" t="b">
        <f>IF(AND(U14&gt;0,U14&lt;$C$6),TRUE,FALSE)</f>
        <v>0</v>
      </c>
      <c r="BE14" s="76" t="b">
        <f>IF(AND(W14&gt;0,W14&lt;$C$6),TRUE,FALSE)</f>
        <v>0</v>
      </c>
      <c r="BF14" s="76" t="b">
        <f>IF(AND(Y14&gt;0,Y14&lt;$C$6),TRUE,FALSE)</f>
        <v>0</v>
      </c>
      <c r="BG14" s="90" t="b">
        <f>IF(AND(AA14&gt;0,AA14&lt;$C$6),TRUE,FALSE)</f>
        <v>0</v>
      </c>
      <c r="BH14" s="146"/>
    </row>
    <row r="15" spans="1:60" ht="30" x14ac:dyDescent="0.25">
      <c r="A15" s="56" cm="1">
        <f t="array" ref="A15">SUMPRODUCT(($AV$10:$AV$39&lt;&gt;"")*(ROW($AV$10:$AV$39)&lt;=ROW()))</f>
        <v>5</v>
      </c>
      <c r="B15" s="57"/>
      <c r="C15" s="58" t="s">
        <v>402</v>
      </c>
      <c r="D15" s="93" t="s">
        <v>9</v>
      </c>
      <c r="E15" s="16"/>
      <c r="F15" s="29">
        <f>H15-$H$7</f>
        <v>46137</v>
      </c>
      <c r="G15" s="42"/>
      <c r="H15" s="29">
        <f>J15-$J$7</f>
        <v>46144</v>
      </c>
      <c r="I15" s="42"/>
      <c r="J15" s="29">
        <f>L15-$L$7</f>
        <v>46150</v>
      </c>
      <c r="K15" s="42"/>
      <c r="L15" s="29">
        <f>N15-$N$7</f>
        <v>46153</v>
      </c>
      <c r="M15" s="42"/>
      <c r="N15" s="29">
        <f>P15-$P$7</f>
        <v>46183</v>
      </c>
      <c r="O15" s="42"/>
      <c r="P15" s="29">
        <f>R15-$R$7</f>
        <v>46193</v>
      </c>
      <c r="Q15" s="42"/>
      <c r="R15" s="29">
        <f>T15-$T$7</f>
        <v>46213</v>
      </c>
      <c r="S15" s="42"/>
      <c r="T15" s="29">
        <f>V15-$V$7</f>
        <v>46220</v>
      </c>
      <c r="U15" s="42"/>
      <c r="V15" s="29">
        <f>X15-$X$7</f>
        <v>46227</v>
      </c>
      <c r="W15" s="42"/>
      <c r="X15" s="29">
        <f t="shared" si="3"/>
        <v>46232</v>
      </c>
      <c r="Y15" s="42"/>
      <c r="Z15" s="30">
        <f>X15+$Z$7</f>
        <v>46242</v>
      </c>
      <c r="AA15" s="42"/>
      <c r="AB15" s="31">
        <f>IF(AV15="10. Issued to Contractor","-",IF(AV15="11. Subcontract Agreement signed","-",MAX(AN15,AR15)-$C$6))</f>
        <v>120</v>
      </c>
      <c r="AC15" s="16"/>
      <c r="AD15" s="131">
        <f t="shared" si="1"/>
        <v>95</v>
      </c>
      <c r="AE15" s="16"/>
      <c r="AF15" s="95"/>
      <c r="AG15" s="67"/>
      <c r="AH15" s="67">
        <v>21337140</v>
      </c>
      <c r="AI15" s="67"/>
      <c r="AJ15" s="68" t="str">
        <f>IF(AI15&gt;0,SUM(AH15)-SUM(AI15),"")</f>
        <v/>
      </c>
      <c r="AK15" s="102"/>
      <c r="AL15" s="48"/>
      <c r="AM15" s="105">
        <v>90</v>
      </c>
      <c r="AN15" s="69">
        <f>$M$3+AM15-1</f>
        <v>46232</v>
      </c>
      <c r="AO15" s="107">
        <f>AN15-AU15</f>
        <v>25</v>
      </c>
      <c r="AP15" s="48"/>
      <c r="AQ15" s="111"/>
      <c r="AR15" s="70">
        <f>IFERROR(WORKDAY.INTL(AN15,AQ15,11),"")</f>
        <v>46232</v>
      </c>
      <c r="AS15" s="107">
        <f>AR15-AU15</f>
        <v>25</v>
      </c>
      <c r="AT15" s="48"/>
      <c r="AU15" s="113">
        <f t="shared" si="4"/>
        <v>46207</v>
      </c>
      <c r="AV15" s="119" t="str" cm="1">
        <f t="array" ref="AV15">IF(OR(G15&gt;$C$6,G15=""),$F$8,INDEX($E$8:$Z$8,MATCH(TRUE,(F15:AA15=""),0)))</f>
        <v>1. Tender Docs &amp; BOQ</v>
      </c>
      <c r="AW15" s="116" t="b">
        <f>IF(AND(G15&gt;0,G15&lt;$C$6),TRUE,FALSE)</f>
        <v>0</v>
      </c>
      <c r="AX15" s="71" t="b">
        <f>IF(AND(I15&gt;0,I15&lt;$C$6),TRUE,FALSE)</f>
        <v>0</v>
      </c>
      <c r="AY15" s="71" t="b">
        <f>IF(AND(K15&gt;0,K15&lt;$C$6),TRUE,FALSE)</f>
        <v>0</v>
      </c>
      <c r="AZ15" s="71" t="b">
        <f>IF(AND(M15&gt;0,M15&lt;$C$6),TRUE,FALSE)</f>
        <v>0</v>
      </c>
      <c r="BA15" s="71" t="b">
        <f>IF(AND(O15&gt;0,O15&lt;$C$6),TRUE,FALSE)</f>
        <v>0</v>
      </c>
      <c r="BB15" s="71" t="b">
        <f>IF(AND(Q15&gt;0,Q15&lt;$C$6),TRUE,FALSE)</f>
        <v>0</v>
      </c>
      <c r="BC15" s="71" t="b">
        <f>IF(AND(S15&gt;0,S15&lt;$C$6),TRUE,FALSE)</f>
        <v>0</v>
      </c>
      <c r="BD15" s="71" t="b">
        <f>IF(AND(U15&gt;0,U15&lt;$C$6),TRUE,FALSE)</f>
        <v>0</v>
      </c>
      <c r="BE15" s="71" t="b">
        <f>IF(AND(W15&gt;0,W15&lt;$C$6),TRUE,FALSE)</f>
        <v>0</v>
      </c>
      <c r="BF15" s="71" t="b">
        <f>IF(AND(Y15&gt;0,Y15&lt;$C$6),TRUE,FALSE)</f>
        <v>0</v>
      </c>
      <c r="BG15" s="89" t="b">
        <f>IF(AND(AA15&gt;0,AA15&lt;$C$6),TRUE,FALSE)</f>
        <v>0</v>
      </c>
      <c r="BH15" s="146"/>
    </row>
    <row r="16" spans="1:60" ht="23.25" x14ac:dyDescent="0.25">
      <c r="A16" s="53"/>
      <c r="B16" s="49"/>
      <c r="C16" s="50" t="s">
        <v>445</v>
      </c>
      <c r="D16" s="51"/>
      <c r="E16" s="51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1"/>
      <c r="AC16" s="51"/>
      <c r="AD16" s="132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  <c r="BC16" s="51"/>
      <c r="BD16" s="51"/>
      <c r="BE16" s="51"/>
      <c r="BF16" s="51"/>
      <c r="BG16" s="88"/>
      <c r="BH16" s="146"/>
    </row>
    <row r="17" spans="1:60" ht="26.25" x14ac:dyDescent="0.25">
      <c r="A17" s="56" cm="1">
        <f t="array" ref="A17">SUMPRODUCT(($AV$10:$AV$39&lt;&gt;"")*(ROW($AV$10:$AV$39)&lt;=ROW()))</f>
        <v>6</v>
      </c>
      <c r="B17" s="57"/>
      <c r="C17" s="58" t="s">
        <v>403</v>
      </c>
      <c r="D17" s="93" t="s">
        <v>7</v>
      </c>
      <c r="E17" s="16"/>
      <c r="F17" s="29">
        <f>H17-$H$7</f>
        <v>46122</v>
      </c>
      <c r="G17" s="42"/>
      <c r="H17" s="29">
        <f>J17-$J$7</f>
        <v>46129</v>
      </c>
      <c r="I17" s="42"/>
      <c r="J17" s="29">
        <f>L17-$L$7</f>
        <v>46135</v>
      </c>
      <c r="K17" s="42"/>
      <c r="L17" s="29">
        <f>N17-$N$7</f>
        <v>46138</v>
      </c>
      <c r="M17" s="42"/>
      <c r="N17" s="29">
        <f>P17-$P$7</f>
        <v>46168</v>
      </c>
      <c r="O17" s="42"/>
      <c r="P17" s="29">
        <f>R17-$R$7</f>
        <v>46178</v>
      </c>
      <c r="Q17" s="42"/>
      <c r="R17" s="29">
        <f>T17-$T$7</f>
        <v>46198</v>
      </c>
      <c r="S17" s="42"/>
      <c r="T17" s="29">
        <f>V17-$V$7</f>
        <v>46205</v>
      </c>
      <c r="U17" s="42"/>
      <c r="V17" s="29">
        <f>X17-$X$7</f>
        <v>46212</v>
      </c>
      <c r="W17" s="42"/>
      <c r="X17" s="29">
        <f t="shared" ref="X17:X20" si="5">AN17</f>
        <v>46217</v>
      </c>
      <c r="Y17" s="42"/>
      <c r="Z17" s="30">
        <f>X17+$Z$7</f>
        <v>46227</v>
      </c>
      <c r="AA17" s="42"/>
      <c r="AB17" s="31">
        <f>IF(AV17="10. Issued to Contractor","-",IF(AV17="11. Subcontract Agreement signed","-",MAX(AN17,AR17)-$C$6))</f>
        <v>105</v>
      </c>
      <c r="AC17" s="16"/>
      <c r="AD17" s="131">
        <f t="shared" ref="AD17:AD20" si="6">SUM($H$7:$Y$7)</f>
        <v>95</v>
      </c>
      <c r="AE17" s="16"/>
      <c r="AF17" s="95"/>
      <c r="AG17" s="67"/>
      <c r="AH17" s="67">
        <v>5265150</v>
      </c>
      <c r="AI17" s="67"/>
      <c r="AJ17" s="68" t="str">
        <f>IF(AI17&gt;0,SUM(AH17)-SUM(AI17),"")</f>
        <v/>
      </c>
      <c r="AK17" s="102"/>
      <c r="AL17" s="48"/>
      <c r="AM17" s="105">
        <v>75</v>
      </c>
      <c r="AN17" s="69">
        <f>$M$3+AM17-1</f>
        <v>46217</v>
      </c>
      <c r="AO17" s="107">
        <f>AN17-AU17</f>
        <v>10</v>
      </c>
      <c r="AP17" s="48"/>
      <c r="AQ17" s="111"/>
      <c r="AR17" s="70">
        <f>IFERROR(WORKDAY.INTL(AN17,AQ17,11),"")</f>
        <v>46217</v>
      </c>
      <c r="AS17" s="107">
        <f>AR17-AU17</f>
        <v>10</v>
      </c>
      <c r="AT17" s="48"/>
      <c r="AU17" s="113">
        <f t="shared" ref="AU17:AU20" si="7">IF(Y17&gt;0,Y17,IFERROR(MAX(_xlfn.XLOOKUP($AV17,$H$8:$Z$8,$G17:$Y17),$C$6)+(AN17-_xlfn.XLOOKUP($AV17,$H$8:$Z$8,$F17:$X17))*AD17/SUM($H$7:$Y$7),$C$6+SUM(AD17)))</f>
        <v>46207</v>
      </c>
      <c r="AV17" s="119" t="str" cm="1">
        <f t="array" ref="AV17">IF(OR(G17&gt;$C$6,G17=""),$F$8,INDEX($E$8:$Z$8,MATCH(TRUE,(F17:AA17=""),0)))</f>
        <v>1. Tender Docs &amp; BOQ</v>
      </c>
      <c r="AW17" s="116" t="b">
        <f>IF(AND(G17&gt;0,G17&lt;$C$6),TRUE,FALSE)</f>
        <v>0</v>
      </c>
      <c r="AX17" s="71" t="b">
        <f>IF(AND(I17&gt;0,I17&lt;$C$6),TRUE,FALSE)</f>
        <v>0</v>
      </c>
      <c r="AY17" s="71" t="b">
        <f>IF(AND(K17&gt;0,K17&lt;$C$6),TRUE,FALSE)</f>
        <v>0</v>
      </c>
      <c r="AZ17" s="71" t="b">
        <f>IF(AND(M17&gt;0,M17&lt;$C$6),TRUE,FALSE)</f>
        <v>0</v>
      </c>
      <c r="BA17" s="71" t="b">
        <f>IF(AND(O17&gt;0,O17&lt;$C$6),TRUE,FALSE)</f>
        <v>0</v>
      </c>
      <c r="BB17" s="71" t="b">
        <f>IF(AND(Q17&gt;0,Q17&lt;$C$6),TRUE,FALSE)</f>
        <v>0</v>
      </c>
      <c r="BC17" s="71" t="b">
        <f>IF(AND(S17&gt;0,S17&lt;$C$6),TRUE,FALSE)</f>
        <v>0</v>
      </c>
      <c r="BD17" s="71" t="b">
        <f>IF(AND(U17&gt;0,U17&lt;$C$6),TRUE,FALSE)</f>
        <v>0</v>
      </c>
      <c r="BE17" s="71" t="b">
        <f>IF(AND(W17&gt;0,W17&lt;$C$6),TRUE,FALSE)</f>
        <v>0</v>
      </c>
      <c r="BF17" s="71" t="b">
        <f>IF(AND(Y17&gt;0,Y17&lt;$C$6),TRUE,FALSE)</f>
        <v>0</v>
      </c>
      <c r="BG17" s="89" t="b">
        <f>IF(AND(AA17&gt;0,AA17&lt;$C$6),TRUE,FALSE)</f>
        <v>0</v>
      </c>
      <c r="BH17" s="146"/>
    </row>
    <row r="18" spans="1:60" ht="26.25" x14ac:dyDescent="0.25">
      <c r="A18" s="56" cm="1">
        <f t="array" ref="A18">SUMPRODUCT(($AV$10:$AV$39&lt;&gt;"")*(ROW($AV$10:$AV$39)&lt;=ROW()))</f>
        <v>7</v>
      </c>
      <c r="B18" s="59"/>
      <c r="C18" s="60" t="s">
        <v>404</v>
      </c>
      <c r="D18" s="59" t="s">
        <v>7</v>
      </c>
      <c r="E18" s="43"/>
      <c r="F18" s="44">
        <f>H18-$H$7</f>
        <v>46122</v>
      </c>
      <c r="G18" s="45"/>
      <c r="H18" s="44">
        <f>J18-$J$7</f>
        <v>46129</v>
      </c>
      <c r="I18" s="45"/>
      <c r="J18" s="44">
        <f>L18-$L$7</f>
        <v>46135</v>
      </c>
      <c r="K18" s="45"/>
      <c r="L18" s="44">
        <f>N18-$N$7</f>
        <v>46138</v>
      </c>
      <c r="M18" s="45"/>
      <c r="N18" s="44">
        <f>P18-$P$7</f>
        <v>46168</v>
      </c>
      <c r="O18" s="45"/>
      <c r="P18" s="44">
        <f>R18-$R$7</f>
        <v>46178</v>
      </c>
      <c r="Q18" s="45"/>
      <c r="R18" s="44">
        <f>T18-$T$7</f>
        <v>46198</v>
      </c>
      <c r="S18" s="45"/>
      <c r="T18" s="44">
        <f>V18-$V$7</f>
        <v>46205</v>
      </c>
      <c r="U18" s="45"/>
      <c r="V18" s="44">
        <f>X18-$X$7</f>
        <v>46212</v>
      </c>
      <c r="W18" s="45"/>
      <c r="X18" s="44">
        <f t="shared" si="5"/>
        <v>46217</v>
      </c>
      <c r="Y18" s="45"/>
      <c r="Z18" s="46">
        <f>X18+$Z$7</f>
        <v>46227</v>
      </c>
      <c r="AA18" s="45"/>
      <c r="AB18" s="32">
        <f>IF(AV18="10. Issued to Contractor","-",IF(AV18="11. Subcontract Agreement signed","-",MAX(AN18,AR18)-$C$6))</f>
        <v>105</v>
      </c>
      <c r="AC18" s="16"/>
      <c r="AD18" s="131">
        <f t="shared" si="6"/>
        <v>95</v>
      </c>
      <c r="AE18" s="16"/>
      <c r="AF18" s="96"/>
      <c r="AG18" s="72"/>
      <c r="AH18" s="72">
        <v>18387380</v>
      </c>
      <c r="AI18" s="72"/>
      <c r="AJ18" s="73" t="str">
        <f>IF(AI18&gt;0,SUM(AH18)-SUM(AI18),"")</f>
        <v/>
      </c>
      <c r="AK18" s="101"/>
      <c r="AL18" s="48"/>
      <c r="AM18" s="104">
        <v>75</v>
      </c>
      <c r="AN18" s="74">
        <f>$M$3+AM18-1</f>
        <v>46217</v>
      </c>
      <c r="AO18" s="108">
        <f>AN18-AU18</f>
        <v>10</v>
      </c>
      <c r="AP18" s="48"/>
      <c r="AQ18" s="110"/>
      <c r="AR18" s="75">
        <f>IFERROR(WORKDAY.INTL(AN18,AQ18,11),"")</f>
        <v>46217</v>
      </c>
      <c r="AS18" s="108">
        <f>AR18-AU18</f>
        <v>10</v>
      </c>
      <c r="AT18" s="48"/>
      <c r="AU18" s="114">
        <f t="shared" si="7"/>
        <v>46207</v>
      </c>
      <c r="AV18" s="120" t="str" cm="1">
        <f t="array" ref="AV18">IF(OR(G18&gt;$C$6,G18=""),$F$8,INDEX($E$8:$Z$8,MATCH(TRUE,(F18:AA18=""),0)))</f>
        <v>1. Tender Docs &amp; BOQ</v>
      </c>
      <c r="AW18" s="117" t="b">
        <f>IF(AND(G18&gt;0,G18&lt;$C$6),TRUE,FALSE)</f>
        <v>0</v>
      </c>
      <c r="AX18" s="76" t="b">
        <f>IF(AND(I18&gt;0,I18&lt;$C$6),TRUE,FALSE)</f>
        <v>0</v>
      </c>
      <c r="AY18" s="76" t="b">
        <f>IF(AND(K18&gt;0,K18&lt;$C$6),TRUE,FALSE)</f>
        <v>0</v>
      </c>
      <c r="AZ18" s="76" t="b">
        <f>IF(AND(M18&gt;0,M18&lt;$C$6),TRUE,FALSE)</f>
        <v>0</v>
      </c>
      <c r="BA18" s="76" t="b">
        <f>IF(AND(O18&gt;0,O18&lt;$C$6),TRUE,FALSE)</f>
        <v>0</v>
      </c>
      <c r="BB18" s="76" t="b">
        <f>IF(AND(Q18&gt;0,Q18&lt;$C$6),TRUE,FALSE)</f>
        <v>0</v>
      </c>
      <c r="BC18" s="76" t="b">
        <f>IF(AND(S18&gt;0,S18&lt;$C$6),TRUE,FALSE)</f>
        <v>0</v>
      </c>
      <c r="BD18" s="76" t="b">
        <f>IF(AND(U18&gt;0,U18&lt;$C$6),TRUE,FALSE)</f>
        <v>0</v>
      </c>
      <c r="BE18" s="76" t="b">
        <f>IF(AND(W18&gt;0,W18&lt;$C$6),TRUE,FALSE)</f>
        <v>0</v>
      </c>
      <c r="BF18" s="76" t="b">
        <f>IF(AND(Y18&gt;0,Y18&lt;$C$6),TRUE,FALSE)</f>
        <v>0</v>
      </c>
      <c r="BG18" s="90" t="b">
        <f>IF(AND(AA18&gt;0,AA18&lt;$C$6),TRUE,FALSE)</f>
        <v>0</v>
      </c>
      <c r="BH18" s="146"/>
    </row>
    <row r="19" spans="1:60" ht="26.25" x14ac:dyDescent="0.25">
      <c r="A19" s="56" cm="1">
        <f t="array" ref="A19">SUMPRODUCT(($AV$10:$AV$39&lt;&gt;"")*(ROW($AV$10:$AV$39)&lt;=ROW()))</f>
        <v>8</v>
      </c>
      <c r="B19" s="57"/>
      <c r="C19" s="58" t="s">
        <v>405</v>
      </c>
      <c r="D19" s="93" t="s">
        <v>7</v>
      </c>
      <c r="E19" s="16"/>
      <c r="F19" s="29">
        <f>H19-$H$7</f>
        <v>46122</v>
      </c>
      <c r="G19" s="42"/>
      <c r="H19" s="29">
        <f>J19-$J$7</f>
        <v>46129</v>
      </c>
      <c r="I19" s="42"/>
      <c r="J19" s="29">
        <f>L19-$L$7</f>
        <v>46135</v>
      </c>
      <c r="K19" s="42"/>
      <c r="L19" s="29">
        <f>N19-$N$7</f>
        <v>46138</v>
      </c>
      <c r="M19" s="42"/>
      <c r="N19" s="29">
        <f>P19-$P$7</f>
        <v>46168</v>
      </c>
      <c r="O19" s="42"/>
      <c r="P19" s="29">
        <f>R19-$R$7</f>
        <v>46178</v>
      </c>
      <c r="Q19" s="42"/>
      <c r="R19" s="29">
        <f>T19-$T$7</f>
        <v>46198</v>
      </c>
      <c r="S19" s="42"/>
      <c r="T19" s="29">
        <f>V19-$V$7</f>
        <v>46205</v>
      </c>
      <c r="U19" s="42"/>
      <c r="V19" s="29">
        <f>X19-$X$7</f>
        <v>46212</v>
      </c>
      <c r="W19" s="42"/>
      <c r="X19" s="29">
        <f t="shared" si="5"/>
        <v>46217</v>
      </c>
      <c r="Y19" s="42"/>
      <c r="Z19" s="30">
        <f>X19+$Z$7</f>
        <v>46227</v>
      </c>
      <c r="AA19" s="42"/>
      <c r="AB19" s="31">
        <f>IF(AV19="10. Issued to Contractor","-",IF(AV19="11. Subcontract Agreement signed","-",MAX(AN19,AR19)-$C$6))</f>
        <v>105</v>
      </c>
      <c r="AC19" s="16"/>
      <c r="AD19" s="131">
        <f t="shared" si="6"/>
        <v>95</v>
      </c>
      <c r="AE19" s="16"/>
      <c r="AF19" s="95"/>
      <c r="AG19" s="67"/>
      <c r="AH19" s="67">
        <v>54684850</v>
      </c>
      <c r="AI19" s="67"/>
      <c r="AJ19" s="68" t="str">
        <f>IF(AI19&gt;0,SUM(AH19)-SUM(AI19),"")</f>
        <v/>
      </c>
      <c r="AK19" s="102"/>
      <c r="AL19" s="48"/>
      <c r="AM19" s="105">
        <v>75</v>
      </c>
      <c r="AN19" s="69">
        <f>$M$3+AM19-1</f>
        <v>46217</v>
      </c>
      <c r="AO19" s="107">
        <f>AN19-AU19</f>
        <v>10</v>
      </c>
      <c r="AP19" s="48"/>
      <c r="AQ19" s="111"/>
      <c r="AR19" s="70">
        <f>IFERROR(WORKDAY.INTL(AN19,AQ19,11),"")</f>
        <v>46217</v>
      </c>
      <c r="AS19" s="107">
        <f>AR19-AU19</f>
        <v>10</v>
      </c>
      <c r="AT19" s="48"/>
      <c r="AU19" s="113">
        <f t="shared" si="7"/>
        <v>46207</v>
      </c>
      <c r="AV19" s="119" t="str" cm="1">
        <f t="array" ref="AV19">IF(OR(G19&gt;$C$6,G19=""),$F$8,INDEX($E$8:$Z$8,MATCH(TRUE,(F19:AA19=""),0)))</f>
        <v>1. Tender Docs &amp; BOQ</v>
      </c>
      <c r="AW19" s="116" t="b">
        <f>IF(AND(G19&gt;0,G19&lt;$C$6),TRUE,FALSE)</f>
        <v>0</v>
      </c>
      <c r="AX19" s="71" t="b">
        <f>IF(AND(I19&gt;0,I19&lt;$C$6),TRUE,FALSE)</f>
        <v>0</v>
      </c>
      <c r="AY19" s="71" t="b">
        <f>IF(AND(K19&gt;0,K19&lt;$C$6),TRUE,FALSE)</f>
        <v>0</v>
      </c>
      <c r="AZ19" s="71" t="b">
        <f>IF(AND(M19&gt;0,M19&lt;$C$6),TRUE,FALSE)</f>
        <v>0</v>
      </c>
      <c r="BA19" s="71" t="b">
        <f>IF(AND(O19&gt;0,O19&lt;$C$6),TRUE,FALSE)</f>
        <v>0</v>
      </c>
      <c r="BB19" s="71" t="b">
        <f>IF(AND(Q19&gt;0,Q19&lt;$C$6),TRUE,FALSE)</f>
        <v>0</v>
      </c>
      <c r="BC19" s="71" t="b">
        <f>IF(AND(S19&gt;0,S19&lt;$C$6),TRUE,FALSE)</f>
        <v>0</v>
      </c>
      <c r="BD19" s="71" t="b">
        <f>IF(AND(U19&gt;0,U19&lt;$C$6),TRUE,FALSE)</f>
        <v>0</v>
      </c>
      <c r="BE19" s="71" t="b">
        <f>IF(AND(W19&gt;0,W19&lt;$C$6),TRUE,FALSE)</f>
        <v>0</v>
      </c>
      <c r="BF19" s="71" t="b">
        <f>IF(AND(Y19&gt;0,Y19&lt;$C$6),TRUE,FALSE)</f>
        <v>0</v>
      </c>
      <c r="BG19" s="89" t="b">
        <f>IF(AND(AA19&gt;0,AA19&lt;$C$6),TRUE,FALSE)</f>
        <v>0</v>
      </c>
      <c r="BH19" s="146"/>
    </row>
    <row r="20" spans="1:60" ht="26.25" x14ac:dyDescent="0.25">
      <c r="A20" s="56" cm="1">
        <f t="array" ref="A20">SUMPRODUCT(($AV$10:$AV$39&lt;&gt;"")*(ROW($AV$10:$AV$39)&lt;=ROW()))</f>
        <v>9</v>
      </c>
      <c r="B20" s="59"/>
      <c r="C20" s="60" t="s">
        <v>406</v>
      </c>
      <c r="D20" s="59" t="s">
        <v>7</v>
      </c>
      <c r="E20" s="43"/>
      <c r="F20" s="44">
        <f>H20-$H$7</f>
        <v>46122</v>
      </c>
      <c r="G20" s="45"/>
      <c r="H20" s="44">
        <f>J20-$J$7</f>
        <v>46129</v>
      </c>
      <c r="I20" s="45"/>
      <c r="J20" s="44">
        <f>L20-$L$7</f>
        <v>46135</v>
      </c>
      <c r="K20" s="45"/>
      <c r="L20" s="44">
        <f>N20-$N$7</f>
        <v>46138</v>
      </c>
      <c r="M20" s="45"/>
      <c r="N20" s="44">
        <f>P20-$P$7</f>
        <v>46168</v>
      </c>
      <c r="O20" s="45"/>
      <c r="P20" s="44">
        <f>R20-$R$7</f>
        <v>46178</v>
      </c>
      <c r="Q20" s="45"/>
      <c r="R20" s="44">
        <f>T20-$T$7</f>
        <v>46198</v>
      </c>
      <c r="S20" s="45"/>
      <c r="T20" s="44">
        <f>V20-$V$7</f>
        <v>46205</v>
      </c>
      <c r="U20" s="45"/>
      <c r="V20" s="44">
        <f>X20-$X$7</f>
        <v>46212</v>
      </c>
      <c r="W20" s="45"/>
      <c r="X20" s="44">
        <f t="shared" si="5"/>
        <v>46217</v>
      </c>
      <c r="Y20" s="45"/>
      <c r="Z20" s="46">
        <f>X20+$Z$7</f>
        <v>46227</v>
      </c>
      <c r="AA20" s="45"/>
      <c r="AB20" s="32">
        <f>IF(AV20="10. Issued to Contractor","-",IF(AV20="11. Subcontract Agreement signed","-",MAX(AN20,AR20)-$C$6))</f>
        <v>105</v>
      </c>
      <c r="AC20" s="16"/>
      <c r="AD20" s="131">
        <f t="shared" si="6"/>
        <v>95</v>
      </c>
      <c r="AE20" s="16"/>
      <c r="AF20" s="96"/>
      <c r="AG20" s="72"/>
      <c r="AH20" s="72">
        <v>48712620</v>
      </c>
      <c r="AI20" s="72"/>
      <c r="AJ20" s="73" t="str">
        <f>IF(AI20&gt;0,SUM(AH20)-SUM(AI20),"")</f>
        <v/>
      </c>
      <c r="AK20" s="101"/>
      <c r="AL20" s="48"/>
      <c r="AM20" s="104">
        <v>75</v>
      </c>
      <c r="AN20" s="74">
        <f>$M$3+AM20-1</f>
        <v>46217</v>
      </c>
      <c r="AO20" s="108">
        <f>AN20-AU20</f>
        <v>10</v>
      </c>
      <c r="AP20" s="48"/>
      <c r="AQ20" s="110"/>
      <c r="AR20" s="75">
        <f>IFERROR(WORKDAY.INTL(AN20,AQ20,11),"")</f>
        <v>46217</v>
      </c>
      <c r="AS20" s="108">
        <f>AR20-AU20</f>
        <v>10</v>
      </c>
      <c r="AT20" s="48"/>
      <c r="AU20" s="114">
        <f t="shared" si="7"/>
        <v>46207</v>
      </c>
      <c r="AV20" s="120" t="str" cm="1">
        <f t="array" ref="AV20">IF(OR(G20&gt;$C$6,G20=""),$F$8,INDEX($E$8:$Z$8,MATCH(TRUE,(F20:AA20=""),0)))</f>
        <v>1. Tender Docs &amp; BOQ</v>
      </c>
      <c r="AW20" s="117" t="b">
        <f>IF(AND(G20&gt;0,G20&lt;$C$6),TRUE,FALSE)</f>
        <v>0</v>
      </c>
      <c r="AX20" s="76" t="b">
        <f>IF(AND(I20&gt;0,I20&lt;$C$6),TRUE,FALSE)</f>
        <v>0</v>
      </c>
      <c r="AY20" s="76" t="b">
        <f>IF(AND(K20&gt;0,K20&lt;$C$6),TRUE,FALSE)</f>
        <v>0</v>
      </c>
      <c r="AZ20" s="76" t="b">
        <f>IF(AND(M20&gt;0,M20&lt;$C$6),TRUE,FALSE)</f>
        <v>0</v>
      </c>
      <c r="BA20" s="76" t="b">
        <f>IF(AND(O20&gt;0,O20&lt;$C$6),TRUE,FALSE)</f>
        <v>0</v>
      </c>
      <c r="BB20" s="76" t="b">
        <f>IF(AND(Q20&gt;0,Q20&lt;$C$6),TRUE,FALSE)</f>
        <v>0</v>
      </c>
      <c r="BC20" s="76" t="b">
        <f>IF(AND(S20&gt;0,S20&lt;$C$6),TRUE,FALSE)</f>
        <v>0</v>
      </c>
      <c r="BD20" s="76" t="b">
        <f>IF(AND(U20&gt;0,U20&lt;$C$6),TRUE,FALSE)</f>
        <v>0</v>
      </c>
      <c r="BE20" s="76" t="b">
        <f>IF(AND(W20&gt;0,W20&lt;$C$6),TRUE,FALSE)</f>
        <v>0</v>
      </c>
      <c r="BF20" s="76" t="b">
        <f>IF(AND(Y20&gt;0,Y20&lt;$C$6),TRUE,FALSE)</f>
        <v>0</v>
      </c>
      <c r="BG20" s="90" t="b">
        <f>IF(AND(AA20&gt;0,AA20&lt;$C$6),TRUE,FALSE)</f>
        <v>0</v>
      </c>
      <c r="BH20" s="146"/>
    </row>
    <row r="21" spans="1:60" ht="23.25" x14ac:dyDescent="0.25">
      <c r="A21" s="54"/>
      <c r="B21" s="49"/>
      <c r="C21" s="50" t="s">
        <v>128</v>
      </c>
      <c r="D21" s="51"/>
      <c r="E21" s="51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1"/>
      <c r="AC21" s="51"/>
      <c r="AD21" s="132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  <c r="BC21" s="51"/>
      <c r="BD21" s="51"/>
      <c r="BE21" s="51"/>
      <c r="BF21" s="51"/>
      <c r="BG21" s="88"/>
      <c r="BH21" s="146"/>
    </row>
    <row r="22" spans="1:60" ht="26.25" x14ac:dyDescent="0.25">
      <c r="A22" s="56" cm="1">
        <f t="array" ref="A22">SUMPRODUCT(($AV$10:$AV$39&lt;&gt;"")*(ROW($AV$10:$AV$39)&lt;=ROW()))</f>
        <v>10</v>
      </c>
      <c r="B22" s="59"/>
      <c r="C22" s="60" t="s">
        <v>407</v>
      </c>
      <c r="D22" s="59" t="s">
        <v>3</v>
      </c>
      <c r="E22" s="43"/>
      <c r="F22" s="44">
        <f>H22-$H$7</f>
        <v>46197</v>
      </c>
      <c r="G22" s="45"/>
      <c r="H22" s="44">
        <f>J22-$J$7</f>
        <v>46204</v>
      </c>
      <c r="I22" s="45"/>
      <c r="J22" s="44">
        <f>L22-$L$7</f>
        <v>46210</v>
      </c>
      <c r="K22" s="45"/>
      <c r="L22" s="44">
        <f>N22-$N$7</f>
        <v>46213</v>
      </c>
      <c r="M22" s="45"/>
      <c r="N22" s="44">
        <f>P22-$P$7</f>
        <v>46243</v>
      </c>
      <c r="O22" s="45"/>
      <c r="P22" s="44">
        <f>R22-$R$7</f>
        <v>46253</v>
      </c>
      <c r="Q22" s="45"/>
      <c r="R22" s="44">
        <f>T22-$T$7</f>
        <v>46273</v>
      </c>
      <c r="S22" s="45"/>
      <c r="T22" s="44">
        <f>V22-$V$7</f>
        <v>46280</v>
      </c>
      <c r="U22" s="45"/>
      <c r="V22" s="44">
        <f>X22-$X$7</f>
        <v>46287</v>
      </c>
      <c r="W22" s="45"/>
      <c r="X22" s="44">
        <f t="shared" ref="X22:X23" si="8">AN22</f>
        <v>46292</v>
      </c>
      <c r="Y22" s="45"/>
      <c r="Z22" s="46">
        <f>X22+$Z$7</f>
        <v>46302</v>
      </c>
      <c r="AA22" s="45"/>
      <c r="AB22" s="32">
        <f>IF(AV22="10. Issued to Contractor","-",IF(AV22="11. Subcontract Agreement signed","-",MAX(AN22,AR22)-$C$6))</f>
        <v>180</v>
      </c>
      <c r="AC22" s="16"/>
      <c r="AD22" s="131">
        <f t="shared" ref="AD22:AD23" si="9">SUM($H$7:$Y$7)</f>
        <v>95</v>
      </c>
      <c r="AE22" s="16"/>
      <c r="AF22" s="96"/>
      <c r="AG22" s="72"/>
      <c r="AH22" s="72">
        <v>1668150</v>
      </c>
      <c r="AI22" s="72"/>
      <c r="AJ22" s="73" t="str">
        <f>IF(AI22&gt;0,SUM(AH22)-SUM(AI22),"")</f>
        <v/>
      </c>
      <c r="AK22" s="101"/>
      <c r="AL22" s="48"/>
      <c r="AM22" s="104">
        <v>150</v>
      </c>
      <c r="AN22" s="74">
        <f>$M$3+AM22-1</f>
        <v>46292</v>
      </c>
      <c r="AO22" s="108">
        <f>AN22-AU22</f>
        <v>85</v>
      </c>
      <c r="AP22" s="48"/>
      <c r="AQ22" s="110"/>
      <c r="AR22" s="75">
        <f>IFERROR(WORKDAY.INTL(AN22,AQ22,11),"")</f>
        <v>46292</v>
      </c>
      <c r="AS22" s="108">
        <f>AR22-AU22</f>
        <v>85</v>
      </c>
      <c r="AT22" s="48"/>
      <c r="AU22" s="114">
        <f t="shared" ref="AU22:AU23" si="10">IF(Y22&gt;0,Y22,IFERROR(MAX(_xlfn.XLOOKUP($AV22,$H$8:$Z$8,$G22:$Y22),$C$6)+(AN22-_xlfn.XLOOKUP($AV22,$H$8:$Z$8,$F22:$X22))*AD22/SUM($H$7:$Y$7),$C$6+SUM(AD22)))</f>
        <v>46207</v>
      </c>
      <c r="AV22" s="120" t="str" cm="1">
        <f t="array" ref="AV22">IF(OR(G22&gt;$C$6,G22=""),$F$8,INDEX($E$8:$Z$8,MATCH(TRUE,(F22:AA22=""),0)))</f>
        <v>1. Tender Docs &amp; BOQ</v>
      </c>
      <c r="AW22" s="117" t="b">
        <f>IF(AND(G22&gt;0,G22&lt;$C$6),TRUE,FALSE)</f>
        <v>0</v>
      </c>
      <c r="AX22" s="76" t="b">
        <f>IF(AND(I22&gt;0,I22&lt;$C$6),TRUE,FALSE)</f>
        <v>0</v>
      </c>
      <c r="AY22" s="76" t="b">
        <f>IF(AND(K22&gt;0,K22&lt;$C$6),TRUE,FALSE)</f>
        <v>0</v>
      </c>
      <c r="AZ22" s="76" t="b">
        <f>IF(AND(M22&gt;0,M22&lt;$C$6),TRUE,FALSE)</f>
        <v>0</v>
      </c>
      <c r="BA22" s="76" t="b">
        <f>IF(AND(O22&gt;0,O22&lt;$C$6),TRUE,FALSE)</f>
        <v>0</v>
      </c>
      <c r="BB22" s="76" t="b">
        <f>IF(AND(Q22&gt;0,Q22&lt;$C$6),TRUE,FALSE)</f>
        <v>0</v>
      </c>
      <c r="BC22" s="76" t="b">
        <f>IF(AND(S22&gt;0,S22&lt;$C$6),TRUE,FALSE)</f>
        <v>0</v>
      </c>
      <c r="BD22" s="76" t="b">
        <f>IF(AND(U22&gt;0,U22&lt;$C$6),TRUE,FALSE)</f>
        <v>0</v>
      </c>
      <c r="BE22" s="76" t="b">
        <f>IF(AND(W22&gt;0,W22&lt;$C$6),TRUE,FALSE)</f>
        <v>0</v>
      </c>
      <c r="BF22" s="76" t="b">
        <f>IF(AND(Y22&gt;0,Y22&lt;$C$6),TRUE,FALSE)</f>
        <v>0</v>
      </c>
      <c r="BG22" s="90" t="b">
        <f>IF(AND(AA22&gt;0,AA22&lt;$C$6),TRUE,FALSE)</f>
        <v>0</v>
      </c>
      <c r="BH22" s="146"/>
    </row>
    <row r="23" spans="1:60" ht="26.25" x14ac:dyDescent="0.25">
      <c r="A23" s="56" cm="1">
        <f t="array" ref="A23">SUMPRODUCT(($AV$10:$AV$39&lt;&gt;"")*(ROW($AV$10:$AV$39)&lt;=ROW()))</f>
        <v>11</v>
      </c>
      <c r="B23" s="57"/>
      <c r="C23" s="58" t="s">
        <v>408</v>
      </c>
      <c r="D23" s="93" t="s">
        <v>3</v>
      </c>
      <c r="E23" s="16"/>
      <c r="F23" s="29">
        <f>H23-$H$7</f>
        <v>46167</v>
      </c>
      <c r="G23" s="42"/>
      <c r="H23" s="29">
        <f>J23-$J$7</f>
        <v>46174</v>
      </c>
      <c r="I23" s="42"/>
      <c r="J23" s="29">
        <f>L23-$L$7</f>
        <v>46180</v>
      </c>
      <c r="K23" s="42"/>
      <c r="L23" s="29">
        <f>N23-$N$7</f>
        <v>46183</v>
      </c>
      <c r="M23" s="42"/>
      <c r="N23" s="29">
        <f>P23-$P$7</f>
        <v>46213</v>
      </c>
      <c r="O23" s="42"/>
      <c r="P23" s="29">
        <f>R23-$R$7</f>
        <v>46223</v>
      </c>
      <c r="Q23" s="42"/>
      <c r="R23" s="29">
        <f>T23-$T$7</f>
        <v>46243</v>
      </c>
      <c r="S23" s="42"/>
      <c r="T23" s="29">
        <f>V23-$V$7</f>
        <v>46250</v>
      </c>
      <c r="U23" s="42"/>
      <c r="V23" s="29">
        <f>X23-$X$7</f>
        <v>46257</v>
      </c>
      <c r="W23" s="42"/>
      <c r="X23" s="29">
        <f t="shared" si="8"/>
        <v>46262</v>
      </c>
      <c r="Y23" s="42"/>
      <c r="Z23" s="30">
        <f>X23+$Z$7</f>
        <v>46272</v>
      </c>
      <c r="AA23" s="42"/>
      <c r="AB23" s="31">
        <f>IF(AV23="10. Issued to Contractor","-",IF(AV23="11. Subcontract Agreement signed","-",MAX(AN23,AR23)-$C$6))</f>
        <v>150</v>
      </c>
      <c r="AC23" s="16"/>
      <c r="AD23" s="131">
        <f t="shared" si="9"/>
        <v>95</v>
      </c>
      <c r="AE23" s="16"/>
      <c r="AF23" s="95"/>
      <c r="AG23" s="67"/>
      <c r="AH23" s="67">
        <v>15381850</v>
      </c>
      <c r="AI23" s="67"/>
      <c r="AJ23" s="68" t="str">
        <f>IF(AI23&gt;0,SUM(AH23)-SUM(AI23),"")</f>
        <v/>
      </c>
      <c r="AK23" s="102"/>
      <c r="AL23" s="48"/>
      <c r="AM23" s="105">
        <v>120</v>
      </c>
      <c r="AN23" s="69">
        <f>$M$3+AM23-1</f>
        <v>46262</v>
      </c>
      <c r="AO23" s="107">
        <f t="shared" ref="AO23" si="11">AN23-AU23</f>
        <v>55</v>
      </c>
      <c r="AP23" s="48"/>
      <c r="AQ23" s="111"/>
      <c r="AR23" s="70">
        <f t="shared" ref="AR23" si="12">IFERROR(WORKDAY.INTL(AN23,AQ23,11),"")</f>
        <v>46262</v>
      </c>
      <c r="AS23" s="107">
        <f t="shared" ref="AS23" si="13">AR23-AU23</f>
        <v>55</v>
      </c>
      <c r="AT23" s="48"/>
      <c r="AU23" s="113">
        <f t="shared" si="10"/>
        <v>46207</v>
      </c>
      <c r="AV23" s="119" t="str" cm="1">
        <f t="array" ref="AV23">IF(OR(G23&gt;$C$6,G23=""),$F$8,INDEX($E$8:$Z$8,MATCH(TRUE,(F23:AA23=""),0)))</f>
        <v>1. Tender Docs &amp; BOQ</v>
      </c>
      <c r="AW23" s="116" t="b">
        <f>IF(AND(G23&gt;0,G23&lt;$C$6),TRUE,FALSE)</f>
        <v>0</v>
      </c>
      <c r="AX23" s="71" t="b">
        <f>IF(AND(I23&gt;0,I23&lt;$C$6),TRUE,FALSE)</f>
        <v>0</v>
      </c>
      <c r="AY23" s="71" t="b">
        <f>IF(AND(K23&gt;0,K23&lt;$C$6),TRUE,FALSE)</f>
        <v>0</v>
      </c>
      <c r="AZ23" s="71" t="b">
        <f>IF(AND(M23&gt;0,M23&lt;$C$6),TRUE,FALSE)</f>
        <v>0</v>
      </c>
      <c r="BA23" s="71" t="b">
        <f>IF(AND(O23&gt;0,O23&lt;$C$6),TRUE,FALSE)</f>
        <v>0</v>
      </c>
      <c r="BB23" s="71" t="b">
        <f>IF(AND(Q23&gt;0,Q23&lt;$C$6),TRUE,FALSE)</f>
        <v>0</v>
      </c>
      <c r="BC23" s="71" t="b">
        <f>IF(AND(S23&gt;0,S23&lt;$C$6),TRUE,FALSE)</f>
        <v>0</v>
      </c>
      <c r="BD23" s="71" t="b">
        <f>IF(AND(U23&gt;0,U23&lt;$C$6),TRUE,FALSE)</f>
        <v>0</v>
      </c>
      <c r="BE23" s="71" t="b">
        <f>IF(AND(W23&gt;0,W23&lt;$C$6),TRUE,FALSE)</f>
        <v>0</v>
      </c>
      <c r="BF23" s="71" t="b">
        <f>IF(AND(Y23&gt;0,Y23&lt;$C$6),TRUE,FALSE)</f>
        <v>0</v>
      </c>
      <c r="BG23" s="89" t="b">
        <f>IF(AND(AA23&gt;0,AA23&lt;$C$6),TRUE,FALSE)</f>
        <v>0</v>
      </c>
      <c r="BH23" s="146"/>
    </row>
    <row r="24" spans="1:60" ht="23.25" x14ac:dyDescent="0.25">
      <c r="A24" s="54"/>
      <c r="B24" s="49"/>
      <c r="C24" s="50" t="s">
        <v>137</v>
      </c>
      <c r="D24" s="51"/>
      <c r="E24" s="51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1"/>
      <c r="AC24" s="51"/>
      <c r="AD24" s="132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  <c r="BC24" s="51"/>
      <c r="BD24" s="51"/>
      <c r="BE24" s="51"/>
      <c r="BF24" s="51"/>
      <c r="BG24" s="88"/>
      <c r="BH24" s="146"/>
    </row>
    <row r="25" spans="1:60" ht="26.25" x14ac:dyDescent="0.25">
      <c r="A25" s="56" cm="1">
        <f t="array" ref="A25">SUMPRODUCT(($AV$10:$AV$39&lt;&gt;"")*(ROW($AV$10:$AV$39)&lt;=ROW()))</f>
        <v>12</v>
      </c>
      <c r="B25" s="59"/>
      <c r="C25" s="60" t="s">
        <v>409</v>
      </c>
      <c r="D25" s="59" t="s">
        <v>11</v>
      </c>
      <c r="E25" s="43"/>
      <c r="F25" s="44">
        <f t="shared" ref="F25:F26" si="14">H25-$H$7</f>
        <v>46137</v>
      </c>
      <c r="G25" s="45"/>
      <c r="H25" s="44">
        <f t="shared" ref="H25:H26" si="15">J25-$J$7</f>
        <v>46144</v>
      </c>
      <c r="I25" s="45"/>
      <c r="J25" s="44">
        <f t="shared" ref="J25:J26" si="16">L25-$L$7</f>
        <v>46150</v>
      </c>
      <c r="K25" s="45"/>
      <c r="L25" s="44">
        <f t="shared" ref="L25:L26" si="17">N25-$N$7</f>
        <v>46153</v>
      </c>
      <c r="M25" s="45"/>
      <c r="N25" s="44">
        <f t="shared" ref="N25:N26" si="18">P25-$P$7</f>
        <v>46183</v>
      </c>
      <c r="O25" s="45"/>
      <c r="P25" s="44">
        <f t="shared" ref="P25:P26" si="19">R25-$R$7</f>
        <v>46193</v>
      </c>
      <c r="Q25" s="45"/>
      <c r="R25" s="44">
        <f t="shared" ref="R25:R26" si="20">T25-$T$7</f>
        <v>46213</v>
      </c>
      <c r="S25" s="45"/>
      <c r="T25" s="44">
        <f t="shared" ref="T25:T26" si="21">V25-$V$7</f>
        <v>46220</v>
      </c>
      <c r="U25" s="45"/>
      <c r="V25" s="44">
        <f t="shared" ref="V25:V26" si="22">X25-$X$7</f>
        <v>46227</v>
      </c>
      <c r="W25" s="45"/>
      <c r="X25" s="44">
        <f t="shared" ref="X25:X26" si="23">AN25</f>
        <v>46232</v>
      </c>
      <c r="Y25" s="45"/>
      <c r="Z25" s="46">
        <f t="shared" ref="Z25:Z26" si="24">X25+$Z$7</f>
        <v>46242</v>
      </c>
      <c r="AA25" s="45"/>
      <c r="AB25" s="32">
        <f t="shared" ref="AB25:AB26" si="25">IF(AV25="10. Issued to Contractor","-",IF(AV25="11. Subcontract Agreement signed","-",MAX(AN25,AR25)-$C$6))</f>
        <v>120</v>
      </c>
      <c r="AC25" s="16"/>
      <c r="AD25" s="131">
        <f t="shared" ref="AD25:AD26" si="26">SUM($H$7:$Y$7)</f>
        <v>95</v>
      </c>
      <c r="AE25" s="16"/>
      <c r="AF25" s="96"/>
      <c r="AG25" s="72"/>
      <c r="AH25" s="72">
        <v>42652060</v>
      </c>
      <c r="AI25" s="72"/>
      <c r="AJ25" s="73" t="str">
        <f>IF(AI25&gt;0,SUM(AH25)-SUM(AI25),"")</f>
        <v/>
      </c>
      <c r="AK25" s="101"/>
      <c r="AL25" s="48"/>
      <c r="AM25" s="104">
        <v>90</v>
      </c>
      <c r="AN25" s="74">
        <f t="shared" ref="AN25:AN26" si="27">$M$3+AM25-1</f>
        <v>46232</v>
      </c>
      <c r="AO25" s="108">
        <f t="shared" ref="AO25:AO26" si="28">AN25-AU25</f>
        <v>25</v>
      </c>
      <c r="AP25" s="48"/>
      <c r="AQ25" s="110"/>
      <c r="AR25" s="75">
        <f t="shared" ref="AR25:AR26" si="29">IFERROR(WORKDAY.INTL(AN25,AQ25,11),"")</f>
        <v>46232</v>
      </c>
      <c r="AS25" s="108">
        <f t="shared" ref="AS25:AS26" si="30">AR25-AU25</f>
        <v>25</v>
      </c>
      <c r="AT25" s="48"/>
      <c r="AU25" s="114">
        <f t="shared" ref="AU25:AU26" si="31">IF(Y25&gt;0,Y25,IFERROR(MAX(_xlfn.XLOOKUP($AV25,$H$8:$Z$8,$G25:$Y25),$C$6)+(AN25-_xlfn.XLOOKUP($AV25,$H$8:$Z$8,$F25:$X25))*AD25/SUM($H$7:$Y$7),$C$6+SUM(AD25)))</f>
        <v>46207</v>
      </c>
      <c r="AV25" s="120" t="str" cm="1">
        <f t="array" ref="AV25">IF(OR(G25&gt;$C$6,G25=""),$F$8,INDEX($E$8:$Z$8,MATCH(TRUE,(F25:AA25=""),0)))</f>
        <v>1. Tender Docs &amp; BOQ</v>
      </c>
      <c r="AW25" s="117" t="b">
        <f t="shared" ref="AW25:AW26" si="32">IF(AND(G25&gt;0,G25&lt;$C$6),TRUE,FALSE)</f>
        <v>0</v>
      </c>
      <c r="AX25" s="76" t="b">
        <f t="shared" ref="AX25:AX26" si="33">IF(AND(I25&gt;0,I25&lt;$C$6),TRUE,FALSE)</f>
        <v>0</v>
      </c>
      <c r="AY25" s="76" t="b">
        <f t="shared" ref="AY25:AY26" si="34">IF(AND(K25&gt;0,K25&lt;$C$6),TRUE,FALSE)</f>
        <v>0</v>
      </c>
      <c r="AZ25" s="76" t="b">
        <f t="shared" ref="AZ25:AZ26" si="35">IF(AND(M25&gt;0,M25&lt;$C$6),TRUE,FALSE)</f>
        <v>0</v>
      </c>
      <c r="BA25" s="76" t="b">
        <f t="shared" ref="BA25:BA26" si="36">IF(AND(O25&gt;0,O25&lt;$C$6),TRUE,FALSE)</f>
        <v>0</v>
      </c>
      <c r="BB25" s="76" t="b">
        <f t="shared" ref="BB25:BB26" si="37">IF(AND(Q25&gt;0,Q25&lt;$C$6),TRUE,FALSE)</f>
        <v>0</v>
      </c>
      <c r="BC25" s="76" t="b">
        <f t="shared" ref="BC25:BC26" si="38">IF(AND(S25&gt;0,S25&lt;$C$6),TRUE,FALSE)</f>
        <v>0</v>
      </c>
      <c r="BD25" s="76" t="b">
        <f t="shared" ref="BD25:BD26" si="39">IF(AND(U25&gt;0,U25&lt;$C$6),TRUE,FALSE)</f>
        <v>0</v>
      </c>
      <c r="BE25" s="76" t="b">
        <f t="shared" ref="BE25:BE26" si="40">IF(AND(W25&gt;0,W25&lt;$C$6),TRUE,FALSE)</f>
        <v>0</v>
      </c>
      <c r="BF25" s="76" t="b">
        <f t="shared" ref="BF25:BF26" si="41">IF(AND(Y25&gt;0,Y25&lt;$C$6),TRUE,FALSE)</f>
        <v>0</v>
      </c>
      <c r="BG25" s="90" t="b">
        <f t="shared" ref="BG25:BG26" si="42">IF(AND(AA25&gt;0,AA25&lt;$C$6),TRUE,FALSE)</f>
        <v>0</v>
      </c>
      <c r="BH25" s="146"/>
    </row>
    <row r="26" spans="1:60" ht="26.25" x14ac:dyDescent="0.25">
      <c r="A26" s="56" cm="1">
        <f t="array" ref="A26">SUMPRODUCT(($AV$10:$AV$39&lt;&gt;"")*(ROW($AV$10:$AV$39)&lt;=ROW()))</f>
        <v>13</v>
      </c>
      <c r="B26" s="57"/>
      <c r="C26" s="58" t="s">
        <v>410</v>
      </c>
      <c r="D26" s="93" t="s">
        <v>11</v>
      </c>
      <c r="E26" s="16"/>
      <c r="F26" s="29">
        <f t="shared" si="14"/>
        <v>46137</v>
      </c>
      <c r="G26" s="42"/>
      <c r="H26" s="29">
        <f t="shared" si="15"/>
        <v>46144</v>
      </c>
      <c r="I26" s="42"/>
      <c r="J26" s="29">
        <f t="shared" si="16"/>
        <v>46150</v>
      </c>
      <c r="K26" s="42"/>
      <c r="L26" s="29">
        <f t="shared" si="17"/>
        <v>46153</v>
      </c>
      <c r="M26" s="42"/>
      <c r="N26" s="29">
        <f t="shared" si="18"/>
        <v>46183</v>
      </c>
      <c r="O26" s="42"/>
      <c r="P26" s="29">
        <f t="shared" si="19"/>
        <v>46193</v>
      </c>
      <c r="Q26" s="42"/>
      <c r="R26" s="29">
        <f t="shared" si="20"/>
        <v>46213</v>
      </c>
      <c r="S26" s="42"/>
      <c r="T26" s="29">
        <f t="shared" si="21"/>
        <v>46220</v>
      </c>
      <c r="U26" s="42"/>
      <c r="V26" s="29">
        <f t="shared" si="22"/>
        <v>46227</v>
      </c>
      <c r="W26" s="42"/>
      <c r="X26" s="29">
        <f t="shared" si="23"/>
        <v>46232</v>
      </c>
      <c r="Y26" s="42"/>
      <c r="Z26" s="30">
        <f t="shared" si="24"/>
        <v>46242</v>
      </c>
      <c r="AA26" s="42"/>
      <c r="AB26" s="31">
        <f t="shared" si="25"/>
        <v>120</v>
      </c>
      <c r="AC26" s="16"/>
      <c r="AD26" s="131">
        <f t="shared" si="26"/>
        <v>95</v>
      </c>
      <c r="AE26" s="16"/>
      <c r="AF26" s="95"/>
      <c r="AG26" s="67"/>
      <c r="AH26" s="67">
        <v>112887940</v>
      </c>
      <c r="AI26" s="67"/>
      <c r="AJ26" s="68" t="str">
        <f>IF(AI26&gt;0,SUM(AH26)-SUM(AI26),"")</f>
        <v/>
      </c>
      <c r="AK26" s="102"/>
      <c r="AL26" s="48"/>
      <c r="AM26" s="105">
        <v>90</v>
      </c>
      <c r="AN26" s="69">
        <f t="shared" si="27"/>
        <v>46232</v>
      </c>
      <c r="AO26" s="107">
        <f t="shared" si="28"/>
        <v>25</v>
      </c>
      <c r="AP26" s="48"/>
      <c r="AQ26" s="111"/>
      <c r="AR26" s="70">
        <f t="shared" si="29"/>
        <v>46232</v>
      </c>
      <c r="AS26" s="107">
        <f t="shared" si="30"/>
        <v>25</v>
      </c>
      <c r="AT26" s="48"/>
      <c r="AU26" s="113">
        <f t="shared" si="31"/>
        <v>46207</v>
      </c>
      <c r="AV26" s="119" t="str" cm="1">
        <f t="array" ref="AV26">IF(OR(G26&gt;$C$6,G26=""),$F$8,INDEX($E$8:$Z$8,MATCH(TRUE,(F26:AA26=""),0)))</f>
        <v>1. Tender Docs &amp; BOQ</v>
      </c>
      <c r="AW26" s="116" t="b">
        <f t="shared" si="32"/>
        <v>0</v>
      </c>
      <c r="AX26" s="71" t="b">
        <f t="shared" si="33"/>
        <v>0</v>
      </c>
      <c r="AY26" s="71" t="b">
        <f t="shared" si="34"/>
        <v>0</v>
      </c>
      <c r="AZ26" s="71" t="b">
        <f t="shared" si="35"/>
        <v>0</v>
      </c>
      <c r="BA26" s="71" t="b">
        <f t="shared" si="36"/>
        <v>0</v>
      </c>
      <c r="BB26" s="71" t="b">
        <f t="shared" si="37"/>
        <v>0</v>
      </c>
      <c r="BC26" s="71" t="b">
        <f t="shared" si="38"/>
        <v>0</v>
      </c>
      <c r="BD26" s="71" t="b">
        <f t="shared" si="39"/>
        <v>0</v>
      </c>
      <c r="BE26" s="71" t="b">
        <f t="shared" si="40"/>
        <v>0</v>
      </c>
      <c r="BF26" s="71" t="b">
        <f t="shared" si="41"/>
        <v>0</v>
      </c>
      <c r="BG26" s="89" t="b">
        <f t="shared" si="42"/>
        <v>0</v>
      </c>
      <c r="BH26" s="146"/>
    </row>
    <row r="27" spans="1:60" ht="23.25" x14ac:dyDescent="0.25">
      <c r="A27" s="54"/>
      <c r="B27" s="49"/>
      <c r="C27" s="50" t="s">
        <v>156</v>
      </c>
      <c r="D27" s="51"/>
      <c r="E27" s="51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1"/>
      <c r="AC27" s="51"/>
      <c r="AD27" s="132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88"/>
      <c r="BH27" s="146"/>
    </row>
    <row r="28" spans="1:60" ht="26.25" x14ac:dyDescent="0.25">
      <c r="A28" s="56" cm="1">
        <f t="array" ref="A28">SUMPRODUCT(($AV$10:$AV$39&lt;&gt;"")*(ROW($AV$10:$AV$39)&lt;=ROW()))</f>
        <v>14</v>
      </c>
      <c r="B28" s="59"/>
      <c r="C28" s="60" t="s">
        <v>411</v>
      </c>
      <c r="D28" s="59" t="s">
        <v>3</v>
      </c>
      <c r="E28" s="43"/>
      <c r="F28" s="44">
        <f>H28-$H$7</f>
        <v>46197</v>
      </c>
      <c r="G28" s="45"/>
      <c r="H28" s="44">
        <f>J28-$J$7</f>
        <v>46204</v>
      </c>
      <c r="I28" s="45"/>
      <c r="J28" s="44">
        <f>L28-$L$7</f>
        <v>46210</v>
      </c>
      <c r="K28" s="45"/>
      <c r="L28" s="44">
        <f>N28-$N$7</f>
        <v>46213</v>
      </c>
      <c r="M28" s="45"/>
      <c r="N28" s="44">
        <f>P28-$P$7</f>
        <v>46243</v>
      </c>
      <c r="O28" s="45"/>
      <c r="P28" s="44">
        <f>R28-$R$7</f>
        <v>46253</v>
      </c>
      <c r="Q28" s="45"/>
      <c r="R28" s="44">
        <f>T28-$T$7</f>
        <v>46273</v>
      </c>
      <c r="S28" s="45"/>
      <c r="T28" s="44">
        <f>V28-$V$7</f>
        <v>46280</v>
      </c>
      <c r="U28" s="45"/>
      <c r="V28" s="44">
        <f>X28-$X$7</f>
        <v>46287</v>
      </c>
      <c r="W28" s="45"/>
      <c r="X28" s="44">
        <f t="shared" ref="X28:X29" si="43">AN28</f>
        <v>46292</v>
      </c>
      <c r="Y28" s="45"/>
      <c r="Z28" s="46">
        <f>X28+$Z$7</f>
        <v>46302</v>
      </c>
      <c r="AA28" s="45"/>
      <c r="AB28" s="32">
        <f>IF(AV28="10. Issued to Contractor","-",IF(AV28="11. Subcontract Agreement signed","-",MAX(AN28,AR28)-$C$6))</f>
        <v>180</v>
      </c>
      <c r="AC28" s="16"/>
      <c r="AD28" s="131">
        <f t="shared" ref="AD28:AD29" si="44">SUM($H$7:$Y$7)</f>
        <v>95</v>
      </c>
      <c r="AE28" s="16"/>
      <c r="AF28" s="96"/>
      <c r="AG28" s="72"/>
      <c r="AH28" s="72">
        <v>1190750</v>
      </c>
      <c r="AI28" s="72"/>
      <c r="AJ28" s="73" t="str">
        <f>IF(AI28&gt;0,SUM(AH28)-SUM(AI28),"")</f>
        <v/>
      </c>
      <c r="AK28" s="101"/>
      <c r="AL28" s="48"/>
      <c r="AM28" s="104">
        <v>150</v>
      </c>
      <c r="AN28" s="74">
        <f>$M$3+AM28-1</f>
        <v>46292</v>
      </c>
      <c r="AO28" s="108">
        <f>AN28-AU28</f>
        <v>85</v>
      </c>
      <c r="AP28" s="48"/>
      <c r="AQ28" s="110"/>
      <c r="AR28" s="75">
        <f>IFERROR(WORKDAY.INTL(AN28,AQ28,11),"")</f>
        <v>46292</v>
      </c>
      <c r="AS28" s="108">
        <f>AR28-AU28</f>
        <v>85</v>
      </c>
      <c r="AT28" s="48"/>
      <c r="AU28" s="114">
        <f t="shared" ref="AU28:AU29" si="45">IF(Y28&gt;0,Y28,IFERROR(MAX(_xlfn.XLOOKUP($AV28,$H$8:$Z$8,$G28:$Y28),$C$6)+(AN28-_xlfn.XLOOKUP($AV28,$H$8:$Z$8,$F28:$X28))*AD28/SUM($H$7:$Y$7),$C$6+SUM(AD28)))</f>
        <v>46207</v>
      </c>
      <c r="AV28" s="120" t="str" cm="1">
        <f t="array" ref="AV28">IF(OR(G28&gt;$C$6,G28=""),$F$8,INDEX($E$8:$Z$8,MATCH(TRUE,(F28:AA28=""),0)))</f>
        <v>1. Tender Docs &amp; BOQ</v>
      </c>
      <c r="AW28" s="117" t="b">
        <f>IF(AND(G28&gt;0,G28&lt;$C$6),TRUE,FALSE)</f>
        <v>0</v>
      </c>
      <c r="AX28" s="76" t="b">
        <f>IF(AND(I28&gt;0,I28&lt;$C$6),TRUE,FALSE)</f>
        <v>0</v>
      </c>
      <c r="AY28" s="76" t="b">
        <f>IF(AND(K28&gt;0,K28&lt;$C$6),TRUE,FALSE)</f>
        <v>0</v>
      </c>
      <c r="AZ28" s="76" t="b">
        <f>IF(AND(M28&gt;0,M28&lt;$C$6),TRUE,FALSE)</f>
        <v>0</v>
      </c>
      <c r="BA28" s="76" t="b">
        <f>IF(AND(O28&gt;0,O28&lt;$C$6),TRUE,FALSE)</f>
        <v>0</v>
      </c>
      <c r="BB28" s="76" t="b">
        <f>IF(AND(Q28&gt;0,Q28&lt;$C$6),TRUE,FALSE)</f>
        <v>0</v>
      </c>
      <c r="BC28" s="76" t="b">
        <f>IF(AND(S28&gt;0,S28&lt;$C$6),TRUE,FALSE)</f>
        <v>0</v>
      </c>
      <c r="BD28" s="76" t="b">
        <f>IF(AND(U28&gt;0,U28&lt;$C$6),TRUE,FALSE)</f>
        <v>0</v>
      </c>
      <c r="BE28" s="76" t="b">
        <f>IF(AND(W28&gt;0,W28&lt;$C$6),TRUE,FALSE)</f>
        <v>0</v>
      </c>
      <c r="BF28" s="76" t="b">
        <f>IF(AND(Y28&gt;0,Y28&lt;$C$6),TRUE,FALSE)</f>
        <v>0</v>
      </c>
      <c r="BG28" s="90" t="b">
        <f>IF(AND(AA28&gt;0,AA28&lt;$C$6),TRUE,FALSE)</f>
        <v>0</v>
      </c>
      <c r="BH28" s="146"/>
    </row>
    <row r="29" spans="1:60" ht="45" x14ac:dyDescent="0.25">
      <c r="A29" s="56" cm="1">
        <f t="array" ref="A29">SUMPRODUCT(($AV$10:$AV$39&lt;&gt;"")*(ROW($AV$10:$AV$39)&lt;=ROW()))</f>
        <v>15</v>
      </c>
      <c r="B29" s="57"/>
      <c r="C29" s="58" t="s">
        <v>412</v>
      </c>
      <c r="D29" s="93" t="s">
        <v>3</v>
      </c>
      <c r="E29" s="16"/>
      <c r="F29" s="29">
        <f>H29-$H$7</f>
        <v>46167</v>
      </c>
      <c r="G29" s="42"/>
      <c r="H29" s="29">
        <f>J29-$J$7</f>
        <v>46174</v>
      </c>
      <c r="I29" s="42"/>
      <c r="J29" s="29">
        <f>L29-$L$7</f>
        <v>46180</v>
      </c>
      <c r="K29" s="42"/>
      <c r="L29" s="29">
        <f>N29-$N$7</f>
        <v>46183</v>
      </c>
      <c r="M29" s="42"/>
      <c r="N29" s="29">
        <f>P29-$P$7</f>
        <v>46213</v>
      </c>
      <c r="O29" s="42"/>
      <c r="P29" s="29">
        <f>R29-$R$7</f>
        <v>46223</v>
      </c>
      <c r="Q29" s="42"/>
      <c r="R29" s="29">
        <f>T29-$T$7</f>
        <v>46243</v>
      </c>
      <c r="S29" s="42"/>
      <c r="T29" s="29">
        <f>V29-$V$7</f>
        <v>46250</v>
      </c>
      <c r="U29" s="42"/>
      <c r="V29" s="29">
        <f>X29-$X$7</f>
        <v>46257</v>
      </c>
      <c r="W29" s="42"/>
      <c r="X29" s="29">
        <f t="shared" si="43"/>
        <v>46262</v>
      </c>
      <c r="Y29" s="42"/>
      <c r="Z29" s="30">
        <f>X29+$Z$7</f>
        <v>46272</v>
      </c>
      <c r="AA29" s="42"/>
      <c r="AB29" s="31">
        <f>IF(AV29="10. Issued to Contractor","-",IF(AV29="11. Subcontract Agreement signed","-",MAX(AN29,AR29)-$C$6))</f>
        <v>150</v>
      </c>
      <c r="AC29" s="16"/>
      <c r="AD29" s="131">
        <f t="shared" si="44"/>
        <v>95</v>
      </c>
      <c r="AE29" s="16"/>
      <c r="AF29" s="95"/>
      <c r="AG29" s="67"/>
      <c r="AH29" s="67">
        <v>57109250</v>
      </c>
      <c r="AI29" s="67"/>
      <c r="AJ29" s="68" t="str">
        <f>IF(AI29&gt;0,SUM(AH29)-SUM(AI29),"")</f>
        <v/>
      </c>
      <c r="AK29" s="102"/>
      <c r="AL29" s="48"/>
      <c r="AM29" s="105">
        <v>120</v>
      </c>
      <c r="AN29" s="69">
        <f>$M$3+AM29-1</f>
        <v>46262</v>
      </c>
      <c r="AO29" s="107">
        <f>AN29-AU29</f>
        <v>55</v>
      </c>
      <c r="AP29" s="48"/>
      <c r="AQ29" s="111"/>
      <c r="AR29" s="70">
        <f>IFERROR(WORKDAY.INTL(AN29,AQ29,11),"")</f>
        <v>46262</v>
      </c>
      <c r="AS29" s="107">
        <f>AR29-AU29</f>
        <v>55</v>
      </c>
      <c r="AT29" s="48"/>
      <c r="AU29" s="113">
        <f t="shared" si="45"/>
        <v>46207</v>
      </c>
      <c r="AV29" s="119" t="str" cm="1">
        <f t="array" ref="AV29">IF(OR(G29&gt;$C$6,G29=""),$F$8,INDEX($E$8:$Z$8,MATCH(TRUE,(F29:AA29=""),0)))</f>
        <v>1. Tender Docs &amp; BOQ</v>
      </c>
      <c r="AW29" s="116" t="b">
        <f>IF(AND(G29&gt;0,G29&lt;$C$6),TRUE,FALSE)</f>
        <v>0</v>
      </c>
      <c r="AX29" s="71" t="b">
        <f>IF(AND(I29&gt;0,I29&lt;$C$6),TRUE,FALSE)</f>
        <v>0</v>
      </c>
      <c r="AY29" s="71" t="b">
        <f>IF(AND(K29&gt;0,K29&lt;$C$6),TRUE,FALSE)</f>
        <v>0</v>
      </c>
      <c r="AZ29" s="71" t="b">
        <f>IF(AND(M29&gt;0,M29&lt;$C$6),TRUE,FALSE)</f>
        <v>0</v>
      </c>
      <c r="BA29" s="71" t="b">
        <f>IF(AND(O29&gt;0,O29&lt;$C$6),TRUE,FALSE)</f>
        <v>0</v>
      </c>
      <c r="BB29" s="71" t="b">
        <f>IF(AND(Q29&gt;0,Q29&lt;$C$6),TRUE,FALSE)</f>
        <v>0</v>
      </c>
      <c r="BC29" s="71" t="b">
        <f>IF(AND(S29&gt;0,S29&lt;$C$6),TRUE,FALSE)</f>
        <v>0</v>
      </c>
      <c r="BD29" s="71" t="b">
        <f>IF(AND(U29&gt;0,U29&lt;$C$6),TRUE,FALSE)</f>
        <v>0</v>
      </c>
      <c r="BE29" s="71" t="b">
        <f>IF(AND(W29&gt;0,W29&lt;$C$6),TRUE,FALSE)</f>
        <v>0</v>
      </c>
      <c r="BF29" s="71" t="b">
        <f>IF(AND(Y29&gt;0,Y29&lt;$C$6),TRUE,FALSE)</f>
        <v>0</v>
      </c>
      <c r="BG29" s="89" t="b">
        <f>IF(AND(AA29&gt;0,AA29&lt;$C$6),TRUE,FALSE)</f>
        <v>0</v>
      </c>
      <c r="BH29" s="146"/>
    </row>
    <row r="30" spans="1:60" ht="23.25" x14ac:dyDescent="0.25">
      <c r="A30" s="54"/>
      <c r="B30" s="49"/>
      <c r="C30" s="50" t="s">
        <v>163</v>
      </c>
      <c r="D30" s="51"/>
      <c r="E30" s="51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1"/>
      <c r="AC30" s="51"/>
      <c r="AD30" s="132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88"/>
      <c r="BH30" s="146"/>
    </row>
    <row r="31" spans="1:60" ht="26.25" x14ac:dyDescent="0.25">
      <c r="A31" s="56" cm="1">
        <f t="array" ref="A31">SUMPRODUCT(($AV$10:$AV$39&lt;&gt;"")*(ROW($AV$10:$AV$39)&lt;=ROW()))</f>
        <v>16</v>
      </c>
      <c r="B31" s="59"/>
      <c r="C31" s="60" t="s">
        <v>413</v>
      </c>
      <c r="D31" s="59" t="s">
        <v>13</v>
      </c>
      <c r="E31" s="43"/>
      <c r="F31" s="44">
        <f t="shared" ref="F31:F39" si="46">H31-$H$7</f>
        <v>46092</v>
      </c>
      <c r="G31" s="45"/>
      <c r="H31" s="44">
        <f t="shared" ref="H31:H39" si="47">J31-$J$7</f>
        <v>46099</v>
      </c>
      <c r="I31" s="45"/>
      <c r="J31" s="44">
        <f t="shared" ref="J31:J39" si="48">L31-$L$7</f>
        <v>46105</v>
      </c>
      <c r="K31" s="45"/>
      <c r="L31" s="44">
        <f t="shared" ref="L31:L39" si="49">N31-$N$7</f>
        <v>46108</v>
      </c>
      <c r="M31" s="45"/>
      <c r="N31" s="44">
        <f t="shared" ref="N31:N39" si="50">P31-$P$7</f>
        <v>46138</v>
      </c>
      <c r="O31" s="45"/>
      <c r="P31" s="44">
        <f t="shared" ref="P31:P39" si="51">R31-$R$7</f>
        <v>46148</v>
      </c>
      <c r="Q31" s="45"/>
      <c r="R31" s="44">
        <f t="shared" ref="R31:R39" si="52">T31-$T$7</f>
        <v>46168</v>
      </c>
      <c r="S31" s="45"/>
      <c r="T31" s="44">
        <f t="shared" ref="T31:T39" si="53">V31-$V$7</f>
        <v>46175</v>
      </c>
      <c r="U31" s="45"/>
      <c r="V31" s="44">
        <f t="shared" ref="V31:V39" si="54">X31-$X$7</f>
        <v>46182</v>
      </c>
      <c r="W31" s="45"/>
      <c r="X31" s="44">
        <f t="shared" ref="X31:X39" si="55">AN31</f>
        <v>46187</v>
      </c>
      <c r="Y31" s="45"/>
      <c r="Z31" s="46">
        <f t="shared" ref="Z31:Z39" si="56">X31+$Z$7</f>
        <v>46197</v>
      </c>
      <c r="AA31" s="45"/>
      <c r="AB31" s="32">
        <f t="shared" ref="AB31:AB39" si="57">IF(AV31="10. Issued to Contractor","-",IF(AV31="11. Subcontract Agreement signed","-",MAX(AN31,AR31)-$C$6))</f>
        <v>75</v>
      </c>
      <c r="AC31" s="16"/>
      <c r="AD31" s="131">
        <f t="shared" ref="AD31:AD39" si="58">SUM($H$7:$Y$7)</f>
        <v>95</v>
      </c>
      <c r="AE31" s="16"/>
      <c r="AF31" s="96"/>
      <c r="AG31" s="72"/>
      <c r="AH31" s="72">
        <v>4070000</v>
      </c>
      <c r="AI31" s="72"/>
      <c r="AJ31" s="73" t="str">
        <f t="shared" ref="AJ31:AJ39" si="59">IF(AI31&gt;0,SUM(AH31)-SUM(AI31),"")</f>
        <v/>
      </c>
      <c r="AK31" s="101"/>
      <c r="AL31" s="48"/>
      <c r="AM31" s="104">
        <v>45</v>
      </c>
      <c r="AN31" s="74">
        <f t="shared" ref="AN31:AN39" si="60">$M$3+AM31-1</f>
        <v>46187</v>
      </c>
      <c r="AO31" s="108">
        <f t="shared" ref="AO31:AO33" si="61">AN31-AU31</f>
        <v>-20</v>
      </c>
      <c r="AP31" s="48"/>
      <c r="AQ31" s="110"/>
      <c r="AR31" s="75">
        <f t="shared" ref="AR31:AR33" si="62">IFERROR(WORKDAY.INTL(AN31,AQ31,11),"")</f>
        <v>46187</v>
      </c>
      <c r="AS31" s="108">
        <f t="shared" ref="AS31:AS33" si="63">AR31-AU31</f>
        <v>-20</v>
      </c>
      <c r="AT31" s="48"/>
      <c r="AU31" s="114">
        <f t="shared" ref="AU31:AU39" si="64">IF(Y31&gt;0,Y31,IFERROR(MAX(_xlfn.XLOOKUP($AV31,$H$8:$Z$8,$G31:$Y31),$C$6)+(AN31-_xlfn.XLOOKUP($AV31,$H$8:$Z$8,$F31:$X31))*AD31/SUM($H$7:$Y$7),$C$6+SUM(AD31)))</f>
        <v>46207</v>
      </c>
      <c r="AV31" s="120" t="str" cm="1">
        <f t="array" ref="AV31">IF(OR(G31&gt;$C$6,G31=""),$F$8,INDEX($E$8:$Z$8,MATCH(TRUE,(F31:AA31=""),0)))</f>
        <v>1. Tender Docs &amp; BOQ</v>
      </c>
      <c r="AW31" s="117" t="b">
        <f t="shared" ref="AW31:AW39" si="65">IF(AND(G31&gt;0,G31&lt;$C$6),TRUE,FALSE)</f>
        <v>0</v>
      </c>
      <c r="AX31" s="76" t="b">
        <f t="shared" ref="AX31:AX39" si="66">IF(AND(I31&gt;0,I31&lt;$C$6),TRUE,FALSE)</f>
        <v>0</v>
      </c>
      <c r="AY31" s="76" t="b">
        <f t="shared" ref="AY31:AY39" si="67">IF(AND(K31&gt;0,K31&lt;$C$6),TRUE,FALSE)</f>
        <v>0</v>
      </c>
      <c r="AZ31" s="76" t="b">
        <f t="shared" ref="AZ31:AZ39" si="68">IF(AND(M31&gt;0,M31&lt;$C$6),TRUE,FALSE)</f>
        <v>0</v>
      </c>
      <c r="BA31" s="76" t="b">
        <f t="shared" ref="BA31:BA39" si="69">IF(AND(O31&gt;0,O31&lt;$C$6),TRUE,FALSE)</f>
        <v>0</v>
      </c>
      <c r="BB31" s="76" t="b">
        <f t="shared" ref="BB31:BB39" si="70">IF(AND(Q31&gt;0,Q31&lt;$C$6),TRUE,FALSE)</f>
        <v>0</v>
      </c>
      <c r="BC31" s="76" t="b">
        <f t="shared" ref="BC31:BC39" si="71">IF(AND(S31&gt;0,S31&lt;$C$6),TRUE,FALSE)</f>
        <v>0</v>
      </c>
      <c r="BD31" s="76" t="b">
        <f t="shared" ref="BD31:BD39" si="72">IF(AND(U31&gt;0,U31&lt;$C$6),TRUE,FALSE)</f>
        <v>0</v>
      </c>
      <c r="BE31" s="76" t="b">
        <f t="shared" ref="BE31:BE39" si="73">IF(AND(W31&gt;0,W31&lt;$C$6),TRUE,FALSE)</f>
        <v>0</v>
      </c>
      <c r="BF31" s="76" t="b">
        <f t="shared" ref="BF31:BF39" si="74">IF(AND(Y31&gt;0,Y31&lt;$C$6),TRUE,FALSE)</f>
        <v>0</v>
      </c>
      <c r="BG31" s="90" t="b">
        <f t="shared" ref="BG31:BG39" si="75">IF(AND(AA31&gt;0,AA31&lt;$C$6),TRUE,FALSE)</f>
        <v>0</v>
      </c>
      <c r="BH31" s="146"/>
    </row>
    <row r="32" spans="1:60" ht="26.25" x14ac:dyDescent="0.25">
      <c r="A32" s="56" cm="1">
        <f t="array" ref="A32">SUMPRODUCT(($AV$10:$AV$39&lt;&gt;"")*(ROW($AV$10:$AV$39)&lt;=ROW()))</f>
        <v>17</v>
      </c>
      <c r="B32" s="57"/>
      <c r="C32" s="58" t="s">
        <v>414</v>
      </c>
      <c r="D32" s="93" t="s">
        <v>13</v>
      </c>
      <c r="E32" s="16"/>
      <c r="F32" s="29">
        <f t="shared" si="46"/>
        <v>46347</v>
      </c>
      <c r="G32" s="42"/>
      <c r="H32" s="29">
        <f t="shared" si="47"/>
        <v>46354</v>
      </c>
      <c r="I32" s="42"/>
      <c r="J32" s="29">
        <f t="shared" si="48"/>
        <v>46360</v>
      </c>
      <c r="K32" s="42"/>
      <c r="L32" s="29">
        <f t="shared" si="49"/>
        <v>46363</v>
      </c>
      <c r="M32" s="42"/>
      <c r="N32" s="29">
        <f t="shared" si="50"/>
        <v>46393</v>
      </c>
      <c r="O32" s="42"/>
      <c r="P32" s="29">
        <f t="shared" si="51"/>
        <v>46403</v>
      </c>
      <c r="Q32" s="42"/>
      <c r="R32" s="29">
        <f t="shared" si="52"/>
        <v>46423</v>
      </c>
      <c r="S32" s="42"/>
      <c r="T32" s="29">
        <f t="shared" si="53"/>
        <v>46430</v>
      </c>
      <c r="U32" s="42"/>
      <c r="V32" s="29">
        <f t="shared" si="54"/>
        <v>46437</v>
      </c>
      <c r="W32" s="42"/>
      <c r="X32" s="29">
        <f t="shared" si="55"/>
        <v>46442</v>
      </c>
      <c r="Y32" s="42"/>
      <c r="Z32" s="30">
        <f t="shared" si="56"/>
        <v>46452</v>
      </c>
      <c r="AA32" s="42"/>
      <c r="AB32" s="31">
        <f t="shared" si="57"/>
        <v>330</v>
      </c>
      <c r="AC32" s="16"/>
      <c r="AD32" s="131">
        <f t="shared" si="58"/>
        <v>95</v>
      </c>
      <c r="AE32" s="16"/>
      <c r="AF32" s="95"/>
      <c r="AG32" s="67"/>
      <c r="AH32" s="67">
        <v>49500000</v>
      </c>
      <c r="AI32" s="67"/>
      <c r="AJ32" s="68" t="str">
        <f t="shared" si="59"/>
        <v/>
      </c>
      <c r="AK32" s="102"/>
      <c r="AL32" s="48"/>
      <c r="AM32" s="105">
        <v>300</v>
      </c>
      <c r="AN32" s="69">
        <f t="shared" si="60"/>
        <v>46442</v>
      </c>
      <c r="AO32" s="107">
        <f t="shared" si="61"/>
        <v>235</v>
      </c>
      <c r="AP32" s="48"/>
      <c r="AQ32" s="111"/>
      <c r="AR32" s="70">
        <f t="shared" si="62"/>
        <v>46442</v>
      </c>
      <c r="AS32" s="107">
        <f t="shared" si="63"/>
        <v>235</v>
      </c>
      <c r="AT32" s="48"/>
      <c r="AU32" s="113">
        <f t="shared" si="64"/>
        <v>46207</v>
      </c>
      <c r="AV32" s="119" t="str" cm="1">
        <f t="array" ref="AV32">IF(OR(G32&gt;$C$6,G32=""),$F$8,INDEX($E$8:$Z$8,MATCH(TRUE,(F32:AA32=""),0)))</f>
        <v>1. Tender Docs &amp; BOQ</v>
      </c>
      <c r="AW32" s="116" t="b">
        <f t="shared" si="65"/>
        <v>0</v>
      </c>
      <c r="AX32" s="71" t="b">
        <f t="shared" si="66"/>
        <v>0</v>
      </c>
      <c r="AY32" s="71" t="b">
        <f t="shared" si="67"/>
        <v>0</v>
      </c>
      <c r="AZ32" s="71" t="b">
        <f t="shared" si="68"/>
        <v>0</v>
      </c>
      <c r="BA32" s="71" t="b">
        <f t="shared" si="69"/>
        <v>0</v>
      </c>
      <c r="BB32" s="71" t="b">
        <f t="shared" si="70"/>
        <v>0</v>
      </c>
      <c r="BC32" s="71" t="b">
        <f t="shared" si="71"/>
        <v>0</v>
      </c>
      <c r="BD32" s="71" t="b">
        <f t="shared" si="72"/>
        <v>0</v>
      </c>
      <c r="BE32" s="71" t="b">
        <f t="shared" si="73"/>
        <v>0</v>
      </c>
      <c r="BF32" s="71" t="b">
        <f t="shared" si="74"/>
        <v>0</v>
      </c>
      <c r="BG32" s="89" t="b">
        <f t="shared" si="75"/>
        <v>0</v>
      </c>
      <c r="BH32" s="146"/>
    </row>
    <row r="33" spans="1:60" ht="26.25" x14ac:dyDescent="0.25">
      <c r="A33" s="56" cm="1">
        <f t="array" ref="A33">SUMPRODUCT(($AV$10:$AV$39&lt;&gt;"")*(ROW($AV$10:$AV$39)&lt;=ROW()))</f>
        <v>18</v>
      </c>
      <c r="B33" s="59"/>
      <c r="C33" s="60" t="s">
        <v>415</v>
      </c>
      <c r="D33" s="59" t="s">
        <v>13</v>
      </c>
      <c r="E33" s="43"/>
      <c r="F33" s="44">
        <f t="shared" si="46"/>
        <v>46227</v>
      </c>
      <c r="G33" s="45"/>
      <c r="H33" s="44">
        <f t="shared" si="47"/>
        <v>46234</v>
      </c>
      <c r="I33" s="45"/>
      <c r="J33" s="44">
        <f t="shared" si="48"/>
        <v>46240</v>
      </c>
      <c r="K33" s="45"/>
      <c r="L33" s="44">
        <f t="shared" si="49"/>
        <v>46243</v>
      </c>
      <c r="M33" s="45"/>
      <c r="N33" s="44">
        <f t="shared" si="50"/>
        <v>46273</v>
      </c>
      <c r="O33" s="45"/>
      <c r="P33" s="44">
        <f t="shared" si="51"/>
        <v>46283</v>
      </c>
      <c r="Q33" s="45"/>
      <c r="R33" s="44">
        <f t="shared" si="52"/>
        <v>46303</v>
      </c>
      <c r="S33" s="45"/>
      <c r="T33" s="44">
        <f t="shared" si="53"/>
        <v>46310</v>
      </c>
      <c r="U33" s="45"/>
      <c r="V33" s="44">
        <f t="shared" si="54"/>
        <v>46317</v>
      </c>
      <c r="W33" s="45"/>
      <c r="X33" s="44">
        <f t="shared" si="55"/>
        <v>46322</v>
      </c>
      <c r="Y33" s="45"/>
      <c r="Z33" s="46">
        <f t="shared" si="56"/>
        <v>46332</v>
      </c>
      <c r="AA33" s="45"/>
      <c r="AB33" s="32">
        <f t="shared" si="57"/>
        <v>210</v>
      </c>
      <c r="AC33" s="16"/>
      <c r="AD33" s="131">
        <f t="shared" si="58"/>
        <v>95</v>
      </c>
      <c r="AE33" s="16"/>
      <c r="AF33" s="96"/>
      <c r="AG33" s="72"/>
      <c r="AH33" s="72">
        <v>3787850</v>
      </c>
      <c r="AI33" s="72"/>
      <c r="AJ33" s="73" t="str">
        <f t="shared" si="59"/>
        <v/>
      </c>
      <c r="AK33" s="101"/>
      <c r="AL33" s="48"/>
      <c r="AM33" s="104">
        <v>180</v>
      </c>
      <c r="AN33" s="74">
        <f t="shared" si="60"/>
        <v>46322</v>
      </c>
      <c r="AO33" s="108">
        <f t="shared" si="61"/>
        <v>115</v>
      </c>
      <c r="AP33" s="48"/>
      <c r="AQ33" s="110"/>
      <c r="AR33" s="75">
        <f t="shared" si="62"/>
        <v>46322</v>
      </c>
      <c r="AS33" s="108">
        <f t="shared" si="63"/>
        <v>115</v>
      </c>
      <c r="AT33" s="48"/>
      <c r="AU33" s="114">
        <f t="shared" si="64"/>
        <v>46207</v>
      </c>
      <c r="AV33" s="120" t="str" cm="1">
        <f t="array" ref="AV33">IF(OR(G33&gt;$C$6,G33=""),$F$8,INDEX($E$8:$Z$8,MATCH(TRUE,(F33:AA33=""),0)))</f>
        <v>1. Tender Docs &amp; BOQ</v>
      </c>
      <c r="AW33" s="117" t="b">
        <f t="shared" si="65"/>
        <v>0</v>
      </c>
      <c r="AX33" s="76" t="b">
        <f t="shared" si="66"/>
        <v>0</v>
      </c>
      <c r="AY33" s="76" t="b">
        <f t="shared" si="67"/>
        <v>0</v>
      </c>
      <c r="AZ33" s="76" t="b">
        <f t="shared" si="68"/>
        <v>0</v>
      </c>
      <c r="BA33" s="76" t="b">
        <f t="shared" si="69"/>
        <v>0</v>
      </c>
      <c r="BB33" s="76" t="b">
        <f t="shared" si="70"/>
        <v>0</v>
      </c>
      <c r="BC33" s="76" t="b">
        <f t="shared" si="71"/>
        <v>0</v>
      </c>
      <c r="BD33" s="76" t="b">
        <f t="shared" si="72"/>
        <v>0</v>
      </c>
      <c r="BE33" s="76" t="b">
        <f t="shared" si="73"/>
        <v>0</v>
      </c>
      <c r="BF33" s="76" t="b">
        <f t="shared" si="74"/>
        <v>0</v>
      </c>
      <c r="BG33" s="90" t="b">
        <f t="shared" si="75"/>
        <v>0</v>
      </c>
      <c r="BH33" s="146"/>
    </row>
    <row r="34" spans="1:60" ht="26.25" x14ac:dyDescent="0.25">
      <c r="A34" s="56" cm="1">
        <f t="array" ref="A34">SUMPRODUCT(($AV$10:$AV$39&lt;&gt;"")*(ROW($AV$10:$AV$39)&lt;=ROW()))</f>
        <v>19</v>
      </c>
      <c r="B34" s="57"/>
      <c r="C34" s="58" t="s">
        <v>416</v>
      </c>
      <c r="D34" s="93" t="s">
        <v>13</v>
      </c>
      <c r="E34" s="16"/>
      <c r="F34" s="29">
        <f t="shared" si="46"/>
        <v>46227</v>
      </c>
      <c r="G34" s="42"/>
      <c r="H34" s="29">
        <f t="shared" si="47"/>
        <v>46234</v>
      </c>
      <c r="I34" s="42"/>
      <c r="J34" s="29">
        <f t="shared" si="48"/>
        <v>46240</v>
      </c>
      <c r="K34" s="42"/>
      <c r="L34" s="29">
        <f t="shared" si="49"/>
        <v>46243</v>
      </c>
      <c r="M34" s="42"/>
      <c r="N34" s="29">
        <f t="shared" si="50"/>
        <v>46273</v>
      </c>
      <c r="O34" s="42"/>
      <c r="P34" s="29">
        <f t="shared" si="51"/>
        <v>46283</v>
      </c>
      <c r="Q34" s="42"/>
      <c r="R34" s="29">
        <f t="shared" si="52"/>
        <v>46303</v>
      </c>
      <c r="S34" s="42"/>
      <c r="T34" s="29">
        <f t="shared" si="53"/>
        <v>46310</v>
      </c>
      <c r="U34" s="42"/>
      <c r="V34" s="29">
        <f t="shared" si="54"/>
        <v>46317</v>
      </c>
      <c r="W34" s="42"/>
      <c r="X34" s="29">
        <f t="shared" si="55"/>
        <v>46322</v>
      </c>
      <c r="Y34" s="42"/>
      <c r="Z34" s="30">
        <f t="shared" si="56"/>
        <v>46332</v>
      </c>
      <c r="AA34" s="42"/>
      <c r="AB34" s="31">
        <f t="shared" si="57"/>
        <v>210</v>
      </c>
      <c r="AC34" s="16"/>
      <c r="AD34" s="131">
        <f t="shared" si="58"/>
        <v>95</v>
      </c>
      <c r="AE34" s="16"/>
      <c r="AF34" s="95"/>
      <c r="AG34" s="67"/>
      <c r="AH34" s="67">
        <v>3525280</v>
      </c>
      <c r="AI34" s="67"/>
      <c r="AJ34" s="68" t="str">
        <f t="shared" si="59"/>
        <v/>
      </c>
      <c r="AK34" s="102"/>
      <c r="AL34" s="48"/>
      <c r="AM34" s="105">
        <v>180</v>
      </c>
      <c r="AN34" s="69">
        <f t="shared" si="60"/>
        <v>46322</v>
      </c>
      <c r="AO34" s="107">
        <f>AN34-AU34</f>
        <v>115</v>
      </c>
      <c r="AP34" s="48"/>
      <c r="AQ34" s="111"/>
      <c r="AR34" s="70">
        <f>IFERROR(WORKDAY.INTL(AN34,AQ34,11),"")</f>
        <v>46322</v>
      </c>
      <c r="AS34" s="107">
        <f>AR34-AU34</f>
        <v>115</v>
      </c>
      <c r="AT34" s="48"/>
      <c r="AU34" s="113">
        <f t="shared" si="64"/>
        <v>46207</v>
      </c>
      <c r="AV34" s="119" t="str" cm="1">
        <f t="array" ref="AV34">IF(OR(G34&gt;$C$6,G34=""),$F$8,INDEX($E$8:$Z$8,MATCH(TRUE,(F34:AA34=""),0)))</f>
        <v>1. Tender Docs &amp; BOQ</v>
      </c>
      <c r="AW34" s="116" t="b">
        <f t="shared" si="65"/>
        <v>0</v>
      </c>
      <c r="AX34" s="71" t="b">
        <f t="shared" si="66"/>
        <v>0</v>
      </c>
      <c r="AY34" s="71" t="b">
        <f t="shared" si="67"/>
        <v>0</v>
      </c>
      <c r="AZ34" s="71" t="b">
        <f t="shared" si="68"/>
        <v>0</v>
      </c>
      <c r="BA34" s="71" t="b">
        <f t="shared" si="69"/>
        <v>0</v>
      </c>
      <c r="BB34" s="71" t="b">
        <f t="shared" si="70"/>
        <v>0</v>
      </c>
      <c r="BC34" s="71" t="b">
        <f t="shared" si="71"/>
        <v>0</v>
      </c>
      <c r="BD34" s="71" t="b">
        <f t="shared" si="72"/>
        <v>0</v>
      </c>
      <c r="BE34" s="71" t="b">
        <f t="shared" si="73"/>
        <v>0</v>
      </c>
      <c r="BF34" s="71" t="b">
        <f t="shared" si="74"/>
        <v>0</v>
      </c>
      <c r="BG34" s="89" t="b">
        <f t="shared" si="75"/>
        <v>0</v>
      </c>
      <c r="BH34" s="146"/>
    </row>
    <row r="35" spans="1:60" ht="26.25" x14ac:dyDescent="0.25">
      <c r="A35" s="56" cm="1">
        <f t="array" ref="A35">SUMPRODUCT(($AV$10:$AV$39&lt;&gt;"")*(ROW($AV$10:$AV$39)&lt;=ROW()))</f>
        <v>20</v>
      </c>
      <c r="B35" s="59"/>
      <c r="C35" s="60" t="s">
        <v>417</v>
      </c>
      <c r="D35" s="59" t="s">
        <v>13</v>
      </c>
      <c r="E35" s="43"/>
      <c r="F35" s="44">
        <f t="shared" si="46"/>
        <v>46347</v>
      </c>
      <c r="G35" s="45"/>
      <c r="H35" s="44">
        <f t="shared" si="47"/>
        <v>46354</v>
      </c>
      <c r="I35" s="45"/>
      <c r="J35" s="44">
        <f t="shared" si="48"/>
        <v>46360</v>
      </c>
      <c r="K35" s="45"/>
      <c r="L35" s="44">
        <f t="shared" si="49"/>
        <v>46363</v>
      </c>
      <c r="M35" s="45"/>
      <c r="N35" s="44">
        <f t="shared" si="50"/>
        <v>46393</v>
      </c>
      <c r="O35" s="45"/>
      <c r="P35" s="44">
        <f t="shared" si="51"/>
        <v>46403</v>
      </c>
      <c r="Q35" s="45"/>
      <c r="R35" s="44">
        <f t="shared" si="52"/>
        <v>46423</v>
      </c>
      <c r="S35" s="45"/>
      <c r="T35" s="44">
        <f t="shared" si="53"/>
        <v>46430</v>
      </c>
      <c r="U35" s="45"/>
      <c r="V35" s="44">
        <f t="shared" si="54"/>
        <v>46437</v>
      </c>
      <c r="W35" s="45"/>
      <c r="X35" s="44">
        <f t="shared" si="55"/>
        <v>46442</v>
      </c>
      <c r="Y35" s="45"/>
      <c r="Z35" s="46">
        <f t="shared" si="56"/>
        <v>46452</v>
      </c>
      <c r="AA35" s="45"/>
      <c r="AB35" s="32">
        <f t="shared" si="57"/>
        <v>330</v>
      </c>
      <c r="AC35" s="16"/>
      <c r="AD35" s="131">
        <f t="shared" si="58"/>
        <v>95</v>
      </c>
      <c r="AE35" s="16"/>
      <c r="AF35" s="96"/>
      <c r="AG35" s="72"/>
      <c r="AH35" s="72">
        <v>7571850</v>
      </c>
      <c r="AI35" s="72"/>
      <c r="AJ35" s="73" t="str">
        <f t="shared" si="59"/>
        <v/>
      </c>
      <c r="AK35" s="101"/>
      <c r="AL35" s="48"/>
      <c r="AM35" s="104">
        <v>300</v>
      </c>
      <c r="AN35" s="74">
        <f t="shared" si="60"/>
        <v>46442</v>
      </c>
      <c r="AO35" s="108">
        <f t="shared" ref="AO35:AO39" si="76">AN35-AU35</f>
        <v>235</v>
      </c>
      <c r="AP35" s="48"/>
      <c r="AQ35" s="110"/>
      <c r="AR35" s="75">
        <f t="shared" ref="AR35:AR39" si="77">IFERROR(WORKDAY.INTL(AN35,AQ35,11),"")</f>
        <v>46442</v>
      </c>
      <c r="AS35" s="108">
        <f t="shared" ref="AS35:AS39" si="78">AR35-AU35</f>
        <v>235</v>
      </c>
      <c r="AT35" s="48"/>
      <c r="AU35" s="114">
        <f t="shared" si="64"/>
        <v>46207</v>
      </c>
      <c r="AV35" s="120" t="str" cm="1">
        <f t="array" ref="AV35">IF(OR(G35&gt;$C$6,G35=""),$F$8,INDEX($E$8:$Z$8,MATCH(TRUE,(F35:AA35=""),0)))</f>
        <v>1. Tender Docs &amp; BOQ</v>
      </c>
      <c r="AW35" s="117" t="b">
        <f t="shared" si="65"/>
        <v>0</v>
      </c>
      <c r="AX35" s="76" t="b">
        <f t="shared" si="66"/>
        <v>0</v>
      </c>
      <c r="AY35" s="76" t="b">
        <f t="shared" si="67"/>
        <v>0</v>
      </c>
      <c r="AZ35" s="76" t="b">
        <f t="shared" si="68"/>
        <v>0</v>
      </c>
      <c r="BA35" s="76" t="b">
        <f t="shared" si="69"/>
        <v>0</v>
      </c>
      <c r="BB35" s="76" t="b">
        <f t="shared" si="70"/>
        <v>0</v>
      </c>
      <c r="BC35" s="76" t="b">
        <f t="shared" si="71"/>
        <v>0</v>
      </c>
      <c r="BD35" s="76" t="b">
        <f t="shared" si="72"/>
        <v>0</v>
      </c>
      <c r="BE35" s="76" t="b">
        <f t="shared" si="73"/>
        <v>0</v>
      </c>
      <c r="BF35" s="76" t="b">
        <f t="shared" si="74"/>
        <v>0</v>
      </c>
      <c r="BG35" s="90" t="b">
        <f t="shared" si="75"/>
        <v>0</v>
      </c>
      <c r="BH35" s="146"/>
    </row>
    <row r="36" spans="1:60" ht="26.25" x14ac:dyDescent="0.25">
      <c r="A36" s="56" cm="1">
        <f t="array" ref="A36">SUMPRODUCT(($AV$10:$AV$39&lt;&gt;"")*(ROW($AV$10:$AV$39)&lt;=ROW()))</f>
        <v>21</v>
      </c>
      <c r="B36" s="57"/>
      <c r="C36" s="58" t="s">
        <v>418</v>
      </c>
      <c r="D36" s="93" t="s">
        <v>13</v>
      </c>
      <c r="E36" s="16"/>
      <c r="F36" s="29">
        <f t="shared" si="46"/>
        <v>46197</v>
      </c>
      <c r="G36" s="42"/>
      <c r="H36" s="29">
        <f t="shared" si="47"/>
        <v>46204</v>
      </c>
      <c r="I36" s="42"/>
      <c r="J36" s="29">
        <f t="shared" si="48"/>
        <v>46210</v>
      </c>
      <c r="K36" s="42"/>
      <c r="L36" s="29">
        <f t="shared" si="49"/>
        <v>46213</v>
      </c>
      <c r="M36" s="42"/>
      <c r="N36" s="29">
        <f t="shared" si="50"/>
        <v>46243</v>
      </c>
      <c r="O36" s="42"/>
      <c r="P36" s="29">
        <f t="shared" si="51"/>
        <v>46253</v>
      </c>
      <c r="Q36" s="42"/>
      <c r="R36" s="29">
        <f t="shared" si="52"/>
        <v>46273</v>
      </c>
      <c r="S36" s="42"/>
      <c r="T36" s="29">
        <f t="shared" si="53"/>
        <v>46280</v>
      </c>
      <c r="U36" s="42"/>
      <c r="V36" s="29">
        <f t="shared" si="54"/>
        <v>46287</v>
      </c>
      <c r="W36" s="42"/>
      <c r="X36" s="29">
        <f t="shared" si="55"/>
        <v>46292</v>
      </c>
      <c r="Y36" s="42"/>
      <c r="Z36" s="30">
        <f t="shared" si="56"/>
        <v>46302</v>
      </c>
      <c r="AA36" s="42"/>
      <c r="AB36" s="31">
        <f t="shared" si="57"/>
        <v>180</v>
      </c>
      <c r="AC36" s="16"/>
      <c r="AD36" s="131">
        <f t="shared" si="58"/>
        <v>95</v>
      </c>
      <c r="AE36" s="16"/>
      <c r="AF36" s="95"/>
      <c r="AG36" s="67"/>
      <c r="AH36" s="67">
        <v>9800000</v>
      </c>
      <c r="AI36" s="67"/>
      <c r="AJ36" s="68" t="str">
        <f t="shared" si="59"/>
        <v/>
      </c>
      <c r="AK36" s="102"/>
      <c r="AL36" s="48"/>
      <c r="AM36" s="105">
        <v>150</v>
      </c>
      <c r="AN36" s="69">
        <f t="shared" si="60"/>
        <v>46292</v>
      </c>
      <c r="AO36" s="107">
        <f t="shared" si="76"/>
        <v>85</v>
      </c>
      <c r="AP36" s="48"/>
      <c r="AQ36" s="111"/>
      <c r="AR36" s="70">
        <f t="shared" si="77"/>
        <v>46292</v>
      </c>
      <c r="AS36" s="107">
        <f t="shared" si="78"/>
        <v>85</v>
      </c>
      <c r="AT36" s="48"/>
      <c r="AU36" s="113">
        <f t="shared" si="64"/>
        <v>46207</v>
      </c>
      <c r="AV36" s="119" t="str" cm="1">
        <f t="array" ref="AV36">IF(OR(G36&gt;$C$6,G36=""),$F$8,INDEX($E$8:$Z$8,MATCH(TRUE,(F36:AA36=""),0)))</f>
        <v>1. Tender Docs &amp; BOQ</v>
      </c>
      <c r="AW36" s="116" t="b">
        <f t="shared" si="65"/>
        <v>0</v>
      </c>
      <c r="AX36" s="71" t="b">
        <f t="shared" si="66"/>
        <v>0</v>
      </c>
      <c r="AY36" s="71" t="b">
        <f t="shared" si="67"/>
        <v>0</v>
      </c>
      <c r="AZ36" s="71" t="b">
        <f t="shared" si="68"/>
        <v>0</v>
      </c>
      <c r="BA36" s="71" t="b">
        <f t="shared" si="69"/>
        <v>0</v>
      </c>
      <c r="BB36" s="71" t="b">
        <f t="shared" si="70"/>
        <v>0</v>
      </c>
      <c r="BC36" s="71" t="b">
        <f t="shared" si="71"/>
        <v>0</v>
      </c>
      <c r="BD36" s="71" t="b">
        <f t="shared" si="72"/>
        <v>0</v>
      </c>
      <c r="BE36" s="71" t="b">
        <f t="shared" si="73"/>
        <v>0</v>
      </c>
      <c r="BF36" s="71" t="b">
        <f t="shared" si="74"/>
        <v>0</v>
      </c>
      <c r="BG36" s="89" t="b">
        <f t="shared" si="75"/>
        <v>0</v>
      </c>
      <c r="BH36" s="146"/>
    </row>
    <row r="37" spans="1:60" ht="26.25" x14ac:dyDescent="0.25">
      <c r="A37" s="56" cm="1">
        <f t="array" ref="A37">SUMPRODUCT(($AV$10:$AV$39&lt;&gt;"")*(ROW($AV$10:$AV$39)&lt;=ROW()))</f>
        <v>22</v>
      </c>
      <c r="B37" s="59"/>
      <c r="C37" s="60" t="s">
        <v>415</v>
      </c>
      <c r="D37" s="59" t="s">
        <v>13</v>
      </c>
      <c r="E37" s="43"/>
      <c r="F37" s="44">
        <f t="shared" si="46"/>
        <v>46227</v>
      </c>
      <c r="G37" s="45"/>
      <c r="H37" s="44">
        <f t="shared" si="47"/>
        <v>46234</v>
      </c>
      <c r="I37" s="45"/>
      <c r="J37" s="44">
        <f t="shared" si="48"/>
        <v>46240</v>
      </c>
      <c r="K37" s="45"/>
      <c r="L37" s="44">
        <f t="shared" si="49"/>
        <v>46243</v>
      </c>
      <c r="M37" s="45"/>
      <c r="N37" s="44">
        <f t="shared" si="50"/>
        <v>46273</v>
      </c>
      <c r="O37" s="45"/>
      <c r="P37" s="44">
        <f t="shared" si="51"/>
        <v>46283</v>
      </c>
      <c r="Q37" s="45"/>
      <c r="R37" s="44">
        <f t="shared" si="52"/>
        <v>46303</v>
      </c>
      <c r="S37" s="45"/>
      <c r="T37" s="44">
        <f t="shared" si="53"/>
        <v>46310</v>
      </c>
      <c r="U37" s="45"/>
      <c r="V37" s="44">
        <f t="shared" si="54"/>
        <v>46317</v>
      </c>
      <c r="W37" s="45"/>
      <c r="X37" s="44">
        <f t="shared" si="55"/>
        <v>46322</v>
      </c>
      <c r="Y37" s="45"/>
      <c r="Z37" s="46">
        <f t="shared" si="56"/>
        <v>46332</v>
      </c>
      <c r="AA37" s="45"/>
      <c r="AB37" s="32">
        <f t="shared" si="57"/>
        <v>210</v>
      </c>
      <c r="AC37" s="16"/>
      <c r="AD37" s="131">
        <f t="shared" si="58"/>
        <v>95</v>
      </c>
      <c r="AE37" s="16"/>
      <c r="AF37" s="96"/>
      <c r="AG37" s="72"/>
      <c r="AH37" s="72">
        <v>3692150</v>
      </c>
      <c r="AI37" s="72"/>
      <c r="AJ37" s="73" t="str">
        <f t="shared" si="59"/>
        <v/>
      </c>
      <c r="AK37" s="101"/>
      <c r="AL37" s="48"/>
      <c r="AM37" s="104">
        <v>180</v>
      </c>
      <c r="AN37" s="74">
        <f t="shared" si="60"/>
        <v>46322</v>
      </c>
      <c r="AO37" s="108">
        <f t="shared" si="76"/>
        <v>115</v>
      </c>
      <c r="AP37" s="48"/>
      <c r="AQ37" s="110"/>
      <c r="AR37" s="75">
        <f t="shared" si="77"/>
        <v>46322</v>
      </c>
      <c r="AS37" s="108">
        <f t="shared" si="78"/>
        <v>115</v>
      </c>
      <c r="AT37" s="48"/>
      <c r="AU37" s="114">
        <f t="shared" si="64"/>
        <v>46207</v>
      </c>
      <c r="AV37" s="120" t="str" cm="1">
        <f t="array" ref="AV37">IF(OR(G37&gt;$C$6,G37=""),$F$8,INDEX($E$8:$Z$8,MATCH(TRUE,(F37:AA37=""),0)))</f>
        <v>1. Tender Docs &amp; BOQ</v>
      </c>
      <c r="AW37" s="117" t="b">
        <f t="shared" si="65"/>
        <v>0</v>
      </c>
      <c r="AX37" s="76" t="b">
        <f t="shared" si="66"/>
        <v>0</v>
      </c>
      <c r="AY37" s="76" t="b">
        <f t="shared" si="67"/>
        <v>0</v>
      </c>
      <c r="AZ37" s="76" t="b">
        <f t="shared" si="68"/>
        <v>0</v>
      </c>
      <c r="BA37" s="76" t="b">
        <f t="shared" si="69"/>
        <v>0</v>
      </c>
      <c r="BB37" s="76" t="b">
        <f t="shared" si="70"/>
        <v>0</v>
      </c>
      <c r="BC37" s="76" t="b">
        <f t="shared" si="71"/>
        <v>0</v>
      </c>
      <c r="BD37" s="76" t="b">
        <f t="shared" si="72"/>
        <v>0</v>
      </c>
      <c r="BE37" s="76" t="b">
        <f t="shared" si="73"/>
        <v>0</v>
      </c>
      <c r="BF37" s="76" t="b">
        <f t="shared" si="74"/>
        <v>0</v>
      </c>
      <c r="BG37" s="90" t="b">
        <f t="shared" si="75"/>
        <v>0</v>
      </c>
      <c r="BH37" s="146"/>
    </row>
    <row r="38" spans="1:60" ht="26.25" x14ac:dyDescent="0.25">
      <c r="A38" s="56" cm="1">
        <f t="array" ref="A38">SUMPRODUCT(($AV$10:$AV$39&lt;&gt;"")*(ROW($AV$10:$AV$39)&lt;=ROW()))</f>
        <v>23</v>
      </c>
      <c r="B38" s="57"/>
      <c r="C38" s="58" t="s">
        <v>419</v>
      </c>
      <c r="D38" s="93" t="s">
        <v>13</v>
      </c>
      <c r="E38" s="16"/>
      <c r="F38" s="29">
        <f t="shared" si="46"/>
        <v>46227</v>
      </c>
      <c r="G38" s="42"/>
      <c r="H38" s="29">
        <f t="shared" si="47"/>
        <v>46234</v>
      </c>
      <c r="I38" s="42"/>
      <c r="J38" s="29">
        <f t="shared" si="48"/>
        <v>46240</v>
      </c>
      <c r="K38" s="42"/>
      <c r="L38" s="29">
        <f t="shared" si="49"/>
        <v>46243</v>
      </c>
      <c r="M38" s="42"/>
      <c r="N38" s="29">
        <f t="shared" si="50"/>
        <v>46273</v>
      </c>
      <c r="O38" s="42"/>
      <c r="P38" s="29">
        <f t="shared" si="51"/>
        <v>46283</v>
      </c>
      <c r="Q38" s="42"/>
      <c r="R38" s="29">
        <f t="shared" si="52"/>
        <v>46303</v>
      </c>
      <c r="S38" s="42"/>
      <c r="T38" s="29">
        <f t="shared" si="53"/>
        <v>46310</v>
      </c>
      <c r="U38" s="42"/>
      <c r="V38" s="29">
        <f t="shared" si="54"/>
        <v>46317</v>
      </c>
      <c r="W38" s="42"/>
      <c r="X38" s="29">
        <f t="shared" si="55"/>
        <v>46322</v>
      </c>
      <c r="Y38" s="42"/>
      <c r="Z38" s="30">
        <f t="shared" si="56"/>
        <v>46332</v>
      </c>
      <c r="AA38" s="42"/>
      <c r="AB38" s="31">
        <f t="shared" si="57"/>
        <v>210</v>
      </c>
      <c r="AC38" s="16"/>
      <c r="AD38" s="131">
        <f t="shared" si="58"/>
        <v>95</v>
      </c>
      <c r="AE38" s="16"/>
      <c r="AF38" s="97"/>
      <c r="AG38" s="67"/>
      <c r="AH38" s="67">
        <v>4724720</v>
      </c>
      <c r="AI38" s="67"/>
      <c r="AJ38" s="68" t="str">
        <f t="shared" si="59"/>
        <v/>
      </c>
      <c r="AK38" s="102"/>
      <c r="AL38" s="48"/>
      <c r="AM38" s="105">
        <v>180</v>
      </c>
      <c r="AN38" s="69">
        <f t="shared" si="60"/>
        <v>46322</v>
      </c>
      <c r="AO38" s="107">
        <f t="shared" si="76"/>
        <v>115</v>
      </c>
      <c r="AP38" s="48"/>
      <c r="AQ38" s="111"/>
      <c r="AR38" s="70">
        <f t="shared" si="77"/>
        <v>46322</v>
      </c>
      <c r="AS38" s="107">
        <f t="shared" si="78"/>
        <v>115</v>
      </c>
      <c r="AT38" s="48"/>
      <c r="AU38" s="113">
        <f t="shared" si="64"/>
        <v>46207</v>
      </c>
      <c r="AV38" s="119" t="str" cm="1">
        <f t="array" ref="AV38">IF(OR(G38&gt;$C$6,G38=""),$F$8,INDEX($E$8:$Z$8,MATCH(TRUE,(F38:AA38=""),0)))</f>
        <v>1. Tender Docs &amp; BOQ</v>
      </c>
      <c r="AW38" s="116" t="b">
        <f t="shared" si="65"/>
        <v>0</v>
      </c>
      <c r="AX38" s="71" t="b">
        <f t="shared" si="66"/>
        <v>0</v>
      </c>
      <c r="AY38" s="71" t="b">
        <f t="shared" si="67"/>
        <v>0</v>
      </c>
      <c r="AZ38" s="71" t="b">
        <f t="shared" si="68"/>
        <v>0</v>
      </c>
      <c r="BA38" s="71" t="b">
        <f t="shared" si="69"/>
        <v>0</v>
      </c>
      <c r="BB38" s="71" t="b">
        <f t="shared" si="70"/>
        <v>0</v>
      </c>
      <c r="BC38" s="71" t="b">
        <f t="shared" si="71"/>
        <v>0</v>
      </c>
      <c r="BD38" s="71" t="b">
        <f t="shared" si="72"/>
        <v>0</v>
      </c>
      <c r="BE38" s="71" t="b">
        <f t="shared" si="73"/>
        <v>0</v>
      </c>
      <c r="BF38" s="71" t="b">
        <f t="shared" si="74"/>
        <v>0</v>
      </c>
      <c r="BG38" s="89" t="b">
        <f t="shared" si="75"/>
        <v>0</v>
      </c>
      <c r="BH38" s="146"/>
    </row>
    <row r="39" spans="1:60" ht="26.25" x14ac:dyDescent="0.25">
      <c r="A39" s="56" cm="1">
        <f t="array" ref="A39">SUMPRODUCT(($AV$10:$AV$39&lt;&gt;"")*(ROW($AV$10:$AV$39)&lt;=ROW()))</f>
        <v>24</v>
      </c>
      <c r="B39" s="59"/>
      <c r="C39" s="60" t="s">
        <v>420</v>
      </c>
      <c r="D39" s="59" t="s">
        <v>13</v>
      </c>
      <c r="E39" s="43"/>
      <c r="F39" s="44">
        <f t="shared" si="46"/>
        <v>46347</v>
      </c>
      <c r="G39" s="45"/>
      <c r="H39" s="44">
        <f t="shared" si="47"/>
        <v>46354</v>
      </c>
      <c r="I39" s="45"/>
      <c r="J39" s="44">
        <f t="shared" si="48"/>
        <v>46360</v>
      </c>
      <c r="K39" s="45"/>
      <c r="L39" s="44">
        <f t="shared" si="49"/>
        <v>46363</v>
      </c>
      <c r="M39" s="45"/>
      <c r="N39" s="44">
        <f t="shared" si="50"/>
        <v>46393</v>
      </c>
      <c r="O39" s="45"/>
      <c r="P39" s="44">
        <f t="shared" si="51"/>
        <v>46403</v>
      </c>
      <c r="Q39" s="45"/>
      <c r="R39" s="44">
        <f t="shared" si="52"/>
        <v>46423</v>
      </c>
      <c r="S39" s="45"/>
      <c r="T39" s="44">
        <f t="shared" si="53"/>
        <v>46430</v>
      </c>
      <c r="U39" s="45"/>
      <c r="V39" s="44">
        <f t="shared" si="54"/>
        <v>46437</v>
      </c>
      <c r="W39" s="45"/>
      <c r="X39" s="44">
        <f t="shared" si="55"/>
        <v>46442</v>
      </c>
      <c r="Y39" s="45"/>
      <c r="Z39" s="46">
        <f t="shared" si="56"/>
        <v>46452</v>
      </c>
      <c r="AA39" s="45"/>
      <c r="AB39" s="32">
        <f t="shared" si="57"/>
        <v>330</v>
      </c>
      <c r="AC39" s="16"/>
      <c r="AD39" s="131">
        <f t="shared" si="58"/>
        <v>95</v>
      </c>
      <c r="AE39" s="16"/>
      <c r="AF39" s="96"/>
      <c r="AG39" s="72"/>
      <c r="AH39" s="72">
        <v>788150</v>
      </c>
      <c r="AI39" s="72"/>
      <c r="AJ39" s="73" t="str">
        <f t="shared" si="59"/>
        <v/>
      </c>
      <c r="AK39" s="101"/>
      <c r="AL39" s="48"/>
      <c r="AM39" s="104">
        <v>300</v>
      </c>
      <c r="AN39" s="74">
        <f t="shared" si="60"/>
        <v>46442</v>
      </c>
      <c r="AO39" s="108">
        <f t="shared" si="76"/>
        <v>235</v>
      </c>
      <c r="AP39" s="48"/>
      <c r="AQ39" s="110"/>
      <c r="AR39" s="75">
        <f t="shared" si="77"/>
        <v>46442</v>
      </c>
      <c r="AS39" s="108">
        <f t="shared" si="78"/>
        <v>235</v>
      </c>
      <c r="AT39" s="48"/>
      <c r="AU39" s="114">
        <f t="shared" si="64"/>
        <v>46207</v>
      </c>
      <c r="AV39" s="120" t="str" cm="1">
        <f t="array" ref="AV39">IF(OR(G39&gt;$C$6,G39=""),$F$8,INDEX($E$8:$Z$8,MATCH(TRUE,(F39:AA39=""),0)))</f>
        <v>1. Tender Docs &amp; BOQ</v>
      </c>
      <c r="AW39" s="117" t="b">
        <f t="shared" si="65"/>
        <v>0</v>
      </c>
      <c r="AX39" s="76" t="b">
        <f t="shared" si="66"/>
        <v>0</v>
      </c>
      <c r="AY39" s="76" t="b">
        <f t="shared" si="67"/>
        <v>0</v>
      </c>
      <c r="AZ39" s="76" t="b">
        <f t="shared" si="68"/>
        <v>0</v>
      </c>
      <c r="BA39" s="76" t="b">
        <f t="shared" si="69"/>
        <v>0</v>
      </c>
      <c r="BB39" s="76" t="b">
        <f t="shared" si="70"/>
        <v>0</v>
      </c>
      <c r="BC39" s="76" t="b">
        <f t="shared" si="71"/>
        <v>0</v>
      </c>
      <c r="BD39" s="76" t="b">
        <f t="shared" si="72"/>
        <v>0</v>
      </c>
      <c r="BE39" s="76" t="b">
        <f t="shared" si="73"/>
        <v>0</v>
      </c>
      <c r="BF39" s="76" t="b">
        <f t="shared" si="74"/>
        <v>0</v>
      </c>
      <c r="BG39" s="90" t="b">
        <f t="shared" si="75"/>
        <v>0</v>
      </c>
      <c r="BH39" s="146"/>
    </row>
    <row r="40" spans="1:60" ht="23.25" x14ac:dyDescent="0.25">
      <c r="A40" s="8"/>
      <c r="B40" s="8"/>
      <c r="C40" s="34" t="s">
        <v>189</v>
      </c>
      <c r="D40" s="100"/>
      <c r="E40" s="16"/>
      <c r="F40" s="123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124"/>
      <c r="AC40" s="16"/>
      <c r="AD40" s="130"/>
      <c r="AE40" s="16"/>
      <c r="AF40" s="99">
        <f>SUM(AF10:AF39)</f>
        <v>0</v>
      </c>
      <c r="AG40" s="10">
        <f>SUM(AG10:AG39)</f>
        <v>0</v>
      </c>
      <c r="AH40" s="10">
        <f>SUM(AH10:AH39)</f>
        <v>513100000</v>
      </c>
      <c r="AI40" s="10">
        <f>SUM(AI10:AI39)</f>
        <v>0</v>
      </c>
      <c r="AJ40" s="10">
        <f>SUM(AJ10:AJ39)</f>
        <v>0</v>
      </c>
      <c r="AK40" s="9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92"/>
      <c r="BH40" s="146"/>
    </row>
    <row r="45" spans="1:60" x14ac:dyDescent="0.25">
      <c r="B45" s="6">
        <v>1</v>
      </c>
      <c r="C45" s="174" t="s">
        <v>489</v>
      </c>
      <c r="AF45" s="3" t="s">
        <v>495</v>
      </c>
    </row>
    <row r="46" spans="1:60" x14ac:dyDescent="0.25">
      <c r="B46" s="6">
        <v>2</v>
      </c>
    </row>
    <row r="47" spans="1:60" x14ac:dyDescent="0.25">
      <c r="B47" s="6">
        <v>3</v>
      </c>
    </row>
    <row r="48" spans="1:60" x14ac:dyDescent="0.25">
      <c r="B48" s="6">
        <v>4</v>
      </c>
    </row>
    <row r="49" spans="2:2" x14ac:dyDescent="0.25">
      <c r="B49" s="6">
        <v>5</v>
      </c>
    </row>
    <row r="50" spans="2:2" x14ac:dyDescent="0.25">
      <c r="B50" s="6">
        <v>6</v>
      </c>
    </row>
    <row r="51" spans="2:2" x14ac:dyDescent="0.25">
      <c r="B51" s="6"/>
    </row>
    <row r="52" spans="2:2" x14ac:dyDescent="0.25">
      <c r="B52" s="6"/>
    </row>
    <row r="53" spans="2:2" x14ac:dyDescent="0.25">
      <c r="B53" s="6"/>
    </row>
    <row r="54" spans="2:2" x14ac:dyDescent="0.25">
      <c r="B54" s="6"/>
    </row>
  </sheetData>
  <sheetProtection formatColumns="0" formatRows="0" autoFilter="0"/>
  <mergeCells count="75">
    <mergeCell ref="AU7:AU9"/>
    <mergeCell ref="AG7:AG9"/>
    <mergeCell ref="AH7:AH9"/>
    <mergeCell ref="AI7:AI9"/>
    <mergeCell ref="AJ7:AJ9"/>
    <mergeCell ref="AK7:AK9"/>
    <mergeCell ref="AN7:AN9"/>
    <mergeCell ref="AO7:AO9"/>
    <mergeCell ref="AQ7:AQ9"/>
    <mergeCell ref="AR7:AR9"/>
    <mergeCell ref="AS7:AS9"/>
    <mergeCell ref="AM7:AM9"/>
    <mergeCell ref="BF7:BF9"/>
    <mergeCell ref="BG7:BG9"/>
    <mergeCell ref="AV7:AV9"/>
    <mergeCell ref="AW7:AW9"/>
    <mergeCell ref="AX7:AX9"/>
    <mergeCell ref="AY7:AY9"/>
    <mergeCell ref="AZ7:AZ9"/>
    <mergeCell ref="BA7:BA9"/>
    <mergeCell ref="BB7:BB9"/>
    <mergeCell ref="BC7:BC9"/>
    <mergeCell ref="BD7:BD9"/>
    <mergeCell ref="BE7:BE9"/>
    <mergeCell ref="AF7:AF9"/>
    <mergeCell ref="V8:W8"/>
    <mergeCell ref="X8:Y8"/>
    <mergeCell ref="Z8:AA8"/>
    <mergeCell ref="T7:U7"/>
    <mergeCell ref="V7:W7"/>
    <mergeCell ref="X7:Y7"/>
    <mergeCell ref="Z7:AA7"/>
    <mergeCell ref="AB7:AB9"/>
    <mergeCell ref="AD7:AD9"/>
    <mergeCell ref="A7:A9"/>
    <mergeCell ref="B7:B9"/>
    <mergeCell ref="C7:C9"/>
    <mergeCell ref="D7:D9"/>
    <mergeCell ref="F7:G7"/>
    <mergeCell ref="H7:I7"/>
    <mergeCell ref="F8:G8"/>
    <mergeCell ref="H8:I8"/>
    <mergeCell ref="J7:K7"/>
    <mergeCell ref="L7:M7"/>
    <mergeCell ref="L8:M8"/>
    <mergeCell ref="N7:O7"/>
    <mergeCell ref="P7:Q7"/>
    <mergeCell ref="R7:S7"/>
    <mergeCell ref="T8:U8"/>
    <mergeCell ref="J8:K8"/>
    <mergeCell ref="N8:O8"/>
    <mergeCell ref="P8:Q8"/>
    <mergeCell ref="R8:S8"/>
    <mergeCell ref="H3:H4"/>
    <mergeCell ref="I3:I4"/>
    <mergeCell ref="J3:J4"/>
    <mergeCell ref="K3:K4"/>
    <mergeCell ref="L3:L4"/>
    <mergeCell ref="M3:N4"/>
    <mergeCell ref="I1:I2"/>
    <mergeCell ref="J1:J2"/>
    <mergeCell ref="K1:K2"/>
    <mergeCell ref="L1:L2"/>
    <mergeCell ref="M1:N2"/>
    <mergeCell ref="A3:B4"/>
    <mergeCell ref="C3:C4"/>
    <mergeCell ref="D3:D4"/>
    <mergeCell ref="F3:F4"/>
    <mergeCell ref="G3:G4"/>
    <mergeCell ref="H1:H2"/>
    <mergeCell ref="A1:B2"/>
    <mergeCell ref="C1:C2"/>
    <mergeCell ref="D1:D2"/>
    <mergeCell ref="F1:F2"/>
    <mergeCell ref="G1:G2"/>
  </mergeCells>
  <conditionalFormatting sqref="G11:G15 I11:I15 K11:K15 M11:M15 O11:O15 Q11:Q15 S11:S15 U11:U15 W11:W15 Y11:Y15 AA11:AA15 G17:G20 I17:I20 K17:K20 M17:M20 O17:O20 Q17:Q20 S17:S20 U17:U20 W17:W20 Y17:Y20 AA17:AA20 G22:G23 I22:I23 K22:K23 M22:M23 O22:O23 Q22:Q23 S22:S23 U22:U23 W22:W23 Y22:Y23 AA22:AA23 G25:G26 I25:I26 K25:K26 M25:M26 O25:O26 Q25:Q26 S25:S26 U25:U26 W25:W26 Y25:Y26 AA25:AA26 G28:G29 I28:I29 K28:K29 M28:M29 O28:O29 Q28:Q29 S28:S29 U28:U29 W28:W29 Y28:Y29 AA28:AA29 G31:G39 I31:I39 K31:K39 M31:M39 O31:O39 Q31:Q39 S31:S39 U31:U39 W31:W39 Y31:Y39 AA31:AA39">
    <cfRule type="cellIs" dxfId="32" priority="6" operator="between">
      <formula>1</formula>
      <formula>$C$6</formula>
    </cfRule>
  </conditionalFormatting>
  <conditionalFormatting sqref="AB10:AB40">
    <cfRule type="cellIs" dxfId="31" priority="10" operator="lessThan">
      <formula>0</formula>
    </cfRule>
  </conditionalFormatting>
  <conditionalFormatting sqref="AO11:AO15 AS11:AS15 AO17:AO20 AS17:AS20 AO22:AO23 AS22:AS23 AO25:AO26 AS25:AS26 AO28:AO29 AS28:AS29 AO31:AO39 AS31:AS39">
    <cfRule type="cellIs" dxfId="30" priority="11" operator="lessThan">
      <formula>0</formula>
    </cfRule>
  </conditionalFormatting>
  <conditionalFormatting sqref="AW11:BG15 BB16:BG16 AW17:BG20 BB21:BG21 AW22:BG23 BB24:BG24 AW25:BG26 BB27:BG27 AW28:BG29 BB30:BG30 AW31:BG39 AL40:BG40">
    <cfRule type="cellIs" dxfId="23" priority="7" operator="equal">
      <formula>TRUE</formula>
    </cfRule>
  </conditionalFormatting>
  <conditionalFormatting sqref="BB10:BG10">
    <cfRule type="cellIs" dxfId="22" priority="5" operator="equal">
      <formula>TRUE</formula>
    </cfRule>
  </conditionalFormatting>
  <pageMargins left="3.937007874015748E-2" right="3.937007874015748E-2" top="0.74803149606299213" bottom="0.74803149606299213" header="0.31496062992125984" footer="0.31496062992125984"/>
  <pageSetup paperSize="8" scale="3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5B08179B-44CB-4740-9DEA-FEBF94FA2969}">
            <xm:f>AV11=Data!$B$12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8" stopIfTrue="1" id="{74395006-D1B4-4309-9B0A-51A50BD9D1CB}">
            <xm:f>AV11=Data!$B$11</xm:f>
            <x14:dxf>
              <fill>
                <patternFill>
                  <bgColor theme="9" tint="0.79998168889431442"/>
                </patternFill>
              </fill>
            </x14:dxf>
          </x14:cfRule>
          <x14:cfRule type="expression" priority="9" id="{D3C30E9E-C407-43AB-81AF-BC0F24F4F782}">
            <xm:f>AV11=Data!$B$2</xm:f>
            <x14:dxf>
              <fill>
                <patternFill>
                  <bgColor rgb="FFFFE5E5"/>
                </patternFill>
              </fill>
            </x14:dxf>
          </x14:cfRule>
          <xm:sqref>AU11:AU41</xm:sqref>
        </x14:conditionalFormatting>
        <x14:conditionalFormatting xmlns:xm="http://schemas.microsoft.com/office/excel/2006/main">
          <x14:cfRule type="cellIs" priority="1" operator="equal" id="{B7182417-FE7E-4BFA-811F-CDC315073F8B}">
            <xm:f>Data!$B$12</xm:f>
            <x14:dxf>
              <fill>
                <patternFill>
                  <bgColor theme="9" tint="0.59996337778862885"/>
                </patternFill>
              </fill>
            </x14:dxf>
          </x14:cfRule>
          <x14:cfRule type="cellIs" priority="2" stopIfTrue="1" operator="equal" id="{2BF68A6D-22D0-4BDF-ABAA-11B44A59811C}">
            <xm:f>Data!$B$11</xm:f>
            <x14:dxf>
              <fill>
                <patternFill>
                  <bgColor theme="9" tint="0.79998168889431442"/>
                </patternFill>
              </fill>
            </x14:dxf>
          </x14:cfRule>
          <x14:cfRule type="cellIs" priority="3" operator="equal" id="{6B0EB74C-8958-4AC4-9FCA-C1DDDB2DBF75}">
            <xm:f>Data!$B$2</xm:f>
            <x14:dxf>
              <fill>
                <patternFill>
                  <bgColor rgb="FFFFE5E5"/>
                </patternFill>
              </fill>
            </x14:dxf>
          </x14:cfRule>
          <xm:sqref>AV11:AV15 AV17:AV20 AV22:AV23 AV25:AV26 AV28:AV29 AV31:AV39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1B0572F-CA26-4D86-B552-E92FD6A498E4}">
          <x14:formula1>
            <xm:f>Data!$B$2:$B$13</xm:f>
          </x14:formula1>
          <xm:sqref>AV28:AV29 AV17:AV20 AV22:AV23 AV25:AV26 AV31:AV39 AV11:AV15</xm:sqref>
        </x14:dataValidation>
        <x14:dataValidation type="list" allowBlank="1" showInputMessage="1" showErrorMessage="1" xr:uid="{7231482D-81A2-4EFC-9737-5054353D0283}">
          <x14:formula1>
            <xm:f>Data!$C$2:$C$12</xm:f>
          </x14:formula1>
          <xm:sqref>D31:D39 D17:D20 D22:D23 D25:D26 D28:D29 D11:D15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1CD88-D84B-4658-B5C7-64E760A7D8CE}">
  <sheetPr codeName="Sheet16">
    <tabColor theme="4" tint="0.59999389629810485"/>
    <pageSetUpPr fitToPage="1"/>
  </sheetPr>
  <dimension ref="A1:BH49"/>
  <sheetViews>
    <sheetView showGridLines="0" zoomScale="70" zoomScaleNormal="70" zoomScalePageLayoutView="55" workbookViewId="0">
      <pane xSplit="3" ySplit="9" topLeftCell="D10" activePane="bottomRight" state="frozen"/>
      <selection pane="topRight" activeCell="AI6" sqref="AI6:AI8"/>
      <selection pane="bottomLeft" activeCell="AI6" sqref="AI6:AI8"/>
      <selection pane="bottomRight" activeCell="AI20" sqref="AI20"/>
    </sheetView>
  </sheetViews>
  <sheetFormatPr defaultColWidth="9.140625" defaultRowHeight="12.75" outlineLevelRow="1" outlineLevelCol="1" x14ac:dyDescent="0.25"/>
  <cols>
    <col min="1" max="2" width="7.42578125" style="3" customWidth="1"/>
    <col min="3" max="3" width="39.140625" style="7" customWidth="1"/>
    <col min="4" max="4" width="14.5703125" style="5" hidden="1" customWidth="1" outlineLevel="1"/>
    <col min="5" max="5" width="1.140625" style="3" hidden="1" customWidth="1" outlineLevel="1"/>
    <col min="6" max="27" width="11.85546875" style="4" hidden="1" customWidth="1" outlineLevel="1"/>
    <col min="28" max="28" width="11.85546875" style="5" hidden="1" customWidth="1" outlineLevel="1"/>
    <col min="29" max="29" width="1" style="3" hidden="1" customWidth="1" outlineLevel="1"/>
    <col min="30" max="30" width="14.42578125" style="5" hidden="1" customWidth="1" outlineLevel="1"/>
    <col min="31" max="31" width="1.140625" style="3" hidden="1" customWidth="1" outlineLevel="1"/>
    <col min="32" max="32" width="14.85546875" style="3" customWidth="1" collapsed="1"/>
    <col min="33" max="35" width="14.85546875" style="3" customWidth="1"/>
    <col min="36" max="36" width="15.5703125" style="3" hidden="1" customWidth="1" outlineLevel="1"/>
    <col min="37" max="37" width="23.5703125" style="3" customWidth="1" collapsed="1"/>
    <col min="38" max="38" width="0.85546875" style="3" customWidth="1"/>
    <col min="39" max="39" width="7.42578125" style="3" customWidth="1"/>
    <col min="40" max="40" width="13.5703125" style="3" customWidth="1"/>
    <col min="41" max="41" width="7.140625" style="5" customWidth="1"/>
    <col min="42" max="42" width="0.85546875" style="3" customWidth="1"/>
    <col min="43" max="43" width="10.5703125" style="5" customWidth="1"/>
    <col min="44" max="44" width="16.85546875" style="3" customWidth="1"/>
    <col min="45" max="45" width="7.140625" style="5" customWidth="1"/>
    <col min="46" max="46" width="0.85546875" style="3" customWidth="1"/>
    <col min="47" max="47" width="12" style="3" customWidth="1"/>
    <col min="48" max="48" width="35" style="3" bestFit="1" customWidth="1"/>
    <col min="49" max="59" width="4.140625" style="6" customWidth="1"/>
    <col min="60" max="60" width="21.140625" style="3" customWidth="1"/>
    <col min="61" max="16384" width="9.140625" style="3"/>
  </cols>
  <sheetData>
    <row r="1" spans="1:60" s="11" customFormat="1" ht="15" hidden="1" customHeight="1" outlineLevel="1" x14ac:dyDescent="0.25">
      <c r="A1" s="208" t="s">
        <v>57</v>
      </c>
      <c r="B1" s="209"/>
      <c r="C1" s="206" t="s">
        <v>58</v>
      </c>
      <c r="D1" s="211" t="s">
        <v>59</v>
      </c>
      <c r="F1" s="206" t="s">
        <v>60</v>
      </c>
      <c r="G1" s="206" t="s">
        <v>61</v>
      </c>
      <c r="H1" s="206" t="s">
        <v>62</v>
      </c>
      <c r="I1" s="206" t="s">
        <v>63</v>
      </c>
      <c r="J1" s="206" t="s">
        <v>64</v>
      </c>
      <c r="K1" s="206" t="s">
        <v>19</v>
      </c>
      <c r="L1" s="206" t="s">
        <v>65</v>
      </c>
      <c r="M1" s="211" t="s">
        <v>66</v>
      </c>
      <c r="N1" s="224"/>
      <c r="P1" s="27" t="s">
        <v>67</v>
      </c>
      <c r="Q1" s="26"/>
      <c r="R1" s="26"/>
      <c r="S1" s="26"/>
      <c r="U1" s="26" t="s">
        <v>20</v>
      </c>
      <c r="V1" s="26"/>
      <c r="W1" s="26"/>
      <c r="X1" s="26"/>
      <c r="Y1" s="26"/>
      <c r="AA1" s="27" t="s">
        <v>68</v>
      </c>
      <c r="AB1" s="26"/>
      <c r="AC1" s="26"/>
      <c r="AD1" s="28"/>
      <c r="AF1" s="27" t="s">
        <v>33</v>
      </c>
      <c r="AG1" s="26"/>
      <c r="AH1" s="39" t="s">
        <v>34</v>
      </c>
      <c r="AI1" s="40" t="s">
        <v>35</v>
      </c>
      <c r="AY1" s="33"/>
      <c r="AZ1" s="33"/>
      <c r="BA1" s="33"/>
      <c r="BB1" s="33"/>
      <c r="BC1" s="33"/>
      <c r="BD1" s="33"/>
      <c r="BE1" s="33"/>
      <c r="BF1" s="33"/>
      <c r="BG1" s="33"/>
    </row>
    <row r="2" spans="1:60" s="11" customFormat="1" ht="15" hidden="1" outlineLevel="1" x14ac:dyDescent="0.25">
      <c r="A2" s="208"/>
      <c r="B2" s="209"/>
      <c r="C2" s="210"/>
      <c r="D2" s="208"/>
      <c r="E2" s="15"/>
      <c r="F2" s="207"/>
      <c r="G2" s="207"/>
      <c r="H2" s="207"/>
      <c r="I2" s="207"/>
      <c r="J2" s="207"/>
      <c r="K2" s="207"/>
      <c r="L2" s="207"/>
      <c r="M2" s="225"/>
      <c r="N2" s="226"/>
      <c r="P2" s="22" t="s">
        <v>69</v>
      </c>
      <c r="Q2" s="23"/>
      <c r="R2" s="23"/>
      <c r="S2" s="149"/>
      <c r="U2" s="22" t="s">
        <v>25</v>
      </c>
      <c r="V2" s="23"/>
      <c r="W2" s="23"/>
      <c r="X2" s="35">
        <f>AI39</f>
        <v>710860601</v>
      </c>
      <c r="Y2" s="37">
        <f>X2/(SUM(AH10:$AH$38)+SUM(AI10:$AI$38)-SUMIFS(AH10:$AH$38,$AI$10:$AI$38,"&lt;&gt;"))</f>
        <v>0.5283482071373935</v>
      </c>
      <c r="AA2" s="24" t="s">
        <v>70</v>
      </c>
      <c r="AB2" s="25"/>
      <c r="AC2" s="25"/>
      <c r="AD2" s="12" cm="1">
        <f t="array" ref="AD2">SUM(ISNUMBER($AO$10:AO38)*1)</f>
        <v>22</v>
      </c>
      <c r="AF2" s="22" t="s">
        <v>444</v>
      </c>
      <c r="AG2" s="23"/>
      <c r="AH2" s="13">
        <f>COUNTIFS($AB$10:AB38,"&lt;0")</f>
        <v>9</v>
      </c>
      <c r="AI2" s="13">
        <f>MIN(AB10:AB38)</f>
        <v>-154</v>
      </c>
    </row>
    <row r="3" spans="1:60" s="11" customFormat="1" ht="15" hidden="1" customHeight="1" outlineLevel="1" x14ac:dyDescent="0.25">
      <c r="A3" s="212" t="s">
        <v>55</v>
      </c>
      <c r="B3" s="213"/>
      <c r="C3" s="216" t="s">
        <v>421</v>
      </c>
      <c r="D3" s="269" t="s">
        <v>422</v>
      </c>
      <c r="E3" s="122"/>
      <c r="F3" s="218" t="s">
        <v>328</v>
      </c>
      <c r="G3" s="218" t="s">
        <v>423</v>
      </c>
      <c r="H3" s="218" t="s">
        <v>328</v>
      </c>
      <c r="I3" s="218" t="s">
        <v>357</v>
      </c>
      <c r="J3" s="227"/>
      <c r="K3" s="227">
        <v>235462</v>
      </c>
      <c r="L3" s="218">
        <v>45809</v>
      </c>
      <c r="M3" s="220">
        <v>45869</v>
      </c>
      <c r="N3" s="221"/>
      <c r="P3" s="22" t="s">
        <v>77</v>
      </c>
      <c r="Q3" s="23"/>
      <c r="R3" s="23"/>
      <c r="S3" s="150">
        <f>AF39</f>
        <v>1791734727</v>
      </c>
      <c r="U3" s="22" t="s">
        <v>78</v>
      </c>
      <c r="V3" s="23"/>
      <c r="W3" s="23"/>
      <c r="X3" s="36">
        <f>S4-SUMIFS(AH10:$AH$38,$AI$10:$AI$38,"&lt;&gt;")</f>
        <v>634579000</v>
      </c>
      <c r="Y3" s="153">
        <f>X3/(X2+X3)</f>
        <v>0.47165179286260656</v>
      </c>
      <c r="AA3" s="22" t="s">
        <v>79</v>
      </c>
      <c r="AB3" s="23"/>
      <c r="AC3" s="23"/>
      <c r="AD3" s="13">
        <f>COUNTIFS($AV$10:AV38,Z8)</f>
        <v>6</v>
      </c>
      <c r="AF3" s="22" t="s">
        <v>447</v>
      </c>
      <c r="AG3" s="23"/>
      <c r="AH3" s="13">
        <f>COUNTIFS($AO$10:AO38,"&lt;0")</f>
        <v>17</v>
      </c>
      <c r="AI3" s="14">
        <f>MIN(AO10:AO38)</f>
        <v>-249</v>
      </c>
    </row>
    <row r="4" spans="1:60" s="11" customFormat="1" ht="15" hidden="1" outlineLevel="1" x14ac:dyDescent="0.25">
      <c r="A4" s="214"/>
      <c r="B4" s="215"/>
      <c r="C4" s="217"/>
      <c r="D4" s="270"/>
      <c r="E4" s="122"/>
      <c r="F4" s="219"/>
      <c r="G4" s="219"/>
      <c r="H4" s="219"/>
      <c r="I4" s="219"/>
      <c r="J4" s="228"/>
      <c r="K4" s="228"/>
      <c r="L4" s="219"/>
      <c r="M4" s="222"/>
      <c r="N4" s="223"/>
      <c r="P4" s="22" t="s">
        <v>23</v>
      </c>
      <c r="Q4" s="23"/>
      <c r="R4" s="23"/>
      <c r="S4" s="150">
        <f>AH39</f>
        <v>1414895476</v>
      </c>
      <c r="U4" s="22" t="s">
        <v>80</v>
      </c>
      <c r="V4" s="23"/>
      <c r="W4" s="23"/>
      <c r="X4" s="36">
        <f>SUMIFS(AF10:$AF$38,$AI$10:$AI$38,"&lt;&gt;")-X2</f>
        <v>192036455</v>
      </c>
      <c r="Y4" s="38" t="e">
        <f>X4/$S$2</f>
        <v>#DIV/0!</v>
      </c>
      <c r="AA4" s="22" t="s">
        <v>81</v>
      </c>
      <c r="AB4" s="23"/>
      <c r="AC4" s="23"/>
      <c r="AD4" s="13">
        <f>C6-L3</f>
        <v>303</v>
      </c>
      <c r="AF4" s="22" t="s">
        <v>448</v>
      </c>
      <c r="AG4" s="23"/>
      <c r="AH4" s="13">
        <f>COUNTIFS($AS$10:AS38,"&lt;0")</f>
        <v>17</v>
      </c>
      <c r="AI4" s="14">
        <f>MIN(AS10:AS38)</f>
        <v>-249</v>
      </c>
    </row>
    <row r="5" spans="1:60" s="11" customFormat="1" ht="15" hidden="1" outlineLevel="1" x14ac:dyDescent="0.25">
      <c r="U5" s="22" t="s">
        <v>82</v>
      </c>
      <c r="V5" s="23"/>
      <c r="W5" s="23"/>
      <c r="X5" s="36">
        <f>SUMIFS(AH10:$AH$38,$AI$10:$AI$38,"&lt;&gt;")-X2</f>
        <v>69455875</v>
      </c>
      <c r="Y5" s="38" t="e">
        <f>X5/$S$2</f>
        <v>#DIV/0!</v>
      </c>
      <c r="Z5" s="160"/>
      <c r="AA5" s="160"/>
      <c r="AB5" s="160"/>
      <c r="AC5" s="160"/>
      <c r="AD5" s="160"/>
      <c r="AE5" s="160"/>
      <c r="AF5" s="160"/>
      <c r="AG5" s="160"/>
      <c r="AH5" s="160"/>
      <c r="AI5" s="160"/>
    </row>
    <row r="6" spans="1:60" ht="23.25" hidden="1" outlineLevel="1" x14ac:dyDescent="0.25">
      <c r="A6" s="127" t="s">
        <v>83</v>
      </c>
      <c r="B6" s="128"/>
      <c r="C6" s="129">
        <v>46112</v>
      </c>
      <c r="D6" s="19"/>
      <c r="E6" s="16"/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5"/>
      <c r="AB6" s="126"/>
      <c r="AC6" s="19"/>
      <c r="AD6" s="19"/>
      <c r="AE6" s="19"/>
      <c r="AF6" s="19"/>
      <c r="AG6" s="19"/>
      <c r="AH6" s="19"/>
      <c r="AI6" s="19"/>
      <c r="AJ6" s="19"/>
      <c r="AK6" s="19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6"/>
    </row>
    <row r="7" spans="1:60" ht="18.75" customHeight="1" collapsed="1" x14ac:dyDescent="0.25">
      <c r="A7" s="233" t="s">
        <v>84</v>
      </c>
      <c r="B7" s="236" t="s">
        <v>85</v>
      </c>
      <c r="C7" s="236" t="s">
        <v>86</v>
      </c>
      <c r="D7" s="238" t="s">
        <v>1</v>
      </c>
      <c r="F7" s="229">
        <v>15</v>
      </c>
      <c r="G7" s="230"/>
      <c r="H7" s="229">
        <v>7</v>
      </c>
      <c r="I7" s="230"/>
      <c r="J7" s="229">
        <v>6</v>
      </c>
      <c r="K7" s="230"/>
      <c r="L7" s="229">
        <v>3</v>
      </c>
      <c r="M7" s="230"/>
      <c r="N7" s="229">
        <v>30</v>
      </c>
      <c r="O7" s="230"/>
      <c r="P7" s="229">
        <v>10</v>
      </c>
      <c r="Q7" s="230"/>
      <c r="R7" s="229">
        <v>20</v>
      </c>
      <c r="S7" s="230"/>
      <c r="T7" s="229">
        <v>7</v>
      </c>
      <c r="U7" s="230"/>
      <c r="V7" s="229">
        <v>7</v>
      </c>
      <c r="W7" s="230"/>
      <c r="X7" s="229">
        <v>5</v>
      </c>
      <c r="Y7" s="230"/>
      <c r="Z7" s="229">
        <v>10</v>
      </c>
      <c r="AA7" s="230"/>
      <c r="AB7" s="243" t="s">
        <v>87</v>
      </c>
      <c r="AC7" s="16"/>
      <c r="AD7" s="244" t="s">
        <v>88</v>
      </c>
      <c r="AE7" s="16"/>
      <c r="AF7" s="241" t="s">
        <v>77</v>
      </c>
      <c r="AG7" s="257" t="s">
        <v>89</v>
      </c>
      <c r="AH7" s="257" t="s">
        <v>23</v>
      </c>
      <c r="AI7" s="257" t="s">
        <v>90</v>
      </c>
      <c r="AJ7" s="257" t="s">
        <v>91</v>
      </c>
      <c r="AK7" s="258" t="s">
        <v>92</v>
      </c>
      <c r="AL7" s="86"/>
      <c r="AM7" s="255" t="s">
        <v>93</v>
      </c>
      <c r="AN7" s="257" t="s">
        <v>94</v>
      </c>
      <c r="AO7" s="259" t="s">
        <v>95</v>
      </c>
      <c r="AP7" s="86"/>
      <c r="AQ7" s="261" t="s">
        <v>96</v>
      </c>
      <c r="AR7" s="252" t="s">
        <v>97</v>
      </c>
      <c r="AS7" s="259" t="s">
        <v>95</v>
      </c>
      <c r="AT7" s="86"/>
      <c r="AU7" s="255" t="s">
        <v>98</v>
      </c>
      <c r="AV7" s="252" t="s">
        <v>99</v>
      </c>
      <c r="AW7" s="246" t="s">
        <v>2</v>
      </c>
      <c r="AX7" s="246" t="s">
        <v>4</v>
      </c>
      <c r="AY7" s="246" t="s">
        <v>6</v>
      </c>
      <c r="AZ7" s="246" t="s">
        <v>100</v>
      </c>
      <c r="BA7" s="246" t="s">
        <v>10</v>
      </c>
      <c r="BB7" s="246" t="s">
        <v>12</v>
      </c>
      <c r="BC7" s="246" t="s">
        <v>14</v>
      </c>
      <c r="BD7" s="246" t="s">
        <v>15</v>
      </c>
      <c r="BE7" s="246" t="s">
        <v>16</v>
      </c>
      <c r="BF7" s="246" t="s">
        <v>17</v>
      </c>
      <c r="BG7" s="249" t="s">
        <v>101</v>
      </c>
      <c r="BH7" s="86"/>
    </row>
    <row r="8" spans="1:60" ht="26.25" x14ac:dyDescent="0.25">
      <c r="A8" s="234"/>
      <c r="B8" s="237"/>
      <c r="C8" s="237"/>
      <c r="D8" s="239"/>
      <c r="E8" s="16"/>
      <c r="F8" s="231" t="s">
        <v>2</v>
      </c>
      <c r="G8" s="232"/>
      <c r="H8" s="231" t="s">
        <v>4</v>
      </c>
      <c r="I8" s="232"/>
      <c r="J8" s="231" t="s">
        <v>6</v>
      </c>
      <c r="K8" s="232"/>
      <c r="L8" s="231" t="s">
        <v>8</v>
      </c>
      <c r="M8" s="232"/>
      <c r="N8" s="231" t="s">
        <v>10</v>
      </c>
      <c r="O8" s="232"/>
      <c r="P8" s="231" t="s">
        <v>12</v>
      </c>
      <c r="Q8" s="232"/>
      <c r="R8" s="231" t="s">
        <v>14</v>
      </c>
      <c r="S8" s="232"/>
      <c r="T8" s="231" t="s">
        <v>15</v>
      </c>
      <c r="U8" s="232"/>
      <c r="V8" s="231" t="s">
        <v>16</v>
      </c>
      <c r="W8" s="232"/>
      <c r="X8" s="231" t="s">
        <v>17</v>
      </c>
      <c r="Y8" s="232"/>
      <c r="Z8" s="231" t="s">
        <v>18</v>
      </c>
      <c r="AA8" s="232"/>
      <c r="AB8" s="243"/>
      <c r="AC8" s="16"/>
      <c r="AD8" s="245"/>
      <c r="AE8" s="16"/>
      <c r="AF8" s="242"/>
      <c r="AG8" s="237"/>
      <c r="AH8" s="237"/>
      <c r="AI8" s="237"/>
      <c r="AJ8" s="237"/>
      <c r="AK8" s="239"/>
      <c r="AL8" s="48"/>
      <c r="AM8" s="234"/>
      <c r="AN8" s="237"/>
      <c r="AO8" s="260"/>
      <c r="AP8" s="48"/>
      <c r="AQ8" s="262"/>
      <c r="AR8" s="253"/>
      <c r="AS8" s="260"/>
      <c r="AT8" s="48"/>
      <c r="AU8" s="234"/>
      <c r="AV8" s="253"/>
      <c r="AW8" s="247"/>
      <c r="AX8" s="247"/>
      <c r="AY8" s="247"/>
      <c r="AZ8" s="247"/>
      <c r="BA8" s="247"/>
      <c r="BB8" s="247"/>
      <c r="BC8" s="247"/>
      <c r="BD8" s="247"/>
      <c r="BE8" s="247"/>
      <c r="BF8" s="247"/>
      <c r="BG8" s="250"/>
      <c r="BH8" s="146"/>
    </row>
    <row r="9" spans="1:60" s="7" customFormat="1" ht="22.5" x14ac:dyDescent="0.25">
      <c r="A9" s="235"/>
      <c r="B9" s="237"/>
      <c r="C9" s="237"/>
      <c r="D9" s="240"/>
      <c r="E9" s="20"/>
      <c r="F9" s="65" t="s">
        <v>102</v>
      </c>
      <c r="G9" s="66" t="s">
        <v>103</v>
      </c>
      <c r="H9" s="65" t="s">
        <v>102</v>
      </c>
      <c r="I9" s="66" t="s">
        <v>103</v>
      </c>
      <c r="J9" s="65" t="s">
        <v>102</v>
      </c>
      <c r="K9" s="66" t="s">
        <v>103</v>
      </c>
      <c r="L9" s="65" t="s">
        <v>102</v>
      </c>
      <c r="M9" s="66" t="s">
        <v>103</v>
      </c>
      <c r="N9" s="65" t="s">
        <v>102</v>
      </c>
      <c r="O9" s="66" t="s">
        <v>103</v>
      </c>
      <c r="P9" s="65" t="s">
        <v>102</v>
      </c>
      <c r="Q9" s="66" t="s">
        <v>103</v>
      </c>
      <c r="R9" s="65" t="s">
        <v>102</v>
      </c>
      <c r="S9" s="66" t="s">
        <v>103</v>
      </c>
      <c r="T9" s="65" t="s">
        <v>102</v>
      </c>
      <c r="U9" s="66" t="s">
        <v>103</v>
      </c>
      <c r="V9" s="65" t="s">
        <v>102</v>
      </c>
      <c r="W9" s="66" t="s">
        <v>103</v>
      </c>
      <c r="X9" s="65" t="s">
        <v>102</v>
      </c>
      <c r="Y9" s="66" t="s">
        <v>103</v>
      </c>
      <c r="Z9" s="65" t="s">
        <v>102</v>
      </c>
      <c r="AA9" s="66" t="s">
        <v>103</v>
      </c>
      <c r="AB9" s="243"/>
      <c r="AC9" s="20"/>
      <c r="AD9" s="245"/>
      <c r="AE9" s="20"/>
      <c r="AF9" s="242"/>
      <c r="AG9" s="237"/>
      <c r="AH9" s="237"/>
      <c r="AI9" s="237"/>
      <c r="AJ9" s="237"/>
      <c r="AK9" s="239"/>
      <c r="AL9" s="87"/>
      <c r="AM9" s="234"/>
      <c r="AN9" s="237"/>
      <c r="AO9" s="260"/>
      <c r="AP9" s="87"/>
      <c r="AQ9" s="263"/>
      <c r="AR9" s="254"/>
      <c r="AS9" s="264"/>
      <c r="AT9" s="87"/>
      <c r="AU9" s="256"/>
      <c r="AV9" s="254"/>
      <c r="AW9" s="248"/>
      <c r="AX9" s="248"/>
      <c r="AY9" s="248"/>
      <c r="AZ9" s="248"/>
      <c r="BA9" s="248"/>
      <c r="BB9" s="248"/>
      <c r="BC9" s="248"/>
      <c r="BD9" s="248"/>
      <c r="BE9" s="248"/>
      <c r="BF9" s="248"/>
      <c r="BG9" s="251"/>
      <c r="BH9" s="87"/>
    </row>
    <row r="10" spans="1:60" ht="23.25" x14ac:dyDescent="0.25">
      <c r="A10" s="53"/>
      <c r="B10" s="49"/>
      <c r="C10" s="50" t="s">
        <v>104</v>
      </c>
      <c r="D10" s="61"/>
      <c r="E10" s="51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1"/>
      <c r="BF10" s="51"/>
      <c r="BG10" s="88"/>
      <c r="BH10" s="146"/>
    </row>
    <row r="11" spans="1:60" ht="26.25" x14ac:dyDescent="0.25">
      <c r="A11" s="56" cm="1">
        <f t="array" ref="A11">SUMPRODUCT(($AV$10:$AV$38&lt;&gt;"")*(ROW($AV$10:$AV$38)&lt;=ROW()))</f>
        <v>1</v>
      </c>
      <c r="B11" s="57"/>
      <c r="C11" s="58" t="s">
        <v>349</v>
      </c>
      <c r="D11" s="93" t="s">
        <v>107</v>
      </c>
      <c r="E11" s="16"/>
      <c r="F11" s="29">
        <f>H11-$H$7</f>
        <v>45923</v>
      </c>
      <c r="G11" s="42">
        <v>45875</v>
      </c>
      <c r="H11" s="29">
        <f>J11-$J$7</f>
        <v>45930</v>
      </c>
      <c r="I11" s="42">
        <v>45883</v>
      </c>
      <c r="J11" s="29">
        <f>L11-$L$7</f>
        <v>45936</v>
      </c>
      <c r="K11" s="42">
        <v>45877</v>
      </c>
      <c r="L11" s="29">
        <f>N11-$N$7</f>
        <v>45939</v>
      </c>
      <c r="M11" s="42">
        <v>45882</v>
      </c>
      <c r="N11" s="29">
        <f>P11-$P$7</f>
        <v>45969</v>
      </c>
      <c r="O11" s="42">
        <v>45882</v>
      </c>
      <c r="P11" s="29">
        <f>R11-$R$7</f>
        <v>45979</v>
      </c>
      <c r="Q11" s="42">
        <v>45882</v>
      </c>
      <c r="R11" s="29">
        <f>T11-$T$7</f>
        <v>45999</v>
      </c>
      <c r="S11" s="42">
        <v>45917</v>
      </c>
      <c r="T11" s="29">
        <f>V11-$V$7</f>
        <v>46006</v>
      </c>
      <c r="U11" s="42">
        <v>45924</v>
      </c>
      <c r="V11" s="29">
        <f>X11-$X$7</f>
        <v>46013</v>
      </c>
      <c r="W11" s="42">
        <v>46045</v>
      </c>
      <c r="X11" s="29">
        <f>AN11</f>
        <v>46018</v>
      </c>
      <c r="Y11" s="42">
        <v>46056</v>
      </c>
      <c r="Z11" s="30">
        <f>X11+$Z$7</f>
        <v>46028</v>
      </c>
      <c r="AA11" s="42"/>
      <c r="AB11" s="31" t="str">
        <f>IF(AV11="10. Issued to Contractor","-",IF(AV11="11. Subcontract Agreement signed","-",MAX(AN11,AR11)-$C$6))</f>
        <v>-</v>
      </c>
      <c r="AC11" s="16"/>
      <c r="AD11" s="131">
        <f>SUM($H$7:$Y$7)</f>
        <v>95</v>
      </c>
      <c r="AE11" s="16"/>
      <c r="AF11" s="95">
        <v>51030205</v>
      </c>
      <c r="AG11" s="67"/>
      <c r="AH11" s="67">
        <v>36300000</v>
      </c>
      <c r="AI11" s="67">
        <v>26978980</v>
      </c>
      <c r="AJ11" s="68">
        <f>IF(AI11&gt;0,SUM(AH11)-SUM(AI11),"")</f>
        <v>9321020</v>
      </c>
      <c r="AK11" s="102" t="s">
        <v>424</v>
      </c>
      <c r="AL11" s="48"/>
      <c r="AM11" s="105">
        <v>150</v>
      </c>
      <c r="AN11" s="69">
        <f>$M$3+AM11-1</f>
        <v>46018</v>
      </c>
      <c r="AO11" s="107">
        <f>AN11-AU11</f>
        <v>-38</v>
      </c>
      <c r="AP11" s="48"/>
      <c r="AQ11" s="111"/>
      <c r="AR11" s="70">
        <f>IFERROR(WORKDAY.INTL(AN11,AQ11,11),"")</f>
        <v>46018</v>
      </c>
      <c r="AS11" s="107">
        <f>AR11-AU11</f>
        <v>-38</v>
      </c>
      <c r="AT11" s="48"/>
      <c r="AU11" s="113">
        <f>IF(Y11&gt;0,Y11,IFERROR(MAX(_xlfn.XLOOKUP($AV11,$H$8:$Z$8,$G11:$Y11),$C$6)+(AN11-_xlfn.XLOOKUP($AV11,$H$8:$Z$8,$F11:$X11))*AD11/SUM($H$7:$Y$7),$C$6+SUM(AD11)))</f>
        <v>46056</v>
      </c>
      <c r="AV11" s="119" t="str" cm="1">
        <f t="array" ref="AV11">IF(OR(G11&gt;$C$6,G11=""),$F$8,INDEX($E$8:$Z$8,MATCH(TRUE,(F11:AA11=""),0)))</f>
        <v>11. Subcontract Agreement signed</v>
      </c>
      <c r="AW11" s="116" t="b">
        <f>IF(AND(G11&gt;0,G11&lt;$C$6),TRUE,FALSE)</f>
        <v>1</v>
      </c>
      <c r="AX11" s="71" t="b">
        <f>IF(AND(I11&gt;0,I11&lt;$C$6),TRUE,FALSE)</f>
        <v>1</v>
      </c>
      <c r="AY11" s="71" t="b">
        <f>IF(AND(K11&gt;0,K11&lt;$C$6),TRUE,FALSE)</f>
        <v>1</v>
      </c>
      <c r="AZ11" s="71" t="b">
        <f>IF(AND(M11&gt;0,M11&lt;$C$6),TRUE,FALSE)</f>
        <v>1</v>
      </c>
      <c r="BA11" s="71" t="b">
        <f>IF(AND(O11&gt;0,O11&lt;$C$6),TRUE,FALSE)</f>
        <v>1</v>
      </c>
      <c r="BB11" s="71" t="b">
        <f>IF(AND(Q11&gt;0,Q11&lt;$C$6),TRUE,FALSE)</f>
        <v>1</v>
      </c>
      <c r="BC11" s="71" t="b">
        <f>IF(AND(S11&gt;0,S11&lt;$C$6),TRUE,FALSE)</f>
        <v>1</v>
      </c>
      <c r="BD11" s="71" t="b">
        <f>IF(AND(U11&gt;0,U11&lt;$C$6),TRUE,FALSE)</f>
        <v>1</v>
      </c>
      <c r="BE11" s="71" t="b">
        <f>IF(AND(W11&gt;0,W11&lt;$C$6),TRUE,FALSE)</f>
        <v>1</v>
      </c>
      <c r="BF11" s="71" t="b">
        <f>IF(AND(Y11&gt;0,Y11&lt;$C$6),TRUE,FALSE)</f>
        <v>1</v>
      </c>
      <c r="BG11" s="89" t="b">
        <f>IF(AND(AA11&gt;0,AA11&lt;$C$6),TRUE,FALSE)</f>
        <v>0</v>
      </c>
      <c r="BH11" s="146"/>
    </row>
    <row r="12" spans="1:60" ht="26.25" x14ac:dyDescent="0.25">
      <c r="A12" s="56" cm="1">
        <f t="array" ref="A12">SUMPRODUCT(($AV$10:$AV$38&lt;&gt;"")*(ROW($AV$10:$AV$38)&lt;=ROW()))</f>
        <v>2</v>
      </c>
      <c r="B12" s="59"/>
      <c r="C12" s="60" t="s">
        <v>350</v>
      </c>
      <c r="D12" s="59" t="s">
        <v>107</v>
      </c>
      <c r="E12" s="43"/>
      <c r="F12" s="44">
        <f>H12-$H$7</f>
        <v>46138</v>
      </c>
      <c r="G12" s="45">
        <v>45930</v>
      </c>
      <c r="H12" s="44">
        <f>J12-$J$7</f>
        <v>46145</v>
      </c>
      <c r="I12" s="45">
        <v>45932</v>
      </c>
      <c r="J12" s="44">
        <f>L12-$L$7</f>
        <v>46151</v>
      </c>
      <c r="K12" s="45">
        <v>45936</v>
      </c>
      <c r="L12" s="44">
        <f>N12-$N$7</f>
        <v>46154</v>
      </c>
      <c r="M12" s="45">
        <v>45936</v>
      </c>
      <c r="N12" s="44">
        <f>P12-$P$7</f>
        <v>46184</v>
      </c>
      <c r="O12" s="45">
        <v>45936</v>
      </c>
      <c r="P12" s="44">
        <f>R12-$R$7</f>
        <v>46194</v>
      </c>
      <c r="Q12" s="45">
        <v>45936</v>
      </c>
      <c r="R12" s="44">
        <f>T12-$T$7</f>
        <v>46214</v>
      </c>
      <c r="S12" s="45">
        <v>45973</v>
      </c>
      <c r="T12" s="44">
        <f>V12-$V$7</f>
        <v>46221</v>
      </c>
      <c r="U12" s="45">
        <v>45973</v>
      </c>
      <c r="V12" s="44">
        <f>X12-$X$7</f>
        <v>46228</v>
      </c>
      <c r="W12" s="45">
        <v>46001</v>
      </c>
      <c r="X12" s="44">
        <f t="shared" ref="X12" si="0">AN12</f>
        <v>46233</v>
      </c>
      <c r="Y12" s="45"/>
      <c r="Z12" s="46">
        <f>X12+$Z$7</f>
        <v>46243</v>
      </c>
      <c r="AA12" s="45"/>
      <c r="AB12" s="47" t="str">
        <f>IF(AV12="10. Issued to Contractor","-",IF(AV12="11. Subcontract Agreement signed","-",MAX(AN12,AR12)-$C$6))</f>
        <v>-</v>
      </c>
      <c r="AC12" s="16"/>
      <c r="AD12" s="131">
        <f t="shared" ref="AD12:AD14" si="1">SUM($H$7:$Y$7)</f>
        <v>95</v>
      </c>
      <c r="AE12" s="16"/>
      <c r="AF12" s="96">
        <v>34030863</v>
      </c>
      <c r="AG12" s="72"/>
      <c r="AH12" s="72">
        <v>24200000</v>
      </c>
      <c r="AI12" s="72">
        <v>5459621</v>
      </c>
      <c r="AJ12" s="73">
        <f>IF(AI12&gt;0,SUM(AH12)-SUM(AI12),"")</f>
        <v>18740379</v>
      </c>
      <c r="AK12" s="101" t="s">
        <v>425</v>
      </c>
      <c r="AL12" s="48"/>
      <c r="AM12" s="104">
        <v>365</v>
      </c>
      <c r="AN12" s="74">
        <f>$M$3+AM12-1</f>
        <v>46233</v>
      </c>
      <c r="AO12" s="108">
        <f>AN12-AU12</f>
        <v>116</v>
      </c>
      <c r="AP12" s="48"/>
      <c r="AQ12" s="110"/>
      <c r="AR12" s="75">
        <f>IFERROR(WORKDAY.INTL(AN12,AQ12,11),"")</f>
        <v>46233</v>
      </c>
      <c r="AS12" s="108">
        <f>AR12-AU12</f>
        <v>116</v>
      </c>
      <c r="AT12" s="48"/>
      <c r="AU12" s="114">
        <f t="shared" ref="AU12" si="2">IF(Y12&gt;0,Y12,IFERROR(MAX(_xlfn.XLOOKUP($AV12,$H$8:$Z$8,$G12:$Y12),$C$6)+(AN12-_xlfn.XLOOKUP($AV12,$H$8:$Z$8,$F12:$X12))*AD12/SUM($H$7:$Y$7),$C$6+SUM(AD12)))</f>
        <v>46117</v>
      </c>
      <c r="AV12" s="120" t="str" cm="1">
        <f t="array" ref="AV12">IF(OR(G12&gt;$C$6,G12=""),$F$8,INDEX($E$8:$Z$8,MATCH(TRUE,(F12:AA12=""),0)))</f>
        <v>10. Issued to Contractor</v>
      </c>
      <c r="AW12" s="117" t="b">
        <f>IF(AND(G12&gt;0,G12&lt;$C$6),TRUE,FALSE)</f>
        <v>1</v>
      </c>
      <c r="AX12" s="76" t="b">
        <f>IF(AND(I12&gt;0,I12&lt;$C$6),TRUE,FALSE)</f>
        <v>1</v>
      </c>
      <c r="AY12" s="76" t="b">
        <f>IF(AND(K12&gt;0,K12&lt;$C$6),TRUE,FALSE)</f>
        <v>1</v>
      </c>
      <c r="AZ12" s="76" t="b">
        <f>IF(AND(M12&gt;0,M12&lt;$C$6),TRUE,FALSE)</f>
        <v>1</v>
      </c>
      <c r="BA12" s="76" t="b">
        <f>IF(AND(O12&gt;0,O12&lt;$C$6),TRUE,FALSE)</f>
        <v>1</v>
      </c>
      <c r="BB12" s="76" t="b">
        <f>IF(AND(Q12&gt;0,Q12&lt;$C$6),TRUE,FALSE)</f>
        <v>1</v>
      </c>
      <c r="BC12" s="76" t="b">
        <f>IF(AND(S12&gt;0,S12&lt;$C$6),TRUE,FALSE)</f>
        <v>1</v>
      </c>
      <c r="BD12" s="76" t="b">
        <f>IF(AND(U12&gt;0,U12&lt;$C$6),TRUE,FALSE)</f>
        <v>1</v>
      </c>
      <c r="BE12" s="76" t="b">
        <f>IF(AND(W12&gt;0,W12&lt;$C$6),TRUE,FALSE)</f>
        <v>1</v>
      </c>
      <c r="BF12" s="76" t="b">
        <f>IF(AND(Y12&gt;0,Y12&lt;$C$6),TRUE,FALSE)</f>
        <v>0</v>
      </c>
      <c r="BG12" s="90" t="b">
        <f>IF(AND(AA12&gt;0,AA12&lt;$C$6),TRUE,FALSE)</f>
        <v>0</v>
      </c>
      <c r="BH12" s="146"/>
    </row>
    <row r="13" spans="1:60" ht="23.25" x14ac:dyDescent="0.25">
      <c r="A13" s="55"/>
      <c r="B13" s="49"/>
      <c r="C13" s="50" t="s">
        <v>115</v>
      </c>
      <c r="D13" s="51"/>
      <c r="E13" s="51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1"/>
      <c r="AC13" s="51"/>
      <c r="AD13" s="132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51"/>
      <c r="AZ13" s="51"/>
      <c r="BA13" s="51"/>
      <c r="BB13" s="51"/>
      <c r="BC13" s="51"/>
      <c r="BD13" s="51"/>
      <c r="BE13" s="51"/>
      <c r="BF13" s="51"/>
      <c r="BG13" s="88"/>
      <c r="BH13" s="146"/>
    </row>
    <row r="14" spans="1:60" ht="26.25" x14ac:dyDescent="0.25">
      <c r="A14" s="56" cm="1">
        <f t="array" ref="A14">SUMPRODUCT(($AV$10:$AV$38&lt;&gt;"")*(ROW($AV$10:$AV$38)&lt;=ROW()))</f>
        <v>3</v>
      </c>
      <c r="B14" s="57"/>
      <c r="C14" s="58" t="s">
        <v>115</v>
      </c>
      <c r="D14" s="93" t="s">
        <v>107</v>
      </c>
      <c r="E14" s="16"/>
      <c r="F14" s="29">
        <f>H14-$H$7</f>
        <v>45803</v>
      </c>
      <c r="G14" s="42">
        <v>45760</v>
      </c>
      <c r="H14" s="29">
        <f>J14-$J$7</f>
        <v>45810</v>
      </c>
      <c r="I14" s="42">
        <v>45760</v>
      </c>
      <c r="J14" s="29">
        <f>L14-$L$7</f>
        <v>45816</v>
      </c>
      <c r="K14" s="42">
        <v>45763</v>
      </c>
      <c r="L14" s="29">
        <f>N14-$N$7</f>
        <v>45819</v>
      </c>
      <c r="M14" s="42">
        <v>45777</v>
      </c>
      <c r="N14" s="29">
        <f>P14-$P$7</f>
        <v>45849</v>
      </c>
      <c r="O14" s="42">
        <v>45777</v>
      </c>
      <c r="P14" s="29">
        <f>R14-$R$7</f>
        <v>45859</v>
      </c>
      <c r="Q14" s="42">
        <v>45777</v>
      </c>
      <c r="R14" s="29">
        <f>T14-$T$7</f>
        <v>45879</v>
      </c>
      <c r="S14" s="42">
        <v>45839</v>
      </c>
      <c r="T14" s="29">
        <f>V14-$V$7</f>
        <v>45886</v>
      </c>
      <c r="U14" s="42">
        <v>45869</v>
      </c>
      <c r="V14" s="29">
        <f>X14-$X$7</f>
        <v>45893</v>
      </c>
      <c r="W14" s="42">
        <v>45882</v>
      </c>
      <c r="X14" s="29">
        <f>AN14</f>
        <v>45898</v>
      </c>
      <c r="Y14" s="42">
        <v>45924</v>
      </c>
      <c r="Z14" s="30">
        <f>X14+$Z$7</f>
        <v>45908</v>
      </c>
      <c r="AA14" s="42"/>
      <c r="AB14" s="31" t="str">
        <f>IF(AV14="10. Issued to Contractor","-",IF(AV14="11. Subcontract Agreement signed","-",MAX(AN14,AR14)-$C$6))</f>
        <v>-</v>
      </c>
      <c r="AC14" s="16"/>
      <c r="AD14" s="131">
        <f t="shared" si="1"/>
        <v>95</v>
      </c>
      <c r="AE14" s="16"/>
      <c r="AF14" s="95">
        <v>733781168</v>
      </c>
      <c r="AG14" s="67"/>
      <c r="AH14" s="67">
        <v>661336476</v>
      </c>
      <c r="AI14" s="67">
        <v>659900000</v>
      </c>
      <c r="AJ14" s="68">
        <f>IF(AI14&gt;0,SUM(AH14)-SUM(AI14),"")</f>
        <v>1436476</v>
      </c>
      <c r="AK14" s="102" t="s">
        <v>426</v>
      </c>
      <c r="AL14" s="48"/>
      <c r="AM14" s="105">
        <v>30</v>
      </c>
      <c r="AN14" s="69">
        <f>$M$3+AM14-1</f>
        <v>45898</v>
      </c>
      <c r="AO14" s="107">
        <f>AN14-AU14</f>
        <v>-26</v>
      </c>
      <c r="AP14" s="48"/>
      <c r="AQ14" s="111"/>
      <c r="AR14" s="70">
        <f>IFERROR(WORKDAY.INTL(AN14,AQ14,11),"")</f>
        <v>45898</v>
      </c>
      <c r="AS14" s="107">
        <f>AR14-AU14</f>
        <v>-26</v>
      </c>
      <c r="AT14" s="48"/>
      <c r="AU14" s="113">
        <f>IF(Y14&gt;0,Y14,IFERROR(MAX(_xlfn.XLOOKUP($AV14,$H$8:$Z$8,$G14:$Y14),$C$6)+(AN14-_xlfn.XLOOKUP($AV14,$H$8:$Z$8,$F14:$X14))*AD14/SUM($H$7:$Y$7),$C$6+SUM(AD14)))</f>
        <v>45924</v>
      </c>
      <c r="AV14" s="119" t="str" cm="1">
        <f t="array" ref="AV14">IF(OR(G14&gt;$C$6,G14=""),$F$8,INDEX($E$8:$Z$8,MATCH(TRUE,(F14:AA14=""),0)))</f>
        <v>11. Subcontract Agreement signed</v>
      </c>
      <c r="AW14" s="116" t="b">
        <f>IF(AND(G14&gt;0,G14&lt;$C$6),TRUE,FALSE)</f>
        <v>1</v>
      </c>
      <c r="AX14" s="71" t="b">
        <f>IF(AND(I14&gt;0,I14&lt;$C$6),TRUE,FALSE)</f>
        <v>1</v>
      </c>
      <c r="AY14" s="71" t="b">
        <f>IF(AND(K14&gt;0,K14&lt;$C$6),TRUE,FALSE)</f>
        <v>1</v>
      </c>
      <c r="AZ14" s="71" t="b">
        <f>IF(AND(M14&gt;0,M14&lt;$C$6),TRUE,FALSE)</f>
        <v>1</v>
      </c>
      <c r="BA14" s="71" t="b">
        <f>IF(AND(O14&gt;0,O14&lt;$C$6),TRUE,FALSE)</f>
        <v>1</v>
      </c>
      <c r="BB14" s="71" t="b">
        <f>IF(AND(Q14&gt;0,Q14&lt;$C$6),TRUE,FALSE)</f>
        <v>1</v>
      </c>
      <c r="BC14" s="71" t="b">
        <f>IF(AND(S14&gt;0,S14&lt;$C$6),TRUE,FALSE)</f>
        <v>1</v>
      </c>
      <c r="BD14" s="71" t="b">
        <f>IF(AND(U14&gt;0,U14&lt;$C$6),TRUE,FALSE)</f>
        <v>1</v>
      </c>
      <c r="BE14" s="71" t="b">
        <f>IF(AND(W14&gt;0,W14&lt;$C$6),TRUE,FALSE)</f>
        <v>1</v>
      </c>
      <c r="BF14" s="71" t="b">
        <f>IF(AND(Y14&gt;0,Y14&lt;$C$6),TRUE,FALSE)</f>
        <v>1</v>
      </c>
      <c r="BG14" s="89" t="b">
        <f>IF(AND(AA14&gt;0,AA14&lt;$C$6),TRUE,FALSE)</f>
        <v>0</v>
      </c>
      <c r="BH14" s="146"/>
    </row>
    <row r="15" spans="1:60" ht="23.25" x14ac:dyDescent="0.25">
      <c r="A15" s="53"/>
      <c r="B15" s="49"/>
      <c r="C15" s="50" t="s">
        <v>445</v>
      </c>
      <c r="D15" s="51"/>
      <c r="E15" s="51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1"/>
      <c r="AC15" s="51"/>
      <c r="AD15" s="132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51"/>
      <c r="BD15" s="51"/>
      <c r="BE15" s="51"/>
      <c r="BF15" s="51"/>
      <c r="BG15" s="88"/>
      <c r="BH15" s="146"/>
    </row>
    <row r="16" spans="1:60" ht="30" x14ac:dyDescent="0.25">
      <c r="A16" s="56" cm="1">
        <f t="array" ref="A16">SUMPRODUCT(($AV$10:$AV$38&lt;&gt;"")*(ROW($AV$10:$AV$38)&lt;=ROW()))</f>
        <v>4</v>
      </c>
      <c r="B16" s="57"/>
      <c r="C16" s="58" t="s">
        <v>427</v>
      </c>
      <c r="D16" s="93" t="s">
        <v>7</v>
      </c>
      <c r="E16" s="16"/>
      <c r="F16" s="29">
        <f>H16-$H$7</f>
        <v>45923</v>
      </c>
      <c r="G16" s="42">
        <v>45930</v>
      </c>
      <c r="H16" s="29">
        <f>J16-$J$7</f>
        <v>45930</v>
      </c>
      <c r="I16" s="42">
        <v>45932</v>
      </c>
      <c r="J16" s="29">
        <f>L16-$L$7</f>
        <v>45936</v>
      </c>
      <c r="K16" s="42">
        <v>45936</v>
      </c>
      <c r="L16" s="29">
        <f>N16-$N$7</f>
        <v>45939</v>
      </c>
      <c r="M16" s="42">
        <v>45936</v>
      </c>
      <c r="N16" s="29">
        <f>P16-$P$7</f>
        <v>45969</v>
      </c>
      <c r="O16" s="42">
        <v>45936</v>
      </c>
      <c r="P16" s="29">
        <f>R16-$R$7</f>
        <v>45979</v>
      </c>
      <c r="Q16" s="42">
        <v>45936</v>
      </c>
      <c r="R16" s="29">
        <f>T16-$T$7</f>
        <v>45999</v>
      </c>
      <c r="S16" s="42">
        <v>46026</v>
      </c>
      <c r="T16" s="29">
        <f>V16-$V$7</f>
        <v>46006</v>
      </c>
      <c r="U16" s="42">
        <v>46040</v>
      </c>
      <c r="V16" s="29">
        <f>X16-$X$7</f>
        <v>46013</v>
      </c>
      <c r="W16" s="42">
        <v>46095</v>
      </c>
      <c r="X16" s="29">
        <f t="shared" ref="X16:X20" si="3">AN16</f>
        <v>46018</v>
      </c>
      <c r="Y16" s="42">
        <v>46099</v>
      </c>
      <c r="Z16" s="30">
        <f>X16+$Z$7</f>
        <v>46028</v>
      </c>
      <c r="AA16" s="42"/>
      <c r="AB16" s="31" t="str">
        <f>IF(AV16="10. Issued to Contractor","-",IF(AV16="11. Subcontract Agreement signed","-",MAX(AN16,AR16)-$C$6))</f>
        <v>-</v>
      </c>
      <c r="AC16" s="16"/>
      <c r="AD16" s="131">
        <f t="shared" ref="AD16:AD20" si="4">SUM($H$7:$Y$7)</f>
        <v>95</v>
      </c>
      <c r="AE16" s="16"/>
      <c r="AF16" s="95">
        <v>329201751</v>
      </c>
      <c r="AG16" s="67"/>
      <c r="AH16" s="67">
        <v>203500000</v>
      </c>
      <c r="AI16" s="67"/>
      <c r="AJ16" s="68" t="str">
        <f>IF(AI16&gt;0,SUM(AH16)-SUM(AI16),"")</f>
        <v/>
      </c>
      <c r="AK16" s="102" t="s">
        <v>456</v>
      </c>
      <c r="AL16" s="48"/>
      <c r="AM16" s="105">
        <v>150</v>
      </c>
      <c r="AN16" s="69">
        <f>$M$3+AM16-1</f>
        <v>46018</v>
      </c>
      <c r="AO16" s="107">
        <f>AN16-AU16</f>
        <v>-81</v>
      </c>
      <c r="AP16" s="48"/>
      <c r="AQ16" s="111"/>
      <c r="AR16" s="70">
        <f>IFERROR(WORKDAY.INTL(AN16,AQ16,11),"")</f>
        <v>46018</v>
      </c>
      <c r="AS16" s="107">
        <f>AR16-AU16</f>
        <v>-81</v>
      </c>
      <c r="AT16" s="48"/>
      <c r="AU16" s="113">
        <f t="shared" ref="AU16:AU20" si="5">IF(Y16&gt;0,Y16,IFERROR(MAX(_xlfn.XLOOKUP($AV16,$H$8:$Z$8,$G16:$Y16),$C$6)+(AN16-_xlfn.XLOOKUP($AV16,$H$8:$Z$8,$F16:$X16))*AD16/SUM($H$7:$Y$7),$C$6+SUM(AD16)))</f>
        <v>46099</v>
      </c>
      <c r="AV16" s="119" t="str" cm="1">
        <f t="array" ref="AV16">IF(OR(G16&gt;$C$6,G16=""),$F$8,INDEX($E$8:$Z$8,MATCH(TRUE,(F16:AA16=""),0)))</f>
        <v>11. Subcontract Agreement signed</v>
      </c>
      <c r="AW16" s="116" t="b">
        <f>IF(AND(G16&gt;0,G16&lt;$C$6),TRUE,FALSE)</f>
        <v>1</v>
      </c>
      <c r="AX16" s="71" t="b">
        <f>IF(AND(I16&gt;0,I16&lt;$C$6),TRUE,FALSE)</f>
        <v>1</v>
      </c>
      <c r="AY16" s="71" t="b">
        <f>IF(AND(K16&gt;0,K16&lt;$C$6),TRUE,FALSE)</f>
        <v>1</v>
      </c>
      <c r="AZ16" s="71" t="b">
        <f>IF(AND(M16&gt;0,M16&lt;$C$6),TRUE,FALSE)</f>
        <v>1</v>
      </c>
      <c r="BA16" s="71" t="b">
        <f>IF(AND(O16&gt;0,O16&lt;$C$6),TRUE,FALSE)</f>
        <v>1</v>
      </c>
      <c r="BB16" s="71" t="b">
        <f>IF(AND(Q16&gt;0,Q16&lt;$C$6),TRUE,FALSE)</f>
        <v>1</v>
      </c>
      <c r="BC16" s="71" t="b">
        <f>IF(AND(S16&gt;0,S16&lt;$C$6),TRUE,FALSE)</f>
        <v>1</v>
      </c>
      <c r="BD16" s="71" t="b">
        <f>IF(AND(U16&gt;0,U16&lt;$C$6),TRUE,FALSE)</f>
        <v>1</v>
      </c>
      <c r="BE16" s="71" t="b">
        <f>IF(AND(W16&gt;0,W16&lt;$C$6),TRUE,FALSE)</f>
        <v>1</v>
      </c>
      <c r="BF16" s="71" t="b">
        <f>IF(AND(Y16&gt;0,Y16&lt;$C$6),TRUE,FALSE)</f>
        <v>1</v>
      </c>
      <c r="BG16" s="89" t="b">
        <f>IF(AND(AA16&gt;0,AA16&lt;$C$6),TRUE,FALSE)</f>
        <v>0</v>
      </c>
      <c r="BH16" s="146"/>
    </row>
    <row r="17" spans="1:60" ht="30" x14ac:dyDescent="0.25">
      <c r="A17" s="56" cm="1">
        <f t="array" ref="A17">SUMPRODUCT(($AV$10:$AV$38&lt;&gt;"")*(ROW($AV$10:$AV$38)&lt;=ROW()))</f>
        <v>5</v>
      </c>
      <c r="B17" s="59"/>
      <c r="C17" s="60" t="s">
        <v>428</v>
      </c>
      <c r="D17" s="59" t="s">
        <v>7</v>
      </c>
      <c r="E17" s="43"/>
      <c r="F17" s="44">
        <f>H17-$H$7</f>
        <v>45923</v>
      </c>
      <c r="G17" s="45">
        <v>45930</v>
      </c>
      <c r="H17" s="44">
        <f>J17-$J$7</f>
        <v>45930</v>
      </c>
      <c r="I17" s="45">
        <v>45932</v>
      </c>
      <c r="J17" s="44">
        <f>L17-$L$7</f>
        <v>45936</v>
      </c>
      <c r="K17" s="45">
        <v>45936</v>
      </c>
      <c r="L17" s="44">
        <f>N17-$N$7</f>
        <v>45939</v>
      </c>
      <c r="M17" s="45">
        <v>45936</v>
      </c>
      <c r="N17" s="44">
        <f>P17-$P$7</f>
        <v>45969</v>
      </c>
      <c r="O17" s="45">
        <v>45936</v>
      </c>
      <c r="P17" s="44">
        <f>R17-$R$7</f>
        <v>45979</v>
      </c>
      <c r="Q17" s="45">
        <v>45936</v>
      </c>
      <c r="R17" s="44">
        <f>T17-$T$7</f>
        <v>45999</v>
      </c>
      <c r="S17" s="45">
        <v>46026</v>
      </c>
      <c r="T17" s="44">
        <f>V17-$V$7</f>
        <v>46006</v>
      </c>
      <c r="U17" s="45">
        <v>46040</v>
      </c>
      <c r="V17" s="44">
        <f>X17-$X$7</f>
        <v>46013</v>
      </c>
      <c r="W17" s="45">
        <v>46095</v>
      </c>
      <c r="X17" s="44">
        <f t="shared" si="3"/>
        <v>46018</v>
      </c>
      <c r="Y17" s="45">
        <v>46099</v>
      </c>
      <c r="Z17" s="46">
        <f>X17+$Z$7</f>
        <v>46028</v>
      </c>
      <c r="AA17" s="45"/>
      <c r="AB17" s="32" t="str">
        <f>IF(AV17="10. Issued to Contractor","-",IF(AV17="11. Subcontract Agreement signed","-",MAX(AN17,AR17)-$C$6))</f>
        <v>-</v>
      </c>
      <c r="AC17" s="16"/>
      <c r="AD17" s="131">
        <f t="shared" si="4"/>
        <v>95</v>
      </c>
      <c r="AE17" s="16"/>
      <c r="AF17" s="96">
        <v>58092083</v>
      </c>
      <c r="AG17" s="72"/>
      <c r="AH17" s="72">
        <v>38500000</v>
      </c>
      <c r="AI17" s="72" t="s">
        <v>134</v>
      </c>
      <c r="AJ17" s="73">
        <f>IF(AI17&gt;0,SUM(AH17)-SUM(AI17),"")</f>
        <v>38500000</v>
      </c>
      <c r="AK17" s="102" t="s">
        <v>456</v>
      </c>
      <c r="AL17" s="48"/>
      <c r="AM17" s="104">
        <v>150</v>
      </c>
      <c r="AN17" s="74">
        <f>$M$3+AM17-1</f>
        <v>46018</v>
      </c>
      <c r="AO17" s="108">
        <f>AN17-AU17</f>
        <v>-81</v>
      </c>
      <c r="AP17" s="48"/>
      <c r="AQ17" s="110"/>
      <c r="AR17" s="75">
        <f>IFERROR(WORKDAY.INTL(AN17,AQ17,11),"")</f>
        <v>46018</v>
      </c>
      <c r="AS17" s="108">
        <f>AR17-AU17</f>
        <v>-81</v>
      </c>
      <c r="AT17" s="48"/>
      <c r="AU17" s="114">
        <f t="shared" si="5"/>
        <v>46099</v>
      </c>
      <c r="AV17" s="120" t="str" cm="1">
        <f t="array" ref="AV17">IF(OR(G17&gt;$C$6,G17=""),$F$8,INDEX($E$8:$Z$8,MATCH(TRUE,(F17:AA17=""),0)))</f>
        <v>11. Subcontract Agreement signed</v>
      </c>
      <c r="AW17" s="117" t="b">
        <f>IF(AND(G17&gt;0,G17&lt;$C$6),TRUE,FALSE)</f>
        <v>1</v>
      </c>
      <c r="AX17" s="76" t="b">
        <f>IF(AND(I17&gt;0,I17&lt;$C$6),TRUE,FALSE)</f>
        <v>1</v>
      </c>
      <c r="AY17" s="76" t="b">
        <f>IF(AND(K17&gt;0,K17&lt;$C$6),TRUE,FALSE)</f>
        <v>1</v>
      </c>
      <c r="AZ17" s="76" t="b">
        <f>IF(AND(M17&gt;0,M17&lt;$C$6),TRUE,FALSE)</f>
        <v>1</v>
      </c>
      <c r="BA17" s="76" t="b">
        <f>IF(AND(O17&gt;0,O17&lt;$C$6),TRUE,FALSE)</f>
        <v>1</v>
      </c>
      <c r="BB17" s="76" t="b">
        <f>IF(AND(Q17&gt;0,Q17&lt;$C$6),TRUE,FALSE)</f>
        <v>1</v>
      </c>
      <c r="BC17" s="76" t="b">
        <f>IF(AND(S17&gt;0,S17&lt;$C$6),TRUE,FALSE)</f>
        <v>1</v>
      </c>
      <c r="BD17" s="76" t="b">
        <f>IF(AND(U17&gt;0,U17&lt;$C$6),TRUE,FALSE)</f>
        <v>1</v>
      </c>
      <c r="BE17" s="76" t="b">
        <f>IF(AND(W17&gt;0,W17&lt;$C$6),TRUE,FALSE)</f>
        <v>1</v>
      </c>
      <c r="BF17" s="76" t="b">
        <f>IF(AND(Y17&gt;0,Y17&lt;$C$6),TRUE,FALSE)</f>
        <v>1</v>
      </c>
      <c r="BG17" s="90" t="b">
        <f>IF(AND(AA17&gt;0,AA17&lt;$C$6),TRUE,FALSE)</f>
        <v>0</v>
      </c>
      <c r="BH17" s="146"/>
    </row>
    <row r="18" spans="1:60" ht="26.25" x14ac:dyDescent="0.25">
      <c r="A18" s="56" cm="1">
        <f t="array" ref="A18">SUMPRODUCT(($AV$10:$AV$38&lt;&gt;"")*(ROW($AV$10:$AV$38)&lt;=ROW()))</f>
        <v>6</v>
      </c>
      <c r="B18" s="57"/>
      <c r="C18" s="58" t="s">
        <v>199</v>
      </c>
      <c r="D18" s="93" t="s">
        <v>7</v>
      </c>
      <c r="E18" s="16"/>
      <c r="F18" s="29">
        <f>H18-$H$7</f>
        <v>45923</v>
      </c>
      <c r="G18" s="42">
        <v>45930</v>
      </c>
      <c r="H18" s="29">
        <f>J18-$J$7</f>
        <v>45930</v>
      </c>
      <c r="I18" s="42">
        <v>45932</v>
      </c>
      <c r="J18" s="29">
        <f>L18-$L$7</f>
        <v>45936</v>
      </c>
      <c r="K18" s="42">
        <v>45936</v>
      </c>
      <c r="L18" s="29">
        <f>N18-$N$7</f>
        <v>45939</v>
      </c>
      <c r="M18" s="42">
        <v>45936</v>
      </c>
      <c r="N18" s="29">
        <f>P18-$P$7</f>
        <v>45969</v>
      </c>
      <c r="O18" s="42">
        <v>45968</v>
      </c>
      <c r="P18" s="29">
        <f>R18-$R$7</f>
        <v>45979</v>
      </c>
      <c r="Q18" s="42"/>
      <c r="R18" s="29">
        <f>T18-$T$7</f>
        <v>45999</v>
      </c>
      <c r="S18" s="42"/>
      <c r="T18" s="29">
        <f>V18-$V$7</f>
        <v>46006</v>
      </c>
      <c r="U18" s="42"/>
      <c r="V18" s="29">
        <f>X18-$X$7</f>
        <v>46013</v>
      </c>
      <c r="W18" s="42"/>
      <c r="X18" s="29">
        <f t="shared" si="3"/>
        <v>46018</v>
      </c>
      <c r="Y18" s="42"/>
      <c r="Z18" s="30">
        <f>X18+$Z$7</f>
        <v>46028</v>
      </c>
      <c r="AA18" s="42"/>
      <c r="AB18" s="31">
        <f>IF(AV18="10. Issued to Contractor","-",IF(AV18="11. Subcontract Agreement signed","-",MAX(AN18,AR18)-$C$6))</f>
        <v>-94</v>
      </c>
      <c r="AC18" s="16"/>
      <c r="AD18" s="131">
        <f t="shared" si="4"/>
        <v>95</v>
      </c>
      <c r="AE18" s="16"/>
      <c r="AF18" s="95">
        <v>78503380</v>
      </c>
      <c r="AG18" s="67"/>
      <c r="AH18" s="67">
        <v>46200000</v>
      </c>
      <c r="AI18" s="67"/>
      <c r="AJ18" s="68" t="str">
        <f>IF(AI18&gt;0,SUM(AH18)-SUM(AI18),"")</f>
        <v/>
      </c>
      <c r="AK18" s="102"/>
      <c r="AL18" s="48"/>
      <c r="AM18" s="105">
        <v>150</v>
      </c>
      <c r="AN18" s="69">
        <f>$M$3+AM18-1</f>
        <v>46018</v>
      </c>
      <c r="AO18" s="107">
        <f>AN18-AU18</f>
        <v>-143</v>
      </c>
      <c r="AP18" s="48"/>
      <c r="AQ18" s="111"/>
      <c r="AR18" s="70">
        <f>IFERROR(WORKDAY.INTL(AN18,AQ18,11),"")</f>
        <v>46018</v>
      </c>
      <c r="AS18" s="107">
        <f>AR18-AU18</f>
        <v>-143</v>
      </c>
      <c r="AT18" s="48"/>
      <c r="AU18" s="113">
        <f t="shared" si="5"/>
        <v>46161</v>
      </c>
      <c r="AV18" s="119" t="str" cm="1">
        <f t="array" ref="AV18">IF(OR(G18&gt;$C$6,G18=""),$F$8,INDEX($E$8:$Z$8,MATCH(TRUE,(F18:AA18=""),0)))</f>
        <v xml:space="preserve">6. Tech &amp; Com Review </v>
      </c>
      <c r="AW18" s="116" t="b">
        <f>IF(AND(G18&gt;0,G18&lt;$C$6),TRUE,FALSE)</f>
        <v>1</v>
      </c>
      <c r="AX18" s="71" t="b">
        <f>IF(AND(I18&gt;0,I18&lt;$C$6),TRUE,FALSE)</f>
        <v>1</v>
      </c>
      <c r="AY18" s="71" t="b">
        <f>IF(AND(K18&gt;0,K18&lt;$C$6),TRUE,FALSE)</f>
        <v>1</v>
      </c>
      <c r="AZ18" s="71" t="b">
        <f>IF(AND(M18&gt;0,M18&lt;$C$6),TRUE,FALSE)</f>
        <v>1</v>
      </c>
      <c r="BA18" s="71" t="b">
        <f>IF(AND(O18&gt;0,O18&lt;$C$6),TRUE,FALSE)</f>
        <v>1</v>
      </c>
      <c r="BB18" s="71" t="b">
        <f>IF(AND(Q18&gt;0,Q18&lt;$C$6),TRUE,FALSE)</f>
        <v>0</v>
      </c>
      <c r="BC18" s="71" t="b">
        <f>IF(AND(S18&gt;0,S18&lt;$C$6),TRUE,FALSE)</f>
        <v>0</v>
      </c>
      <c r="BD18" s="71" t="b">
        <f>IF(AND(U18&gt;0,U18&lt;$C$6),TRUE,FALSE)</f>
        <v>0</v>
      </c>
      <c r="BE18" s="71" t="b">
        <f>IF(AND(W18&gt;0,W18&lt;$C$6),TRUE,FALSE)</f>
        <v>0</v>
      </c>
      <c r="BF18" s="71" t="b">
        <f>IF(AND(Y18&gt;0,Y18&lt;$C$6),TRUE,FALSE)</f>
        <v>0</v>
      </c>
      <c r="BG18" s="89" t="b">
        <f>IF(AND(AA18&gt;0,AA18&lt;$C$6),TRUE,FALSE)</f>
        <v>0</v>
      </c>
      <c r="BH18" s="146"/>
    </row>
    <row r="19" spans="1:60" ht="26.25" x14ac:dyDescent="0.25">
      <c r="A19" s="56" cm="1">
        <f t="array" ref="A19">SUMPRODUCT(($AV$10:$AV$38&lt;&gt;"")*(ROW($AV$10:$AV$38)&lt;=ROW()))</f>
        <v>7</v>
      </c>
      <c r="B19" s="59"/>
      <c r="C19" s="60" t="s">
        <v>429</v>
      </c>
      <c r="D19" s="59" t="s">
        <v>7</v>
      </c>
      <c r="E19" s="43"/>
      <c r="F19" s="44">
        <f>H19-$H$7</f>
        <v>45923</v>
      </c>
      <c r="G19" s="45">
        <v>45930</v>
      </c>
      <c r="H19" s="44">
        <f>J19-$J$7</f>
        <v>45930</v>
      </c>
      <c r="I19" s="45">
        <v>45932</v>
      </c>
      <c r="J19" s="44">
        <f>L19-$L$7</f>
        <v>45936</v>
      </c>
      <c r="K19" s="45">
        <v>45936</v>
      </c>
      <c r="L19" s="44">
        <f>N19-$N$7</f>
        <v>45939</v>
      </c>
      <c r="M19" s="45">
        <v>45936</v>
      </c>
      <c r="N19" s="44">
        <f>P19-$P$7</f>
        <v>45969</v>
      </c>
      <c r="O19" s="45">
        <v>45968</v>
      </c>
      <c r="P19" s="44">
        <f>R19-$R$7</f>
        <v>45979</v>
      </c>
      <c r="Q19" s="45"/>
      <c r="R19" s="44">
        <f>T19-$T$7</f>
        <v>45999</v>
      </c>
      <c r="S19" s="45"/>
      <c r="T19" s="44">
        <f>V19-$V$7</f>
        <v>46006</v>
      </c>
      <c r="U19" s="45"/>
      <c r="V19" s="44">
        <f>X19-$X$7</f>
        <v>46013</v>
      </c>
      <c r="W19" s="45"/>
      <c r="X19" s="44">
        <f t="shared" si="3"/>
        <v>46018</v>
      </c>
      <c r="Y19" s="45"/>
      <c r="Z19" s="46">
        <f>X19+$Z$7</f>
        <v>46028</v>
      </c>
      <c r="AA19" s="45"/>
      <c r="AB19" s="32">
        <f>IF(AV19="10. Issued to Contractor","-",IF(AV19="11. Subcontract Agreement signed","-",MAX(AN19,AR19)-$C$6))</f>
        <v>-94</v>
      </c>
      <c r="AC19" s="16"/>
      <c r="AD19" s="131">
        <f t="shared" si="4"/>
        <v>95</v>
      </c>
      <c r="AE19" s="16"/>
      <c r="AF19" s="96" t="s">
        <v>430</v>
      </c>
      <c r="AG19" s="72"/>
      <c r="AH19" s="72" t="s">
        <v>430</v>
      </c>
      <c r="AI19" s="72"/>
      <c r="AJ19" s="73" t="str">
        <f>IF(AI19&gt;0,SUM(AH19)-SUM(AI19),"")</f>
        <v/>
      </c>
      <c r="AK19" s="101"/>
      <c r="AL19" s="48"/>
      <c r="AM19" s="104">
        <f>AM18</f>
        <v>150</v>
      </c>
      <c r="AN19" s="74">
        <f>$M$3+AM19-1</f>
        <v>46018</v>
      </c>
      <c r="AO19" s="108">
        <f>AN19-AU19</f>
        <v>-143</v>
      </c>
      <c r="AP19" s="48"/>
      <c r="AQ19" s="110"/>
      <c r="AR19" s="75">
        <f>IFERROR(WORKDAY.INTL(AN19,AQ19,11),"")</f>
        <v>46018</v>
      </c>
      <c r="AS19" s="108">
        <f>AR19-AU19</f>
        <v>-143</v>
      </c>
      <c r="AT19" s="48"/>
      <c r="AU19" s="114">
        <f t="shared" si="5"/>
        <v>46161</v>
      </c>
      <c r="AV19" s="120" t="str" cm="1">
        <f t="array" ref="AV19">IF(OR(G19&gt;$C$6,G19=""),$F$8,INDEX($E$8:$Z$8,MATCH(TRUE,(F19:AA19=""),0)))</f>
        <v xml:space="preserve">6. Tech &amp; Com Review </v>
      </c>
      <c r="AW19" s="117" t="b">
        <f>IF(AND(G19&gt;0,G19&lt;$C$6),TRUE,FALSE)</f>
        <v>1</v>
      </c>
      <c r="AX19" s="76" t="b">
        <f>IF(AND(I19&gt;0,I19&lt;$C$6),TRUE,FALSE)</f>
        <v>1</v>
      </c>
      <c r="AY19" s="76" t="b">
        <f>IF(AND(K19&gt;0,K19&lt;$C$6),TRUE,FALSE)</f>
        <v>1</v>
      </c>
      <c r="AZ19" s="76" t="b">
        <f>IF(AND(M19&gt;0,M19&lt;$C$6),TRUE,FALSE)</f>
        <v>1</v>
      </c>
      <c r="BA19" s="76" t="b">
        <f>IF(AND(O19&gt;0,O19&lt;$C$6),TRUE,FALSE)</f>
        <v>1</v>
      </c>
      <c r="BB19" s="76" t="b">
        <f>IF(AND(Q19&gt;0,Q19&lt;$C$6),TRUE,FALSE)</f>
        <v>0</v>
      </c>
      <c r="BC19" s="76" t="b">
        <f>IF(AND(S19&gt;0,S19&lt;$C$6),TRUE,FALSE)</f>
        <v>0</v>
      </c>
      <c r="BD19" s="76" t="b">
        <f>IF(AND(U19&gt;0,U19&lt;$C$6),TRUE,FALSE)</f>
        <v>0</v>
      </c>
      <c r="BE19" s="76" t="b">
        <f>IF(AND(W19&gt;0,W19&lt;$C$6),TRUE,FALSE)</f>
        <v>0</v>
      </c>
      <c r="BF19" s="76" t="b">
        <f>IF(AND(Y19&gt;0,Y19&lt;$C$6),TRUE,FALSE)</f>
        <v>0</v>
      </c>
      <c r="BG19" s="90" t="b">
        <f>IF(AND(AA19&gt;0,AA19&lt;$C$6),TRUE,FALSE)</f>
        <v>0</v>
      </c>
      <c r="BH19" s="146"/>
    </row>
    <row r="20" spans="1:60" ht="26.25" x14ac:dyDescent="0.25">
      <c r="A20" s="56" cm="1">
        <f t="array" ref="A20">SUMPRODUCT(($AV$10:$AV$38&lt;&gt;"")*(ROW($AV$10:$AV$38)&lt;=ROW()))</f>
        <v>8</v>
      </c>
      <c r="B20" s="57"/>
      <c r="C20" s="58" t="s">
        <v>431</v>
      </c>
      <c r="D20" s="93" t="s">
        <v>7</v>
      </c>
      <c r="E20" s="16"/>
      <c r="F20" s="29">
        <f>H20-$H$7</f>
        <v>45923</v>
      </c>
      <c r="G20" s="42">
        <v>45930</v>
      </c>
      <c r="H20" s="29">
        <f>J20-$J$7</f>
        <v>45930</v>
      </c>
      <c r="I20" s="42">
        <v>45932</v>
      </c>
      <c r="J20" s="29">
        <f>L20-$L$7</f>
        <v>45936</v>
      </c>
      <c r="K20" s="42">
        <v>45936</v>
      </c>
      <c r="L20" s="29">
        <f>N20-$N$7</f>
        <v>45939</v>
      </c>
      <c r="M20" s="42">
        <v>45936</v>
      </c>
      <c r="N20" s="29">
        <f>P20-$P$7</f>
        <v>45969</v>
      </c>
      <c r="O20" s="42">
        <v>45968</v>
      </c>
      <c r="P20" s="29">
        <f>R20-$R$7</f>
        <v>45979</v>
      </c>
      <c r="Q20" s="42"/>
      <c r="R20" s="29">
        <f>T20-$T$7</f>
        <v>45999</v>
      </c>
      <c r="S20" s="42"/>
      <c r="T20" s="29">
        <f>V20-$V$7</f>
        <v>46006</v>
      </c>
      <c r="U20" s="42"/>
      <c r="V20" s="29">
        <f>X20-$X$7</f>
        <v>46013</v>
      </c>
      <c r="W20" s="42"/>
      <c r="X20" s="29">
        <f t="shared" si="3"/>
        <v>46018</v>
      </c>
      <c r="Y20" s="42"/>
      <c r="Z20" s="30">
        <f>X20+$Z$7</f>
        <v>46028</v>
      </c>
      <c r="AA20" s="42"/>
      <c r="AB20" s="31">
        <f>IF(AV20="10. Issued to Contractor","-",IF(AV20="11. Subcontract Agreement signed","-",MAX(AN20,AR20)-$C$6))</f>
        <v>-94</v>
      </c>
      <c r="AC20" s="16"/>
      <c r="AD20" s="131">
        <f t="shared" si="4"/>
        <v>95</v>
      </c>
      <c r="AE20" s="16"/>
      <c r="AF20" s="95" t="s">
        <v>430</v>
      </c>
      <c r="AG20" s="67"/>
      <c r="AH20" s="67" t="s">
        <v>430</v>
      </c>
      <c r="AI20" s="67"/>
      <c r="AJ20" s="68" t="str">
        <f>IF(AI20&gt;0,SUM(AH20)-SUM(AI20),"")</f>
        <v/>
      </c>
      <c r="AK20" s="102"/>
      <c r="AL20" s="48"/>
      <c r="AM20" s="105">
        <f>AM19</f>
        <v>150</v>
      </c>
      <c r="AN20" s="69">
        <f>$M$3+AM20-1</f>
        <v>46018</v>
      </c>
      <c r="AO20" s="107">
        <f>AN20-AU20</f>
        <v>-143</v>
      </c>
      <c r="AP20" s="48"/>
      <c r="AQ20" s="111"/>
      <c r="AR20" s="70">
        <f>IFERROR(WORKDAY.INTL(AN20,AQ20,11),"")</f>
        <v>46018</v>
      </c>
      <c r="AS20" s="107">
        <f>AR20-AU20</f>
        <v>-143</v>
      </c>
      <c r="AT20" s="48"/>
      <c r="AU20" s="113">
        <f t="shared" si="5"/>
        <v>46161</v>
      </c>
      <c r="AV20" s="119" t="str" cm="1">
        <f t="array" ref="AV20">IF(OR(G20&gt;$C$6,G20=""),$F$8,INDEX($E$8:$Z$8,MATCH(TRUE,(F20:AA20=""),0)))</f>
        <v xml:space="preserve">6. Tech &amp; Com Review </v>
      </c>
      <c r="AW20" s="116" t="b">
        <f>IF(AND(G20&gt;0,G20&lt;$C$6),TRUE,FALSE)</f>
        <v>1</v>
      </c>
      <c r="AX20" s="71" t="b">
        <f>IF(AND(I20&gt;0,I20&lt;$C$6),TRUE,FALSE)</f>
        <v>1</v>
      </c>
      <c r="AY20" s="71" t="b">
        <f>IF(AND(K20&gt;0,K20&lt;$C$6),TRUE,FALSE)</f>
        <v>1</v>
      </c>
      <c r="AZ20" s="71" t="b">
        <f>IF(AND(M20&gt;0,M20&lt;$C$6),TRUE,FALSE)</f>
        <v>1</v>
      </c>
      <c r="BA20" s="71" t="b">
        <f>IF(AND(O20&gt;0,O20&lt;$C$6),TRUE,FALSE)</f>
        <v>1</v>
      </c>
      <c r="BB20" s="71" t="b">
        <f>IF(AND(Q20&gt;0,Q20&lt;$C$6),TRUE,FALSE)</f>
        <v>0</v>
      </c>
      <c r="BC20" s="71" t="b">
        <f>IF(AND(S20&gt;0,S20&lt;$C$6),TRUE,FALSE)</f>
        <v>0</v>
      </c>
      <c r="BD20" s="71" t="b">
        <f>IF(AND(U20&gt;0,U20&lt;$C$6),TRUE,FALSE)</f>
        <v>0</v>
      </c>
      <c r="BE20" s="71" t="b">
        <f>IF(AND(W20&gt;0,W20&lt;$C$6),TRUE,FALSE)</f>
        <v>0</v>
      </c>
      <c r="BF20" s="71" t="b">
        <f>IF(AND(Y20&gt;0,Y20&lt;$C$6),TRUE,FALSE)</f>
        <v>0</v>
      </c>
      <c r="BG20" s="89" t="b">
        <f>IF(AND(AA20&gt;0,AA20&lt;$C$6),TRUE,FALSE)</f>
        <v>0</v>
      </c>
      <c r="BH20" s="146"/>
    </row>
    <row r="21" spans="1:60" ht="23.25" x14ac:dyDescent="0.25">
      <c r="A21" s="54"/>
      <c r="B21" s="49"/>
      <c r="C21" s="50"/>
      <c r="D21" s="51"/>
      <c r="E21" s="51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1"/>
      <c r="AC21" s="51"/>
      <c r="AD21" s="132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  <c r="BC21" s="51"/>
      <c r="BD21" s="51"/>
      <c r="BE21" s="51"/>
      <c r="BF21" s="51"/>
      <c r="BG21" s="88"/>
      <c r="BH21" s="146"/>
    </row>
    <row r="22" spans="1:60" ht="26.25" x14ac:dyDescent="0.25">
      <c r="A22" s="56" cm="1">
        <f t="array" ref="A22">SUMPRODUCT(($AV$10:$AV$38&lt;&gt;"")*(ROW($AV$10:$AV$38)&lt;=ROW()))</f>
        <v>9</v>
      </c>
      <c r="B22" s="59"/>
      <c r="C22" s="60" t="s">
        <v>432</v>
      </c>
      <c r="D22" s="59" t="s">
        <v>3</v>
      </c>
      <c r="E22" s="43"/>
      <c r="F22" s="44">
        <f>H22-$H$7</f>
        <v>46013</v>
      </c>
      <c r="G22" s="45">
        <v>45950</v>
      </c>
      <c r="H22" s="44">
        <f>J22-$J$7</f>
        <v>46020</v>
      </c>
      <c r="I22" s="45">
        <v>45953</v>
      </c>
      <c r="J22" s="44">
        <f>L22-$L$7</f>
        <v>46026</v>
      </c>
      <c r="K22" s="45">
        <v>45953</v>
      </c>
      <c r="L22" s="44">
        <f>N22-$N$7</f>
        <v>46029</v>
      </c>
      <c r="M22" s="45">
        <v>46011</v>
      </c>
      <c r="N22" s="44">
        <f>P22-$P$7</f>
        <v>46059</v>
      </c>
      <c r="O22" s="45"/>
      <c r="P22" s="44">
        <f>R22-$R$7</f>
        <v>46069</v>
      </c>
      <c r="Q22" s="45"/>
      <c r="R22" s="44">
        <f>T22-$T$7</f>
        <v>46089</v>
      </c>
      <c r="S22" s="45"/>
      <c r="T22" s="44">
        <f>V22-$V$7</f>
        <v>46096</v>
      </c>
      <c r="U22" s="45"/>
      <c r="V22" s="44">
        <f>X22-$X$7</f>
        <v>46103</v>
      </c>
      <c r="W22" s="45"/>
      <c r="X22" s="44">
        <f t="shared" ref="X22:X25" si="6">AN22</f>
        <v>46108</v>
      </c>
      <c r="Y22" s="45"/>
      <c r="Z22" s="46">
        <f>X22+$Z$7</f>
        <v>46118</v>
      </c>
      <c r="AA22" s="45"/>
      <c r="AB22" s="32">
        <f>IF(AV22="10. Issued to Contractor","-",IF(AV22="11. Subcontract Agreement signed","-",MAX(AN22,AR22)-$C$6))</f>
        <v>-4</v>
      </c>
      <c r="AC22" s="16"/>
      <c r="AD22" s="131">
        <f t="shared" ref="AD22:AD25" si="7">SUM($H$7:$Y$7)</f>
        <v>95</v>
      </c>
      <c r="AE22" s="16"/>
      <c r="AF22" s="96">
        <v>140228873</v>
      </c>
      <c r="AG22" s="72"/>
      <c r="AH22" s="72">
        <v>132000000</v>
      </c>
      <c r="AI22" s="72"/>
      <c r="AJ22" s="73" t="str">
        <f>IF(AI22&gt;0,SUM(AH22)-SUM(AI22),"")</f>
        <v/>
      </c>
      <c r="AK22" s="101"/>
      <c r="AL22" s="48"/>
      <c r="AM22" s="104">
        <v>240</v>
      </c>
      <c r="AN22" s="74">
        <f>$M$3+AM22-1</f>
        <v>46108</v>
      </c>
      <c r="AO22" s="108">
        <f>AN22-AU22</f>
        <v>-83</v>
      </c>
      <c r="AP22" s="48"/>
      <c r="AQ22" s="110"/>
      <c r="AR22" s="75">
        <f>IFERROR(WORKDAY.INTL(AN22,AQ22,11),"")</f>
        <v>46108</v>
      </c>
      <c r="AS22" s="108">
        <f>AR22-AU22</f>
        <v>-83</v>
      </c>
      <c r="AT22" s="48"/>
      <c r="AU22" s="114">
        <f t="shared" ref="AU22:AU25" si="8">IF(Y22&gt;0,Y22,IFERROR(MAX(_xlfn.XLOOKUP($AV22,$H$8:$Z$8,$G22:$Y22),$C$6)+(AN22-_xlfn.XLOOKUP($AV22,$H$8:$Z$8,$F22:$X22))*AD22/SUM($H$7:$Y$7),$C$6+SUM(AD22)))</f>
        <v>46191</v>
      </c>
      <c r="AV22" s="120" t="str" cm="1">
        <f t="array" ref="AV22">IF(OR(G22&gt;$C$6,G22=""),$F$8,INDEX($E$8:$Z$8,MATCH(TRUE,(F22:AA22=""),0)))</f>
        <v>5. Initial submission</v>
      </c>
      <c r="AW22" s="117" t="b">
        <f>IF(AND(G22&gt;0,G22&lt;$C$6),TRUE,FALSE)</f>
        <v>1</v>
      </c>
      <c r="AX22" s="76" t="b">
        <f>IF(AND(I22&gt;0,I22&lt;$C$6),TRUE,FALSE)</f>
        <v>1</v>
      </c>
      <c r="AY22" s="76" t="b">
        <f>IF(AND(K22&gt;0,K22&lt;$C$6),TRUE,FALSE)</f>
        <v>1</v>
      </c>
      <c r="AZ22" s="76" t="b">
        <f>IF(AND(M22&gt;0,M22&lt;$C$6),TRUE,FALSE)</f>
        <v>1</v>
      </c>
      <c r="BA22" s="76" t="b">
        <f>IF(AND(O22&gt;0,O22&lt;$C$6),TRUE,FALSE)</f>
        <v>0</v>
      </c>
      <c r="BB22" s="76" t="b">
        <f>IF(AND(Q22&gt;0,Q22&lt;$C$6),TRUE,FALSE)</f>
        <v>0</v>
      </c>
      <c r="BC22" s="76" t="b">
        <f>IF(AND(S22&gt;0,S22&lt;$C$6),TRUE,FALSE)</f>
        <v>0</v>
      </c>
      <c r="BD22" s="76" t="b">
        <f>IF(AND(U22&gt;0,U22&lt;$C$6),TRUE,FALSE)</f>
        <v>0</v>
      </c>
      <c r="BE22" s="76" t="b">
        <f>IF(AND(W22&gt;0,W22&lt;$C$6),TRUE,FALSE)</f>
        <v>0</v>
      </c>
      <c r="BF22" s="76" t="b">
        <f>IF(AND(Y22&gt;0,Y22&lt;$C$6),TRUE,FALSE)</f>
        <v>0</v>
      </c>
      <c r="BG22" s="90" t="b">
        <f>IF(AND(AA22&gt;0,AA22&lt;$C$6),TRUE,FALSE)</f>
        <v>0</v>
      </c>
      <c r="BH22" s="146"/>
    </row>
    <row r="23" spans="1:60" ht="26.25" x14ac:dyDescent="0.25">
      <c r="A23" s="56" cm="1">
        <f t="array" ref="A23">SUMPRODUCT(($AV$10:$AV$38&lt;&gt;"")*(ROW($AV$10:$AV$38)&lt;=ROW()))</f>
        <v>10</v>
      </c>
      <c r="B23" s="57"/>
      <c r="C23" s="58" t="s">
        <v>433</v>
      </c>
      <c r="D23" s="93" t="s">
        <v>3</v>
      </c>
      <c r="E23" s="16"/>
      <c r="F23" s="29">
        <f>H23-$H$7</f>
        <v>46013</v>
      </c>
      <c r="G23" s="42">
        <v>45950</v>
      </c>
      <c r="H23" s="29">
        <f>J23-$J$7</f>
        <v>46020</v>
      </c>
      <c r="I23" s="42">
        <v>45953</v>
      </c>
      <c r="J23" s="29">
        <f>L23-$L$7</f>
        <v>46026</v>
      </c>
      <c r="K23" s="42">
        <v>45953</v>
      </c>
      <c r="L23" s="29">
        <f>N23-$N$7</f>
        <v>46029</v>
      </c>
      <c r="M23" s="42">
        <v>46011</v>
      </c>
      <c r="N23" s="29">
        <f>P23-$P$7</f>
        <v>46059</v>
      </c>
      <c r="O23" s="42"/>
      <c r="P23" s="29">
        <f>R23-$R$7</f>
        <v>46069</v>
      </c>
      <c r="Q23" s="42"/>
      <c r="R23" s="29">
        <f>T23-$T$7</f>
        <v>46089</v>
      </c>
      <c r="S23" s="42"/>
      <c r="T23" s="29">
        <f>V23-$V$7</f>
        <v>46096</v>
      </c>
      <c r="U23" s="42"/>
      <c r="V23" s="29">
        <f>X23-$X$7</f>
        <v>46103</v>
      </c>
      <c r="W23" s="42"/>
      <c r="X23" s="29">
        <f t="shared" si="6"/>
        <v>46108</v>
      </c>
      <c r="Y23" s="42"/>
      <c r="Z23" s="30">
        <f>X23+$Z$7</f>
        <v>46118</v>
      </c>
      <c r="AA23" s="42"/>
      <c r="AB23" s="31">
        <f>IF(AV23="10. Issued to Contractor","-",IF(AV23="11. Subcontract Agreement signed","-",MAX(AN23,AR23)-$C$6))</f>
        <v>-4</v>
      </c>
      <c r="AC23" s="16"/>
      <c r="AD23" s="131">
        <f t="shared" si="7"/>
        <v>95</v>
      </c>
      <c r="AE23" s="16"/>
      <c r="AF23" s="95" t="s">
        <v>430</v>
      </c>
      <c r="AG23" s="67"/>
      <c r="AH23" s="67" t="s">
        <v>430</v>
      </c>
      <c r="AI23" s="67"/>
      <c r="AJ23" s="68" t="str">
        <f>IF(AI23&gt;0,SUM(AH23)-SUM(AI23),"")</f>
        <v/>
      </c>
      <c r="AK23" s="102"/>
      <c r="AL23" s="48"/>
      <c r="AM23" s="105">
        <f>AM22</f>
        <v>240</v>
      </c>
      <c r="AN23" s="69">
        <f>$M$3+AM23-1</f>
        <v>46108</v>
      </c>
      <c r="AO23" s="107">
        <f t="shared" ref="AO23" si="9">AN23-AU23</f>
        <v>-83</v>
      </c>
      <c r="AP23" s="48"/>
      <c r="AQ23" s="111"/>
      <c r="AR23" s="70">
        <f t="shared" ref="AR23" si="10">IFERROR(WORKDAY.INTL(AN23,AQ23,11),"")</f>
        <v>46108</v>
      </c>
      <c r="AS23" s="107">
        <f t="shared" ref="AS23" si="11">AR23-AU23</f>
        <v>-83</v>
      </c>
      <c r="AT23" s="48"/>
      <c r="AU23" s="113">
        <f t="shared" si="8"/>
        <v>46191</v>
      </c>
      <c r="AV23" s="119" t="str" cm="1">
        <f t="array" ref="AV23">IF(OR(G23&gt;$C$6,G23=""),$F$8,INDEX($E$8:$Z$8,MATCH(TRUE,(F23:AA23=""),0)))</f>
        <v>5. Initial submission</v>
      </c>
      <c r="AW23" s="116" t="b">
        <f>IF(AND(G23&gt;0,G23&lt;$C$6),TRUE,FALSE)</f>
        <v>1</v>
      </c>
      <c r="AX23" s="71" t="b">
        <f>IF(AND(I23&gt;0,I23&lt;$C$6),TRUE,FALSE)</f>
        <v>1</v>
      </c>
      <c r="AY23" s="71" t="b">
        <f>IF(AND(K23&gt;0,K23&lt;$C$6),TRUE,FALSE)</f>
        <v>1</v>
      </c>
      <c r="AZ23" s="71" t="b">
        <f>IF(AND(M23&gt;0,M23&lt;$C$6),TRUE,FALSE)</f>
        <v>1</v>
      </c>
      <c r="BA23" s="71" t="b">
        <f>IF(AND(O23&gt;0,O23&lt;$C$6),TRUE,FALSE)</f>
        <v>0</v>
      </c>
      <c r="BB23" s="71" t="b">
        <f>IF(AND(Q23&gt;0,Q23&lt;$C$6),TRUE,FALSE)</f>
        <v>0</v>
      </c>
      <c r="BC23" s="71" t="b">
        <f>IF(AND(S23&gt;0,S23&lt;$C$6),TRUE,FALSE)</f>
        <v>0</v>
      </c>
      <c r="BD23" s="71" t="b">
        <f>IF(AND(U23&gt;0,U23&lt;$C$6),TRUE,FALSE)</f>
        <v>0</v>
      </c>
      <c r="BE23" s="71" t="b">
        <f>IF(AND(W23&gt;0,W23&lt;$C$6),TRUE,FALSE)</f>
        <v>0</v>
      </c>
      <c r="BF23" s="71" t="b">
        <f>IF(AND(Y23&gt;0,Y23&lt;$C$6),TRUE,FALSE)</f>
        <v>0</v>
      </c>
      <c r="BG23" s="89" t="b">
        <f>IF(AND(AA23&gt;0,AA23&lt;$C$6),TRUE,FALSE)</f>
        <v>0</v>
      </c>
      <c r="BH23" s="146"/>
    </row>
    <row r="24" spans="1:60" ht="26.25" x14ac:dyDescent="0.25">
      <c r="A24" s="56" cm="1">
        <f t="array" ref="A24">SUMPRODUCT(($AV$10:$AV$38&lt;&gt;"")*(ROW($AV$10:$AV$38)&lt;=ROW()))</f>
        <v>11</v>
      </c>
      <c r="B24" s="59"/>
      <c r="C24" s="60" t="s">
        <v>276</v>
      </c>
      <c r="D24" s="59" t="s">
        <v>3</v>
      </c>
      <c r="E24" s="43"/>
      <c r="F24" s="44">
        <f>H24-$H$7</f>
        <v>46013</v>
      </c>
      <c r="G24" s="45">
        <v>45950</v>
      </c>
      <c r="H24" s="44">
        <f>J24-$J$7</f>
        <v>46020</v>
      </c>
      <c r="I24" s="45">
        <v>45953</v>
      </c>
      <c r="J24" s="44">
        <f>L24-$L$7</f>
        <v>46026</v>
      </c>
      <c r="K24" s="45">
        <v>45953</v>
      </c>
      <c r="L24" s="44">
        <f>N24-$N$7</f>
        <v>46029</v>
      </c>
      <c r="M24" s="45">
        <v>46011</v>
      </c>
      <c r="N24" s="44">
        <f>P24-$P$7</f>
        <v>46059</v>
      </c>
      <c r="O24" s="45"/>
      <c r="P24" s="44">
        <f>R24-$R$7</f>
        <v>46069</v>
      </c>
      <c r="Q24" s="45"/>
      <c r="R24" s="44">
        <f>T24-$T$7</f>
        <v>46089</v>
      </c>
      <c r="S24" s="45"/>
      <c r="T24" s="44">
        <f>V24-$V$7</f>
        <v>46096</v>
      </c>
      <c r="U24" s="45"/>
      <c r="V24" s="44">
        <f>X24-$X$7</f>
        <v>46103</v>
      </c>
      <c r="W24" s="45"/>
      <c r="X24" s="44">
        <f t="shared" si="6"/>
        <v>46108</v>
      </c>
      <c r="Y24" s="45"/>
      <c r="Z24" s="46">
        <f>X24+$Z$7</f>
        <v>46118</v>
      </c>
      <c r="AA24" s="45"/>
      <c r="AB24" s="32">
        <f>IF(AV24="10. Issued to Contractor","-",IF(AV24="11. Subcontract Agreement signed","-",MAX(AN24,AR24)-$C$6))</f>
        <v>-4</v>
      </c>
      <c r="AC24" s="16"/>
      <c r="AD24" s="131">
        <f t="shared" si="7"/>
        <v>95</v>
      </c>
      <c r="AE24" s="16"/>
      <c r="AF24" s="96">
        <v>102391194</v>
      </c>
      <c r="AG24" s="72"/>
      <c r="AH24" s="72">
        <v>49500000</v>
      </c>
      <c r="AI24" s="72"/>
      <c r="AJ24" s="73" t="str">
        <f>IF(AI24&gt;0,SUM(AH24)-SUM(AI24),"")</f>
        <v/>
      </c>
      <c r="AK24" s="101"/>
      <c r="AL24" s="48"/>
      <c r="AM24" s="104">
        <v>240</v>
      </c>
      <c r="AN24" s="74">
        <f>$M$3+AM24-1</f>
        <v>46108</v>
      </c>
      <c r="AO24" s="108">
        <f>AN24-AU24</f>
        <v>-83</v>
      </c>
      <c r="AP24" s="48"/>
      <c r="AQ24" s="110"/>
      <c r="AR24" s="75">
        <f>IFERROR(WORKDAY.INTL(AN24,AQ24,11),"")</f>
        <v>46108</v>
      </c>
      <c r="AS24" s="108">
        <f>AR24-AU24</f>
        <v>-83</v>
      </c>
      <c r="AT24" s="48"/>
      <c r="AU24" s="114">
        <f t="shared" si="8"/>
        <v>46191</v>
      </c>
      <c r="AV24" s="120" t="str" cm="1">
        <f t="array" ref="AV24">IF(OR(G24&gt;$C$6,G24=""),$F$8,INDEX($E$8:$Z$8,MATCH(TRUE,(F24:AA24=""),0)))</f>
        <v>5. Initial submission</v>
      </c>
      <c r="AW24" s="117" t="b">
        <f>IF(AND(G24&gt;0,G24&lt;$C$6),TRUE,FALSE)</f>
        <v>1</v>
      </c>
      <c r="AX24" s="76" t="b">
        <f>IF(AND(I24&gt;0,I24&lt;$C$6),TRUE,FALSE)</f>
        <v>1</v>
      </c>
      <c r="AY24" s="76" t="b">
        <f>IF(AND(K24&gt;0,K24&lt;$C$6),TRUE,FALSE)</f>
        <v>1</v>
      </c>
      <c r="AZ24" s="76" t="b">
        <f>IF(AND(M24&gt;0,M24&lt;$C$6),TRUE,FALSE)</f>
        <v>1</v>
      </c>
      <c r="BA24" s="76" t="b">
        <f>IF(AND(O24&gt;0,O24&lt;$C$6),TRUE,FALSE)</f>
        <v>0</v>
      </c>
      <c r="BB24" s="76" t="b">
        <f>IF(AND(Q24&gt;0,Q24&lt;$C$6),TRUE,FALSE)</f>
        <v>0</v>
      </c>
      <c r="BC24" s="76" t="b">
        <f>IF(AND(S24&gt;0,S24&lt;$C$6),TRUE,FALSE)</f>
        <v>0</v>
      </c>
      <c r="BD24" s="76" t="b">
        <f>IF(AND(U24&gt;0,U24&lt;$C$6),TRUE,FALSE)</f>
        <v>0</v>
      </c>
      <c r="BE24" s="76" t="b">
        <f>IF(AND(W24&gt;0,W24&lt;$C$6),TRUE,FALSE)</f>
        <v>0</v>
      </c>
      <c r="BF24" s="76" t="b">
        <f>IF(AND(Y24&gt;0,Y24&lt;$C$6),TRUE,FALSE)</f>
        <v>0</v>
      </c>
      <c r="BG24" s="90" t="b">
        <f>IF(AND(AA24&gt;0,AA24&lt;$C$6),TRUE,FALSE)</f>
        <v>0</v>
      </c>
      <c r="BH24" s="146"/>
    </row>
    <row r="25" spans="1:60" ht="26.25" x14ac:dyDescent="0.25">
      <c r="A25" s="56" cm="1">
        <f t="array" ref="A25">SUMPRODUCT(($AV$10:$AV$38&lt;&gt;"")*(ROW($AV$10:$AV$38)&lt;=ROW()))</f>
        <v>12</v>
      </c>
      <c r="B25" s="57"/>
      <c r="C25" s="58" t="s">
        <v>232</v>
      </c>
      <c r="D25" s="93" t="s">
        <v>3</v>
      </c>
      <c r="E25" s="16"/>
      <c r="F25" s="29">
        <f>H25-$H$7</f>
        <v>46013</v>
      </c>
      <c r="G25" s="42">
        <v>45950</v>
      </c>
      <c r="H25" s="29">
        <f>J25-$J$7</f>
        <v>46020</v>
      </c>
      <c r="I25" s="42">
        <v>45953</v>
      </c>
      <c r="J25" s="29">
        <f>L25-$L$7</f>
        <v>46026</v>
      </c>
      <c r="K25" s="42">
        <v>45953</v>
      </c>
      <c r="L25" s="29">
        <f>N25-$N$7</f>
        <v>46029</v>
      </c>
      <c r="M25" s="42">
        <v>46011</v>
      </c>
      <c r="N25" s="29">
        <f>P25-$P$7</f>
        <v>46059</v>
      </c>
      <c r="O25" s="42"/>
      <c r="P25" s="29">
        <f>R25-$R$7</f>
        <v>46069</v>
      </c>
      <c r="Q25" s="42"/>
      <c r="R25" s="29">
        <f>T25-$T$7</f>
        <v>46089</v>
      </c>
      <c r="S25" s="42"/>
      <c r="T25" s="29">
        <f>V25-$V$7</f>
        <v>46096</v>
      </c>
      <c r="U25" s="42"/>
      <c r="V25" s="29">
        <f>X25-$X$7</f>
        <v>46103</v>
      </c>
      <c r="W25" s="42"/>
      <c r="X25" s="29">
        <f t="shared" si="6"/>
        <v>46108</v>
      </c>
      <c r="Y25" s="42"/>
      <c r="Z25" s="30">
        <f>X25+$Z$7</f>
        <v>46118</v>
      </c>
      <c r="AA25" s="42"/>
      <c r="AB25" s="31">
        <f>IF(AV25="10. Issued to Contractor","-",IF(AV25="11. Subcontract Agreement signed","-",MAX(AN25,AR25)-$C$6))</f>
        <v>-4</v>
      </c>
      <c r="AC25" s="16"/>
      <c r="AD25" s="131">
        <f t="shared" si="7"/>
        <v>95</v>
      </c>
      <c r="AE25" s="16"/>
      <c r="AF25" s="95">
        <v>12057628</v>
      </c>
      <c r="AG25" s="67"/>
      <c r="AH25" s="67">
        <v>15400000</v>
      </c>
      <c r="AI25" s="67"/>
      <c r="AJ25" s="68" t="str">
        <f>IF(AI25&gt;0,SUM(AH25)-SUM(AI25),"")</f>
        <v/>
      </c>
      <c r="AK25" s="102"/>
      <c r="AL25" s="48"/>
      <c r="AM25" s="105">
        <v>240</v>
      </c>
      <c r="AN25" s="69">
        <f>$M$3+AM25-1</f>
        <v>46108</v>
      </c>
      <c r="AO25" s="107">
        <f>AN25-AU25</f>
        <v>-83</v>
      </c>
      <c r="AP25" s="48"/>
      <c r="AQ25" s="111"/>
      <c r="AR25" s="70">
        <f>IFERROR(WORKDAY.INTL(AN25,AQ25,11),"")</f>
        <v>46108</v>
      </c>
      <c r="AS25" s="107">
        <f>AR25-AU25</f>
        <v>-83</v>
      </c>
      <c r="AT25" s="48"/>
      <c r="AU25" s="113">
        <f t="shared" si="8"/>
        <v>46191</v>
      </c>
      <c r="AV25" s="119" t="str" cm="1">
        <f t="array" ref="AV25">IF(OR(G25&gt;$C$6,G25=""),$F$8,INDEX($E$8:$Z$8,MATCH(TRUE,(F25:AA25=""),0)))</f>
        <v>5. Initial submission</v>
      </c>
      <c r="AW25" s="116" t="b">
        <f>IF(AND(G25&gt;0,G25&lt;$C$6),TRUE,FALSE)</f>
        <v>1</v>
      </c>
      <c r="AX25" s="71" t="b">
        <f>IF(AND(I25&gt;0,I25&lt;$C$6),TRUE,FALSE)</f>
        <v>1</v>
      </c>
      <c r="AY25" s="71" t="b">
        <f>IF(AND(K25&gt;0,K25&lt;$C$6),TRUE,FALSE)</f>
        <v>1</v>
      </c>
      <c r="AZ25" s="71" t="b">
        <f>IF(AND(M25&gt;0,M25&lt;$C$6),TRUE,FALSE)</f>
        <v>1</v>
      </c>
      <c r="BA25" s="71" t="b">
        <f>IF(AND(O25&gt;0,O25&lt;$C$6),TRUE,FALSE)</f>
        <v>0</v>
      </c>
      <c r="BB25" s="71" t="b">
        <f>IF(AND(Q25&gt;0,Q25&lt;$C$6),TRUE,FALSE)</f>
        <v>0</v>
      </c>
      <c r="BC25" s="71" t="b">
        <f>IF(AND(S25&gt;0,S25&lt;$C$6),TRUE,FALSE)</f>
        <v>0</v>
      </c>
      <c r="BD25" s="71" t="b">
        <f>IF(AND(U25&gt;0,U25&lt;$C$6),TRUE,FALSE)</f>
        <v>0</v>
      </c>
      <c r="BE25" s="71" t="b">
        <f>IF(AND(W25&gt;0,W25&lt;$C$6),TRUE,FALSE)</f>
        <v>0</v>
      </c>
      <c r="BF25" s="71" t="b">
        <f>IF(AND(Y25&gt;0,Y25&lt;$C$6),TRUE,FALSE)</f>
        <v>0</v>
      </c>
      <c r="BG25" s="89" t="b">
        <f>IF(AND(AA25&gt;0,AA25&lt;$C$6),TRUE,FALSE)</f>
        <v>0</v>
      </c>
      <c r="BH25" s="146"/>
    </row>
    <row r="26" spans="1:60" ht="23.25" x14ac:dyDescent="0.25">
      <c r="A26" s="54"/>
      <c r="B26" s="49"/>
      <c r="C26" s="50" t="s">
        <v>137</v>
      </c>
      <c r="D26" s="51"/>
      <c r="E26" s="51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1"/>
      <c r="AC26" s="51"/>
      <c r="AD26" s="132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1"/>
      <c r="BE26" s="51"/>
      <c r="BF26" s="51"/>
      <c r="BG26" s="88"/>
      <c r="BH26" s="146"/>
    </row>
    <row r="27" spans="1:60" ht="26.25" x14ac:dyDescent="0.25">
      <c r="A27" s="56" cm="1">
        <f t="array" ref="A27">SUMPRODUCT(($AV$10:$AV$38&lt;&gt;"")*(ROW($AV$10:$AV$38)&lt;=ROW()))</f>
        <v>13</v>
      </c>
      <c r="B27" s="59"/>
      <c r="C27" s="60" t="s">
        <v>382</v>
      </c>
      <c r="D27" s="59" t="s">
        <v>11</v>
      </c>
      <c r="E27" s="43"/>
      <c r="F27" s="44">
        <f t="shared" ref="F27" si="12">H27-$H$7</f>
        <v>45953</v>
      </c>
      <c r="G27" s="45">
        <v>45875</v>
      </c>
      <c r="H27" s="44">
        <f t="shared" ref="H27" si="13">J27-$J$7</f>
        <v>45960</v>
      </c>
      <c r="I27" s="45">
        <v>45883</v>
      </c>
      <c r="J27" s="44">
        <f t="shared" ref="J27" si="14">L27-$L$7</f>
        <v>45966</v>
      </c>
      <c r="K27" s="45">
        <v>45863</v>
      </c>
      <c r="L27" s="44">
        <f t="shared" ref="L27" si="15">N27-$N$7</f>
        <v>45969</v>
      </c>
      <c r="M27" s="45">
        <v>45883</v>
      </c>
      <c r="N27" s="44">
        <f t="shared" ref="N27" si="16">P27-$P$7</f>
        <v>45999</v>
      </c>
      <c r="O27" s="45"/>
      <c r="P27" s="44">
        <f t="shared" ref="P27" si="17">R27-$R$7</f>
        <v>46009</v>
      </c>
      <c r="Q27" s="45"/>
      <c r="R27" s="44">
        <f t="shared" ref="R27" si="18">T27-$T$7</f>
        <v>46029</v>
      </c>
      <c r="S27" s="45"/>
      <c r="T27" s="44">
        <f t="shared" ref="T27" si="19">V27-$V$7</f>
        <v>46036</v>
      </c>
      <c r="U27" s="45"/>
      <c r="V27" s="44">
        <f t="shared" ref="V27" si="20">X27-$X$7</f>
        <v>46043</v>
      </c>
      <c r="W27" s="45"/>
      <c r="X27" s="44">
        <f t="shared" ref="X27" si="21">AN27</f>
        <v>46048</v>
      </c>
      <c r="Y27" s="45"/>
      <c r="Z27" s="46">
        <f t="shared" ref="Z27" si="22">X27+$Z$7</f>
        <v>46058</v>
      </c>
      <c r="AA27" s="45"/>
      <c r="AB27" s="32">
        <f t="shared" ref="AB27" si="23">IF(AV27="10. Issued to Contractor","-",IF(AV27="11. Subcontract Agreement signed","-",MAX(AN27,AR27)-$C$6))</f>
        <v>-64</v>
      </c>
      <c r="AC27" s="16"/>
      <c r="AD27" s="131">
        <f t="shared" ref="AD27" si="24">SUM($H$7:$Y$7)</f>
        <v>95</v>
      </c>
      <c r="AE27" s="16"/>
      <c r="AF27" s="96">
        <v>143788079</v>
      </c>
      <c r="AG27" s="72"/>
      <c r="AH27" s="72">
        <v>126500000</v>
      </c>
      <c r="AI27" s="72"/>
      <c r="AJ27" s="73" t="str">
        <f>IF(AI27&gt;0,SUM(AH27)-SUM(AI27),"")</f>
        <v/>
      </c>
      <c r="AK27" s="101"/>
      <c r="AL27" s="48"/>
      <c r="AM27" s="104">
        <v>180</v>
      </c>
      <c r="AN27" s="74">
        <f t="shared" ref="AN27" si="25">$M$3+AM27-1</f>
        <v>46048</v>
      </c>
      <c r="AO27" s="108">
        <f t="shared" ref="AO27" si="26">AN27-AU27</f>
        <v>-143</v>
      </c>
      <c r="AP27" s="48"/>
      <c r="AQ27" s="110"/>
      <c r="AR27" s="75">
        <f t="shared" ref="AR27" si="27">IFERROR(WORKDAY.INTL(AN27,AQ27,11),"")</f>
        <v>46048</v>
      </c>
      <c r="AS27" s="108">
        <f t="shared" ref="AS27" si="28">AR27-AU27</f>
        <v>-143</v>
      </c>
      <c r="AT27" s="48"/>
      <c r="AU27" s="114">
        <f t="shared" ref="AU27" si="29">IF(Y27&gt;0,Y27,IFERROR(MAX(_xlfn.XLOOKUP($AV27,$H$8:$Z$8,$G27:$Y27),$C$6)+(AN27-_xlfn.XLOOKUP($AV27,$H$8:$Z$8,$F27:$X27))*AD27/SUM($H$7:$Y$7),$C$6+SUM(AD27)))</f>
        <v>46191</v>
      </c>
      <c r="AV27" s="120" t="str" cm="1">
        <f t="array" ref="AV27">IF(OR(G27&gt;$C$6,G27=""),$F$8,INDEX($E$8:$Z$8,MATCH(TRUE,(F27:AA27=""),0)))</f>
        <v>5. Initial submission</v>
      </c>
      <c r="AW27" s="117" t="b">
        <f t="shared" ref="AW27" si="30">IF(AND(G27&gt;0,G27&lt;$C$6),TRUE,FALSE)</f>
        <v>1</v>
      </c>
      <c r="AX27" s="76" t="b">
        <f t="shared" ref="AX27" si="31">IF(AND(I27&gt;0,I27&lt;$C$6),TRUE,FALSE)</f>
        <v>1</v>
      </c>
      <c r="AY27" s="76" t="b">
        <f t="shared" ref="AY27" si="32">IF(AND(K27&gt;0,K27&lt;$C$6),TRUE,FALSE)</f>
        <v>1</v>
      </c>
      <c r="AZ27" s="76" t="b">
        <f t="shared" ref="AZ27" si="33">IF(AND(M27&gt;0,M27&lt;$C$6),TRUE,FALSE)</f>
        <v>1</v>
      </c>
      <c r="BA27" s="76" t="b">
        <f t="shared" ref="BA27" si="34">IF(AND(O27&gt;0,O27&lt;$C$6),TRUE,FALSE)</f>
        <v>0</v>
      </c>
      <c r="BB27" s="76" t="b">
        <f t="shared" ref="BB27" si="35">IF(AND(Q27&gt;0,Q27&lt;$C$6),TRUE,FALSE)</f>
        <v>0</v>
      </c>
      <c r="BC27" s="76" t="b">
        <f t="shared" ref="BC27" si="36">IF(AND(S27&gt;0,S27&lt;$C$6),TRUE,FALSE)</f>
        <v>0</v>
      </c>
      <c r="BD27" s="76" t="b">
        <f t="shared" ref="BD27" si="37">IF(AND(U27&gt;0,U27&lt;$C$6),TRUE,FALSE)</f>
        <v>0</v>
      </c>
      <c r="BE27" s="76" t="b">
        <f t="shared" ref="BE27" si="38">IF(AND(W27&gt;0,W27&lt;$C$6),TRUE,FALSE)</f>
        <v>0</v>
      </c>
      <c r="BF27" s="76" t="b">
        <f t="shared" ref="BF27" si="39">IF(AND(Y27&gt;0,Y27&lt;$C$6),TRUE,FALSE)</f>
        <v>0</v>
      </c>
      <c r="BG27" s="90" t="b">
        <f t="shared" ref="BG27" si="40">IF(AND(AA27&gt;0,AA27&lt;$C$6),TRUE,FALSE)</f>
        <v>0</v>
      </c>
      <c r="BH27" s="146"/>
    </row>
    <row r="28" spans="1:60" ht="23.25" x14ac:dyDescent="0.25">
      <c r="A28" s="54"/>
      <c r="B28" s="49"/>
      <c r="C28" s="50" t="s">
        <v>156</v>
      </c>
      <c r="D28" s="51"/>
      <c r="E28" s="51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1"/>
      <c r="AC28" s="51"/>
      <c r="AD28" s="132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51"/>
      <c r="BD28" s="51"/>
      <c r="BE28" s="51"/>
      <c r="BF28" s="51"/>
      <c r="BG28" s="88"/>
      <c r="BH28" s="146"/>
    </row>
    <row r="29" spans="1:60" ht="26.25" x14ac:dyDescent="0.25">
      <c r="A29" s="56" cm="1">
        <f t="array" ref="A29">SUMPRODUCT(($AV$10:$AV$38&lt;&gt;"")*(ROW($AV$10:$AV$38)&lt;=ROW()))</f>
        <v>14</v>
      </c>
      <c r="B29" s="59"/>
      <c r="C29" s="60" t="s">
        <v>210</v>
      </c>
      <c r="D29" s="59" t="s">
        <v>3</v>
      </c>
      <c r="E29" s="43"/>
      <c r="F29" s="44">
        <f>H29-$H$7</f>
        <v>45863</v>
      </c>
      <c r="G29" s="45"/>
      <c r="H29" s="44">
        <f>J29-$J$7</f>
        <v>45870</v>
      </c>
      <c r="I29" s="45"/>
      <c r="J29" s="44">
        <f>L29-$L$7</f>
        <v>45876</v>
      </c>
      <c r="K29" s="45"/>
      <c r="L29" s="44">
        <f>N29-$N$7</f>
        <v>45879</v>
      </c>
      <c r="M29" s="45"/>
      <c r="N29" s="44">
        <f>P29-$P$7</f>
        <v>45909</v>
      </c>
      <c r="O29" s="45"/>
      <c r="P29" s="44">
        <f>R29-$R$7</f>
        <v>45919</v>
      </c>
      <c r="Q29" s="45"/>
      <c r="R29" s="44">
        <f>T29-$T$7</f>
        <v>45939</v>
      </c>
      <c r="S29" s="45"/>
      <c r="T29" s="44">
        <f>V29-$V$7</f>
        <v>45946</v>
      </c>
      <c r="U29" s="45"/>
      <c r="V29" s="44">
        <f>X29-$X$7</f>
        <v>45953</v>
      </c>
      <c r="W29" s="45"/>
      <c r="X29" s="44">
        <f t="shared" ref="X29:X30" si="41">AN29</f>
        <v>45958</v>
      </c>
      <c r="Y29" s="45"/>
      <c r="Z29" s="46">
        <f>X29+$Z$7</f>
        <v>45968</v>
      </c>
      <c r="AA29" s="45"/>
      <c r="AB29" s="32">
        <f>IF(AV29="10. Issued to Contractor","-",IF(AV29="11. Subcontract Agreement signed","-",MAX(AN29,AR29)-$C$6))</f>
        <v>-154</v>
      </c>
      <c r="AC29" s="16"/>
      <c r="AD29" s="131">
        <f t="shared" ref="AD29:AD30" si="42">SUM($H$7:$Y$7)</f>
        <v>95</v>
      </c>
      <c r="AE29" s="16"/>
      <c r="AF29" s="96">
        <v>15000000</v>
      </c>
      <c r="AG29" s="72"/>
      <c r="AH29" s="72"/>
      <c r="AI29" s="72"/>
      <c r="AJ29" s="73" t="str">
        <f>IF(AI29&gt;0,SUM(AH29)-SUM(AI29),"")</f>
        <v/>
      </c>
      <c r="AK29" s="101"/>
      <c r="AL29" s="48"/>
      <c r="AM29" s="104">
        <v>90</v>
      </c>
      <c r="AN29" s="74">
        <f>$M$3+AM29-1</f>
        <v>45958</v>
      </c>
      <c r="AO29" s="108">
        <f>AN29-AU29</f>
        <v>-249</v>
      </c>
      <c r="AP29" s="48"/>
      <c r="AQ29" s="110"/>
      <c r="AR29" s="75">
        <f>IFERROR(WORKDAY.INTL(AN29,AQ29,11),"")</f>
        <v>45958</v>
      </c>
      <c r="AS29" s="108">
        <f>AR29-AU29</f>
        <v>-249</v>
      </c>
      <c r="AT29" s="48"/>
      <c r="AU29" s="114">
        <f t="shared" ref="AU29:AU30" si="43">IF(Y29&gt;0,Y29,IFERROR(MAX(_xlfn.XLOOKUP($AV29,$H$8:$Z$8,$G29:$Y29),$C$6)+(AN29-_xlfn.XLOOKUP($AV29,$H$8:$Z$8,$F29:$X29))*AD29/SUM($H$7:$Y$7),$C$6+SUM(AD29)))</f>
        <v>46207</v>
      </c>
      <c r="AV29" s="120" t="str" cm="1">
        <f t="array" ref="AV29">IF(OR(G29&gt;$C$6,G29=""),$F$8,INDEX($E$8:$Z$8,MATCH(TRUE,(F29:AA29=""),0)))</f>
        <v>1. Tender Docs &amp; BOQ</v>
      </c>
      <c r="AW29" s="117" t="b">
        <f>IF(AND(G29&gt;0,G29&lt;$C$6),TRUE,FALSE)</f>
        <v>0</v>
      </c>
      <c r="AX29" s="76" t="b">
        <f>IF(AND(I29&gt;0,I29&lt;$C$6),TRUE,FALSE)</f>
        <v>0</v>
      </c>
      <c r="AY29" s="76" t="b">
        <f>IF(AND(K29&gt;0,K29&lt;$C$6),TRUE,FALSE)</f>
        <v>0</v>
      </c>
      <c r="AZ29" s="76" t="b">
        <f>IF(AND(M29&gt;0,M29&lt;$C$6),TRUE,FALSE)</f>
        <v>0</v>
      </c>
      <c r="BA29" s="76" t="b">
        <f>IF(AND(O29&gt;0,O29&lt;$C$6),TRUE,FALSE)</f>
        <v>0</v>
      </c>
      <c r="BB29" s="76" t="b">
        <f>IF(AND(Q29&gt;0,Q29&lt;$C$6),TRUE,FALSE)</f>
        <v>0</v>
      </c>
      <c r="BC29" s="76" t="b">
        <f>IF(AND(S29&gt;0,S29&lt;$C$6),TRUE,FALSE)</f>
        <v>0</v>
      </c>
      <c r="BD29" s="76" t="b">
        <f>IF(AND(U29&gt;0,U29&lt;$C$6),TRUE,FALSE)</f>
        <v>0</v>
      </c>
      <c r="BE29" s="76" t="b">
        <f>IF(AND(W29&gt;0,W29&lt;$C$6),TRUE,FALSE)</f>
        <v>0</v>
      </c>
      <c r="BF29" s="76" t="b">
        <f>IF(AND(Y29&gt;0,Y29&lt;$C$6),TRUE,FALSE)</f>
        <v>0</v>
      </c>
      <c r="BG29" s="90" t="b">
        <f>IF(AND(AA29&gt;0,AA29&lt;$C$6),TRUE,FALSE)</f>
        <v>0</v>
      </c>
      <c r="BH29" s="146"/>
    </row>
    <row r="30" spans="1:60" ht="26.25" x14ac:dyDescent="0.25">
      <c r="A30" s="56" cm="1">
        <f t="array" ref="A30">SUMPRODUCT(($AV$10:$AV$38&lt;&gt;"")*(ROW($AV$10:$AV$38)&lt;=ROW()))</f>
        <v>15</v>
      </c>
      <c r="B30" s="57"/>
      <c r="C30" s="58" t="s">
        <v>434</v>
      </c>
      <c r="D30" s="93" t="s">
        <v>13</v>
      </c>
      <c r="E30" s="16"/>
      <c r="F30" s="29">
        <f>H30-$H$7</f>
        <v>46138</v>
      </c>
      <c r="G30" s="42"/>
      <c r="H30" s="29">
        <f>J30-$J$7</f>
        <v>46145</v>
      </c>
      <c r="I30" s="42"/>
      <c r="J30" s="29">
        <f>L30-$L$7</f>
        <v>46151</v>
      </c>
      <c r="K30" s="42"/>
      <c r="L30" s="29">
        <f>N30-$N$7</f>
        <v>46154</v>
      </c>
      <c r="M30" s="42"/>
      <c r="N30" s="29">
        <f>P30-$P$7</f>
        <v>46184</v>
      </c>
      <c r="O30" s="42"/>
      <c r="P30" s="29">
        <f>R30-$R$7</f>
        <v>46194</v>
      </c>
      <c r="Q30" s="42"/>
      <c r="R30" s="29">
        <f>T30-$T$7</f>
        <v>46214</v>
      </c>
      <c r="S30" s="42"/>
      <c r="T30" s="29">
        <f>V30-$V$7</f>
        <v>46221</v>
      </c>
      <c r="U30" s="42"/>
      <c r="V30" s="29">
        <f>X30-$X$7</f>
        <v>46228</v>
      </c>
      <c r="W30" s="42"/>
      <c r="X30" s="29">
        <f t="shared" si="41"/>
        <v>46233</v>
      </c>
      <c r="Y30" s="42"/>
      <c r="Z30" s="30">
        <f>X30+$Z$7</f>
        <v>46243</v>
      </c>
      <c r="AA30" s="42"/>
      <c r="AB30" s="31">
        <f>IF(AV30="10. Issued to Contractor","-",IF(AV30="11. Subcontract Agreement signed","-",MAX(AN30,AR30)-$C$6))</f>
        <v>121</v>
      </c>
      <c r="AC30" s="16"/>
      <c r="AD30" s="131">
        <f t="shared" si="42"/>
        <v>95</v>
      </c>
      <c r="AE30" s="16"/>
      <c r="AF30" s="95" t="s">
        <v>435</v>
      </c>
      <c r="AG30" s="67"/>
      <c r="AH30" s="67">
        <v>2200000</v>
      </c>
      <c r="AI30" s="67"/>
      <c r="AJ30" s="68" t="str">
        <f>IF(AI30&gt;0,SUM(AH30)-SUM(AI30),"")</f>
        <v/>
      </c>
      <c r="AK30" s="102"/>
      <c r="AL30" s="48"/>
      <c r="AM30" s="105">
        <v>365</v>
      </c>
      <c r="AN30" s="69">
        <f>$M$3+AM30-1</f>
        <v>46233</v>
      </c>
      <c r="AO30" s="107">
        <f>AN30-AU30</f>
        <v>26</v>
      </c>
      <c r="AP30" s="48"/>
      <c r="AQ30" s="111"/>
      <c r="AR30" s="70">
        <f>IFERROR(WORKDAY.INTL(AN30,AQ30,11),"")</f>
        <v>46233</v>
      </c>
      <c r="AS30" s="107">
        <f>AR30-AU30</f>
        <v>26</v>
      </c>
      <c r="AT30" s="48"/>
      <c r="AU30" s="113">
        <f t="shared" si="43"/>
        <v>46207</v>
      </c>
      <c r="AV30" s="119" t="str" cm="1">
        <f t="array" ref="AV30">IF(OR(G30&gt;$C$6,G30=""),$F$8,INDEX($E$8:$Z$8,MATCH(TRUE,(F30:AA30=""),0)))</f>
        <v>1. Tender Docs &amp; BOQ</v>
      </c>
      <c r="AW30" s="116" t="b">
        <f>IF(AND(G30&gt;0,G30&lt;$C$6),TRUE,FALSE)</f>
        <v>0</v>
      </c>
      <c r="AX30" s="71" t="b">
        <f>IF(AND(I30&gt;0,I30&lt;$C$6),TRUE,FALSE)</f>
        <v>0</v>
      </c>
      <c r="AY30" s="71" t="b">
        <f>IF(AND(K30&gt;0,K30&lt;$C$6),TRUE,FALSE)</f>
        <v>0</v>
      </c>
      <c r="AZ30" s="71" t="b">
        <f>IF(AND(M30&gt;0,M30&lt;$C$6),TRUE,FALSE)</f>
        <v>0</v>
      </c>
      <c r="BA30" s="71" t="b">
        <f>IF(AND(O30&gt;0,O30&lt;$C$6),TRUE,FALSE)</f>
        <v>0</v>
      </c>
      <c r="BB30" s="71" t="b">
        <f>IF(AND(Q30&gt;0,Q30&lt;$C$6),TRUE,FALSE)</f>
        <v>0</v>
      </c>
      <c r="BC30" s="71" t="b">
        <f>IF(AND(S30&gt;0,S30&lt;$C$6),TRUE,FALSE)</f>
        <v>0</v>
      </c>
      <c r="BD30" s="71" t="b">
        <f>IF(AND(U30&gt;0,U30&lt;$C$6),TRUE,FALSE)</f>
        <v>0</v>
      </c>
      <c r="BE30" s="71" t="b">
        <f>IF(AND(W30&gt;0,W30&lt;$C$6),TRUE,FALSE)</f>
        <v>0</v>
      </c>
      <c r="BF30" s="71" t="b">
        <f>IF(AND(Y30&gt;0,Y30&lt;$C$6),TRUE,FALSE)</f>
        <v>0</v>
      </c>
      <c r="BG30" s="89" t="b">
        <f>IF(AND(AA30&gt;0,AA30&lt;$C$6),TRUE,FALSE)</f>
        <v>0</v>
      </c>
      <c r="BH30" s="146"/>
    </row>
    <row r="31" spans="1:60" ht="23.25" x14ac:dyDescent="0.25">
      <c r="A31" s="54"/>
      <c r="B31" s="49"/>
      <c r="C31" s="50" t="s">
        <v>163</v>
      </c>
      <c r="D31" s="51"/>
      <c r="E31" s="51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1"/>
      <c r="AC31" s="51"/>
      <c r="AD31" s="132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51"/>
      <c r="BD31" s="51"/>
      <c r="BE31" s="51"/>
      <c r="BF31" s="51"/>
      <c r="BG31" s="88"/>
      <c r="BH31" s="146"/>
    </row>
    <row r="32" spans="1:60" ht="26.25" x14ac:dyDescent="0.25">
      <c r="A32" s="56" cm="1">
        <f t="array" ref="A32">SUMPRODUCT(($AV$10:$AV$38&lt;&gt;"")*(ROW($AV$10:$AV$38)&lt;=ROW()))</f>
        <v>16</v>
      </c>
      <c r="B32" s="59"/>
      <c r="C32" s="60" t="s">
        <v>212</v>
      </c>
      <c r="D32" s="59" t="s">
        <v>107</v>
      </c>
      <c r="E32" s="43"/>
      <c r="F32" s="44">
        <f t="shared" ref="F32:F38" si="44">H32-$H$7</f>
        <v>45833</v>
      </c>
      <c r="G32" s="45">
        <v>45818</v>
      </c>
      <c r="H32" s="44">
        <f t="shared" ref="H32:H38" si="45">J32-$J$7</f>
        <v>45840</v>
      </c>
      <c r="I32" s="45">
        <v>45822</v>
      </c>
      <c r="J32" s="44">
        <f t="shared" ref="J32:J38" si="46">L32-$L$7</f>
        <v>45846</v>
      </c>
      <c r="K32" s="45">
        <v>45832</v>
      </c>
      <c r="L32" s="44">
        <f t="shared" ref="L32:L38" si="47">N32-$N$7</f>
        <v>45849</v>
      </c>
      <c r="M32" s="45">
        <v>45838</v>
      </c>
      <c r="N32" s="44">
        <f t="shared" ref="N32:N38" si="48">P32-$P$7</f>
        <v>45879</v>
      </c>
      <c r="O32" s="45">
        <v>45838</v>
      </c>
      <c r="P32" s="44">
        <f t="shared" ref="P32:P38" si="49">R32-$R$7</f>
        <v>45889</v>
      </c>
      <c r="Q32" s="45">
        <v>45838</v>
      </c>
      <c r="R32" s="44">
        <f t="shared" ref="R32:R38" si="50">T32-$T$7</f>
        <v>45909</v>
      </c>
      <c r="S32" s="45">
        <v>45848</v>
      </c>
      <c r="T32" s="44">
        <f t="shared" ref="T32:T38" si="51">V32-$V$7</f>
        <v>45916</v>
      </c>
      <c r="U32" s="45">
        <v>45888</v>
      </c>
      <c r="V32" s="44">
        <f t="shared" ref="V32:V38" si="52">X32-$X$7</f>
        <v>45923</v>
      </c>
      <c r="W32" s="45">
        <v>45904</v>
      </c>
      <c r="X32" s="44">
        <f t="shared" ref="X32:X38" si="53">AN32</f>
        <v>45928</v>
      </c>
      <c r="Y32" s="45">
        <v>45924</v>
      </c>
      <c r="Z32" s="46">
        <f t="shared" ref="Z32:Z38" si="54">X32+$Z$7</f>
        <v>45938</v>
      </c>
      <c r="AA32" s="45"/>
      <c r="AB32" s="32" t="str">
        <f t="shared" ref="AB32:AB38" si="55">IF(AV32="10. Issued to Contractor","-",IF(AV32="11. Subcontract Agreement signed","-",MAX(AN32,AR32)-$C$6))</f>
        <v>-</v>
      </c>
      <c r="AC32" s="16"/>
      <c r="AD32" s="131">
        <f t="shared" ref="AD32:AD38" si="56">SUM($H$7:$Y$7)</f>
        <v>95</v>
      </c>
      <c r="AE32" s="16"/>
      <c r="AF32" s="96">
        <v>25962737</v>
      </c>
      <c r="AG32" s="72"/>
      <c r="AH32" s="72">
        <v>19980000</v>
      </c>
      <c r="AI32" s="72">
        <v>18522000</v>
      </c>
      <c r="AJ32" s="73">
        <f t="shared" ref="AJ32:AJ38" si="57">IF(AI32&gt;0,SUM(AH32)-SUM(AI32),"")</f>
        <v>1458000</v>
      </c>
      <c r="AK32" s="101" t="s">
        <v>436</v>
      </c>
      <c r="AL32" s="48"/>
      <c r="AM32" s="104">
        <v>60</v>
      </c>
      <c r="AN32" s="74">
        <f t="shared" ref="AN32:AN38" si="58">$M$3+AM32-1</f>
        <v>45928</v>
      </c>
      <c r="AO32" s="108">
        <f t="shared" ref="AO32:AO34" si="59">AN32-AU32</f>
        <v>4</v>
      </c>
      <c r="AP32" s="48"/>
      <c r="AQ32" s="110"/>
      <c r="AR32" s="75">
        <f t="shared" ref="AR32:AR34" si="60">IFERROR(WORKDAY.INTL(AN32,AQ32,11),"")</f>
        <v>45928</v>
      </c>
      <c r="AS32" s="108">
        <f t="shared" ref="AS32:AS34" si="61">AR32-AU32</f>
        <v>4</v>
      </c>
      <c r="AT32" s="48"/>
      <c r="AU32" s="114">
        <f t="shared" ref="AU32:AU38" si="62">IF(Y32&gt;0,Y32,IFERROR(MAX(_xlfn.XLOOKUP($AV32,$H$8:$Z$8,$G32:$Y32),$C$6)+(AN32-_xlfn.XLOOKUP($AV32,$H$8:$Z$8,$F32:$X32))*AD32/SUM($H$7:$Y$7),$C$6+SUM(AD32)))</f>
        <v>45924</v>
      </c>
      <c r="AV32" s="120" t="str" cm="1">
        <f t="array" ref="AV32">IF(OR(G32&gt;$C$6,G32=""),$F$8,INDEX($E$8:$Z$8,MATCH(TRUE,(F32:AA32=""),0)))</f>
        <v>11. Subcontract Agreement signed</v>
      </c>
      <c r="AW32" s="117" t="b">
        <f t="shared" ref="AW32:AW38" si="63">IF(AND(G32&gt;0,G32&lt;$C$6),TRUE,FALSE)</f>
        <v>1</v>
      </c>
      <c r="AX32" s="76" t="b">
        <f t="shared" ref="AX32:AX38" si="64">IF(AND(I32&gt;0,I32&lt;$C$6),TRUE,FALSE)</f>
        <v>1</v>
      </c>
      <c r="AY32" s="76" t="b">
        <f t="shared" ref="AY32:AY38" si="65">IF(AND(K32&gt;0,K32&lt;$C$6),TRUE,FALSE)</f>
        <v>1</v>
      </c>
      <c r="AZ32" s="76" t="b">
        <f t="shared" ref="AZ32:AZ38" si="66">IF(AND(M32&gt;0,M32&lt;$C$6),TRUE,FALSE)</f>
        <v>1</v>
      </c>
      <c r="BA32" s="76" t="b">
        <f t="shared" ref="BA32:BA38" si="67">IF(AND(O32&gt;0,O32&lt;$C$6),TRUE,FALSE)</f>
        <v>1</v>
      </c>
      <c r="BB32" s="76" t="b">
        <f t="shared" ref="BB32:BB38" si="68">IF(AND(Q32&gt;0,Q32&lt;$C$6),TRUE,FALSE)</f>
        <v>1</v>
      </c>
      <c r="BC32" s="76" t="b">
        <f t="shared" ref="BC32:BC38" si="69">IF(AND(S32&gt;0,S32&lt;$C$6),TRUE,FALSE)</f>
        <v>1</v>
      </c>
      <c r="BD32" s="76" t="b">
        <f t="shared" ref="BD32:BD38" si="70">IF(AND(U32&gt;0,U32&lt;$C$6),TRUE,FALSE)</f>
        <v>1</v>
      </c>
      <c r="BE32" s="76" t="b">
        <f t="shared" ref="BE32:BE38" si="71">IF(AND(W32&gt;0,W32&lt;$C$6),TRUE,FALSE)</f>
        <v>1</v>
      </c>
      <c r="BF32" s="76" t="b">
        <f t="shared" ref="BF32:BF38" si="72">IF(AND(Y32&gt;0,Y32&lt;$C$6),TRUE,FALSE)</f>
        <v>1</v>
      </c>
      <c r="BG32" s="90" t="b">
        <f t="shared" ref="BG32:BG38" si="73">IF(AND(AA32&gt;0,AA32&lt;$C$6),TRUE,FALSE)</f>
        <v>0</v>
      </c>
      <c r="BH32" s="146"/>
    </row>
    <row r="33" spans="1:60" ht="45" x14ac:dyDescent="0.25">
      <c r="A33" s="56" cm="1">
        <f t="array" ref="A33">SUMPRODUCT(($AV$10:$AV$38&lt;&gt;"")*(ROW($AV$10:$AV$38)&lt;=ROW()))</f>
        <v>17</v>
      </c>
      <c r="B33" s="57"/>
      <c r="C33" s="58" t="s">
        <v>437</v>
      </c>
      <c r="D33" s="93" t="s">
        <v>107</v>
      </c>
      <c r="E33" s="16"/>
      <c r="F33" s="29">
        <f t="shared" si="44"/>
        <v>46133</v>
      </c>
      <c r="G33" s="42"/>
      <c r="H33" s="29">
        <f t="shared" si="45"/>
        <v>46140</v>
      </c>
      <c r="I33" s="42"/>
      <c r="J33" s="29">
        <f t="shared" si="46"/>
        <v>46146</v>
      </c>
      <c r="K33" s="42"/>
      <c r="L33" s="29">
        <f t="shared" si="47"/>
        <v>46149</v>
      </c>
      <c r="M33" s="42"/>
      <c r="N33" s="29">
        <f t="shared" si="48"/>
        <v>46179</v>
      </c>
      <c r="O33" s="42"/>
      <c r="P33" s="29">
        <f t="shared" si="49"/>
        <v>46189</v>
      </c>
      <c r="Q33" s="42"/>
      <c r="R33" s="29">
        <f t="shared" si="50"/>
        <v>46209</v>
      </c>
      <c r="S33" s="42"/>
      <c r="T33" s="29">
        <f t="shared" si="51"/>
        <v>46216</v>
      </c>
      <c r="U33" s="42"/>
      <c r="V33" s="29">
        <f t="shared" si="52"/>
        <v>46223</v>
      </c>
      <c r="W33" s="42"/>
      <c r="X33" s="29">
        <f t="shared" si="53"/>
        <v>46228</v>
      </c>
      <c r="Y33" s="42"/>
      <c r="Z33" s="30">
        <f t="shared" si="54"/>
        <v>46238</v>
      </c>
      <c r="AA33" s="42"/>
      <c r="AB33" s="31">
        <f t="shared" si="55"/>
        <v>116</v>
      </c>
      <c r="AC33" s="16"/>
      <c r="AD33" s="131">
        <f t="shared" si="56"/>
        <v>95</v>
      </c>
      <c r="AE33" s="16"/>
      <c r="AF33" s="95">
        <v>8890000</v>
      </c>
      <c r="AG33" s="67"/>
      <c r="AH33" s="67">
        <v>9779000</v>
      </c>
      <c r="AI33" s="67"/>
      <c r="AJ33" s="68" t="str">
        <f t="shared" si="57"/>
        <v/>
      </c>
      <c r="AK33" s="102"/>
      <c r="AL33" s="48"/>
      <c r="AM33" s="105">
        <v>360</v>
      </c>
      <c r="AN33" s="69">
        <f t="shared" si="58"/>
        <v>46228</v>
      </c>
      <c r="AO33" s="107">
        <f t="shared" si="59"/>
        <v>21</v>
      </c>
      <c r="AP33" s="48"/>
      <c r="AQ33" s="111"/>
      <c r="AR33" s="70">
        <f t="shared" si="60"/>
        <v>46228</v>
      </c>
      <c r="AS33" s="107">
        <f t="shared" si="61"/>
        <v>21</v>
      </c>
      <c r="AT33" s="48"/>
      <c r="AU33" s="113">
        <f t="shared" si="62"/>
        <v>46207</v>
      </c>
      <c r="AV33" s="119" t="str" cm="1">
        <f t="array" ref="AV33">IF(OR(G33&gt;$C$6,G33=""),$F$8,INDEX($E$8:$Z$8,MATCH(TRUE,(F33:AA33=""),0)))</f>
        <v>1. Tender Docs &amp; BOQ</v>
      </c>
      <c r="AW33" s="116" t="b">
        <f t="shared" si="63"/>
        <v>0</v>
      </c>
      <c r="AX33" s="71" t="b">
        <f t="shared" si="64"/>
        <v>0</v>
      </c>
      <c r="AY33" s="71" t="b">
        <f t="shared" si="65"/>
        <v>0</v>
      </c>
      <c r="AZ33" s="71" t="b">
        <f t="shared" si="66"/>
        <v>0</v>
      </c>
      <c r="BA33" s="71" t="b">
        <f t="shared" si="67"/>
        <v>0</v>
      </c>
      <c r="BB33" s="71" t="b">
        <f t="shared" si="68"/>
        <v>0</v>
      </c>
      <c r="BC33" s="71" t="b">
        <f t="shared" si="69"/>
        <v>0</v>
      </c>
      <c r="BD33" s="71" t="b">
        <f t="shared" si="70"/>
        <v>0</v>
      </c>
      <c r="BE33" s="71" t="b">
        <f t="shared" si="71"/>
        <v>0</v>
      </c>
      <c r="BF33" s="71" t="b">
        <f t="shared" si="72"/>
        <v>0</v>
      </c>
      <c r="BG33" s="89" t="b">
        <f t="shared" si="73"/>
        <v>0</v>
      </c>
      <c r="BH33" s="146"/>
    </row>
    <row r="34" spans="1:60" ht="30" x14ac:dyDescent="0.25">
      <c r="A34" s="56" cm="1">
        <f t="array" ref="A34">SUMPRODUCT(($AV$10:$AV$38&lt;&gt;"")*(ROW($AV$10:$AV$38)&lt;=ROW()))</f>
        <v>18</v>
      </c>
      <c r="B34" s="59"/>
      <c r="C34" s="60" t="s">
        <v>438</v>
      </c>
      <c r="D34" s="59" t="s">
        <v>13</v>
      </c>
      <c r="E34" s="43"/>
      <c r="F34" s="44">
        <f t="shared" si="44"/>
        <v>46133</v>
      </c>
      <c r="G34" s="45"/>
      <c r="H34" s="44">
        <f t="shared" si="45"/>
        <v>46140</v>
      </c>
      <c r="I34" s="45"/>
      <c r="J34" s="44">
        <f t="shared" si="46"/>
        <v>46146</v>
      </c>
      <c r="K34" s="45"/>
      <c r="L34" s="44">
        <f t="shared" si="47"/>
        <v>46149</v>
      </c>
      <c r="M34" s="45"/>
      <c r="N34" s="44">
        <f t="shared" si="48"/>
        <v>46179</v>
      </c>
      <c r="O34" s="45"/>
      <c r="P34" s="44">
        <f t="shared" si="49"/>
        <v>46189</v>
      </c>
      <c r="Q34" s="45"/>
      <c r="R34" s="44">
        <f t="shared" si="50"/>
        <v>46209</v>
      </c>
      <c r="S34" s="45"/>
      <c r="T34" s="44">
        <f t="shared" si="51"/>
        <v>46216</v>
      </c>
      <c r="U34" s="45"/>
      <c r="V34" s="44">
        <f t="shared" si="52"/>
        <v>46223</v>
      </c>
      <c r="W34" s="45"/>
      <c r="X34" s="44">
        <f t="shared" si="53"/>
        <v>46228</v>
      </c>
      <c r="Y34" s="45"/>
      <c r="Z34" s="46">
        <f t="shared" si="54"/>
        <v>46238</v>
      </c>
      <c r="AA34" s="45"/>
      <c r="AB34" s="32">
        <f t="shared" si="55"/>
        <v>116</v>
      </c>
      <c r="AC34" s="16"/>
      <c r="AD34" s="131">
        <f t="shared" si="56"/>
        <v>95</v>
      </c>
      <c r="AE34" s="16"/>
      <c r="AF34" s="96">
        <v>2800000</v>
      </c>
      <c r="AG34" s="72"/>
      <c r="AH34" s="72">
        <v>3080000</v>
      </c>
      <c r="AI34" s="72"/>
      <c r="AJ34" s="73" t="str">
        <f t="shared" si="57"/>
        <v/>
      </c>
      <c r="AK34" s="101"/>
      <c r="AL34" s="48"/>
      <c r="AM34" s="104">
        <v>360</v>
      </c>
      <c r="AN34" s="74">
        <f t="shared" si="58"/>
        <v>46228</v>
      </c>
      <c r="AO34" s="108">
        <f t="shared" si="59"/>
        <v>21</v>
      </c>
      <c r="AP34" s="48"/>
      <c r="AQ34" s="110"/>
      <c r="AR34" s="75">
        <f t="shared" si="60"/>
        <v>46228</v>
      </c>
      <c r="AS34" s="108">
        <f t="shared" si="61"/>
        <v>21</v>
      </c>
      <c r="AT34" s="48"/>
      <c r="AU34" s="114">
        <f t="shared" si="62"/>
        <v>46207</v>
      </c>
      <c r="AV34" s="120" t="str" cm="1">
        <f t="array" ref="AV34">IF(OR(G34&gt;$C$6,G34=""),$F$8,INDEX($E$8:$Z$8,MATCH(TRUE,(F34:AA34=""),0)))</f>
        <v>1. Tender Docs &amp; BOQ</v>
      </c>
      <c r="AW34" s="117" t="b">
        <f t="shared" si="63"/>
        <v>0</v>
      </c>
      <c r="AX34" s="76" t="b">
        <f t="shared" si="64"/>
        <v>0</v>
      </c>
      <c r="AY34" s="76" t="b">
        <f t="shared" si="65"/>
        <v>0</v>
      </c>
      <c r="AZ34" s="76" t="b">
        <f t="shared" si="66"/>
        <v>0</v>
      </c>
      <c r="BA34" s="76" t="b">
        <f t="shared" si="67"/>
        <v>0</v>
      </c>
      <c r="BB34" s="76" t="b">
        <f t="shared" si="68"/>
        <v>0</v>
      </c>
      <c r="BC34" s="76" t="b">
        <f t="shared" si="69"/>
        <v>0</v>
      </c>
      <c r="BD34" s="76" t="b">
        <f t="shared" si="70"/>
        <v>0</v>
      </c>
      <c r="BE34" s="76" t="b">
        <f t="shared" si="71"/>
        <v>0</v>
      </c>
      <c r="BF34" s="76" t="b">
        <f t="shared" si="72"/>
        <v>0</v>
      </c>
      <c r="BG34" s="90" t="b">
        <f t="shared" si="73"/>
        <v>0</v>
      </c>
      <c r="BH34" s="146"/>
    </row>
    <row r="35" spans="1:60" ht="26.25" x14ac:dyDescent="0.25">
      <c r="A35" s="56" cm="1">
        <f t="array" ref="A35">SUMPRODUCT(($AV$10:$AV$38&lt;&gt;"")*(ROW($AV$10:$AV$38)&lt;=ROW()))</f>
        <v>19</v>
      </c>
      <c r="B35" s="57"/>
      <c r="C35" s="58" t="s">
        <v>439</v>
      </c>
      <c r="D35" s="93" t="s">
        <v>7</v>
      </c>
      <c r="E35" s="16"/>
      <c r="F35" s="29">
        <f t="shared" si="44"/>
        <v>46073</v>
      </c>
      <c r="G35" s="42"/>
      <c r="H35" s="29">
        <f t="shared" si="45"/>
        <v>46080</v>
      </c>
      <c r="I35" s="42"/>
      <c r="J35" s="29">
        <f t="shared" si="46"/>
        <v>46086</v>
      </c>
      <c r="K35" s="42"/>
      <c r="L35" s="29">
        <f t="shared" si="47"/>
        <v>46089</v>
      </c>
      <c r="M35" s="42"/>
      <c r="N35" s="29">
        <f t="shared" si="48"/>
        <v>46119</v>
      </c>
      <c r="O35" s="42"/>
      <c r="P35" s="29">
        <f t="shared" si="49"/>
        <v>46129</v>
      </c>
      <c r="Q35" s="42"/>
      <c r="R35" s="29">
        <f t="shared" si="50"/>
        <v>46149</v>
      </c>
      <c r="S35" s="42"/>
      <c r="T35" s="29">
        <f t="shared" si="51"/>
        <v>46156</v>
      </c>
      <c r="U35" s="42"/>
      <c r="V35" s="29">
        <f t="shared" si="52"/>
        <v>46163</v>
      </c>
      <c r="W35" s="42"/>
      <c r="X35" s="29">
        <f t="shared" si="53"/>
        <v>46168</v>
      </c>
      <c r="Y35" s="42"/>
      <c r="Z35" s="30">
        <f t="shared" si="54"/>
        <v>46178</v>
      </c>
      <c r="AA35" s="42"/>
      <c r="AB35" s="31">
        <f t="shared" si="55"/>
        <v>56</v>
      </c>
      <c r="AC35" s="16"/>
      <c r="AD35" s="131">
        <f t="shared" si="56"/>
        <v>95</v>
      </c>
      <c r="AE35" s="16"/>
      <c r="AF35" s="95">
        <v>26463830</v>
      </c>
      <c r="AG35" s="67"/>
      <c r="AH35" s="67">
        <v>16500000</v>
      </c>
      <c r="AI35" s="67"/>
      <c r="AJ35" s="68" t="str">
        <f t="shared" si="57"/>
        <v/>
      </c>
      <c r="AK35" s="102"/>
      <c r="AL35" s="48"/>
      <c r="AM35" s="105">
        <v>300</v>
      </c>
      <c r="AN35" s="69">
        <f t="shared" si="58"/>
        <v>46168</v>
      </c>
      <c r="AO35" s="107">
        <f>AN35-AU35</f>
        <v>-39</v>
      </c>
      <c r="AP35" s="48"/>
      <c r="AQ35" s="111"/>
      <c r="AR35" s="70">
        <f>IFERROR(WORKDAY.INTL(AN35,AQ35,11),"")</f>
        <v>46168</v>
      </c>
      <c r="AS35" s="107">
        <f>AR35-AU35</f>
        <v>-39</v>
      </c>
      <c r="AT35" s="48"/>
      <c r="AU35" s="113">
        <f t="shared" si="62"/>
        <v>46207</v>
      </c>
      <c r="AV35" s="119" t="str" cm="1">
        <f t="array" ref="AV35">IF(OR(G35&gt;$C$6,G35=""),$F$8,INDEX($E$8:$Z$8,MATCH(TRUE,(F35:AA35=""),0)))</f>
        <v>1. Tender Docs &amp; BOQ</v>
      </c>
      <c r="AW35" s="116" t="b">
        <f t="shared" si="63"/>
        <v>0</v>
      </c>
      <c r="AX35" s="71" t="b">
        <f t="shared" si="64"/>
        <v>0</v>
      </c>
      <c r="AY35" s="71" t="b">
        <f t="shared" si="65"/>
        <v>0</v>
      </c>
      <c r="AZ35" s="71" t="b">
        <f t="shared" si="66"/>
        <v>0</v>
      </c>
      <c r="BA35" s="71" t="b">
        <f t="shared" si="67"/>
        <v>0</v>
      </c>
      <c r="BB35" s="71" t="b">
        <f t="shared" si="68"/>
        <v>0</v>
      </c>
      <c r="BC35" s="71" t="b">
        <f t="shared" si="69"/>
        <v>0</v>
      </c>
      <c r="BD35" s="71" t="b">
        <f t="shared" si="70"/>
        <v>0</v>
      </c>
      <c r="BE35" s="71" t="b">
        <f t="shared" si="71"/>
        <v>0</v>
      </c>
      <c r="BF35" s="71" t="b">
        <f t="shared" si="72"/>
        <v>0</v>
      </c>
      <c r="BG35" s="89" t="b">
        <f t="shared" si="73"/>
        <v>0</v>
      </c>
      <c r="BH35" s="146"/>
    </row>
    <row r="36" spans="1:60" ht="30" x14ac:dyDescent="0.25">
      <c r="A36" s="56" cm="1">
        <f t="array" ref="A36">SUMPRODUCT(($AV$10:$AV$38&lt;&gt;"")*(ROW($AV$10:$AV$38)&lt;=ROW()))</f>
        <v>20</v>
      </c>
      <c r="B36" s="59"/>
      <c r="C36" s="60" t="s">
        <v>440</v>
      </c>
      <c r="D36" s="59" t="s">
        <v>13</v>
      </c>
      <c r="E36" s="43"/>
      <c r="F36" s="44">
        <f t="shared" si="44"/>
        <v>46073</v>
      </c>
      <c r="G36" s="45"/>
      <c r="H36" s="44">
        <f t="shared" si="45"/>
        <v>46080</v>
      </c>
      <c r="I36" s="45"/>
      <c r="J36" s="44">
        <f t="shared" si="46"/>
        <v>46086</v>
      </c>
      <c r="K36" s="45"/>
      <c r="L36" s="44">
        <f t="shared" si="47"/>
        <v>46089</v>
      </c>
      <c r="M36" s="45"/>
      <c r="N36" s="44">
        <f t="shared" si="48"/>
        <v>46119</v>
      </c>
      <c r="O36" s="45"/>
      <c r="P36" s="44">
        <f t="shared" si="49"/>
        <v>46129</v>
      </c>
      <c r="Q36" s="45"/>
      <c r="R36" s="44">
        <f t="shared" si="50"/>
        <v>46149</v>
      </c>
      <c r="S36" s="45"/>
      <c r="T36" s="44">
        <f t="shared" si="51"/>
        <v>46156</v>
      </c>
      <c r="U36" s="45"/>
      <c r="V36" s="44">
        <f t="shared" si="52"/>
        <v>46163</v>
      </c>
      <c r="W36" s="45"/>
      <c r="X36" s="44">
        <f t="shared" si="53"/>
        <v>46168</v>
      </c>
      <c r="Y36" s="45"/>
      <c r="Z36" s="46">
        <f t="shared" si="54"/>
        <v>46178</v>
      </c>
      <c r="AA36" s="45"/>
      <c r="AB36" s="32">
        <f t="shared" si="55"/>
        <v>56</v>
      </c>
      <c r="AC36" s="16"/>
      <c r="AD36" s="131">
        <f t="shared" si="56"/>
        <v>95</v>
      </c>
      <c r="AE36" s="16"/>
      <c r="AF36" s="96">
        <v>28312936</v>
      </c>
      <c r="AG36" s="72"/>
      <c r="AH36" s="72">
        <v>28600000</v>
      </c>
      <c r="AI36" s="72"/>
      <c r="AJ36" s="73" t="str">
        <f t="shared" si="57"/>
        <v/>
      </c>
      <c r="AK36" s="101"/>
      <c r="AL36" s="48"/>
      <c r="AM36" s="104">
        <v>300</v>
      </c>
      <c r="AN36" s="74">
        <f t="shared" si="58"/>
        <v>46168</v>
      </c>
      <c r="AO36" s="108">
        <f t="shared" ref="AO36:AO38" si="74">AN36-AU36</f>
        <v>-39</v>
      </c>
      <c r="AP36" s="48"/>
      <c r="AQ36" s="110"/>
      <c r="AR36" s="75">
        <f t="shared" ref="AR36:AR38" si="75">IFERROR(WORKDAY.INTL(AN36,AQ36,11),"")</f>
        <v>46168</v>
      </c>
      <c r="AS36" s="108">
        <f t="shared" ref="AS36:AS38" si="76">AR36-AU36</f>
        <v>-39</v>
      </c>
      <c r="AT36" s="48"/>
      <c r="AU36" s="114">
        <f t="shared" si="62"/>
        <v>46207</v>
      </c>
      <c r="AV36" s="120" t="str" cm="1">
        <f t="array" ref="AV36">IF(OR(G36&gt;$C$6,G36=""),$F$8,INDEX($E$8:$Z$8,MATCH(TRUE,(F36:AA36=""),0)))</f>
        <v>1. Tender Docs &amp; BOQ</v>
      </c>
      <c r="AW36" s="117" t="b">
        <f t="shared" si="63"/>
        <v>0</v>
      </c>
      <c r="AX36" s="76" t="b">
        <f t="shared" si="64"/>
        <v>0</v>
      </c>
      <c r="AY36" s="76" t="b">
        <f t="shared" si="65"/>
        <v>0</v>
      </c>
      <c r="AZ36" s="76" t="b">
        <f t="shared" si="66"/>
        <v>0</v>
      </c>
      <c r="BA36" s="76" t="b">
        <f t="shared" si="67"/>
        <v>0</v>
      </c>
      <c r="BB36" s="76" t="b">
        <f t="shared" si="68"/>
        <v>0</v>
      </c>
      <c r="BC36" s="76" t="b">
        <f t="shared" si="69"/>
        <v>0</v>
      </c>
      <c r="BD36" s="76" t="b">
        <f t="shared" si="70"/>
        <v>0</v>
      </c>
      <c r="BE36" s="76" t="b">
        <f t="shared" si="71"/>
        <v>0</v>
      </c>
      <c r="BF36" s="76" t="b">
        <f t="shared" si="72"/>
        <v>0</v>
      </c>
      <c r="BG36" s="90" t="b">
        <f t="shared" si="73"/>
        <v>0</v>
      </c>
      <c r="BH36" s="146"/>
    </row>
    <row r="37" spans="1:60" ht="45" x14ac:dyDescent="0.25">
      <c r="A37" s="56" cm="1">
        <f t="array" ref="A37">SUMPRODUCT(($AV$10:$AV$38&lt;&gt;"")*(ROW($AV$10:$AV$38)&lt;=ROW()))</f>
        <v>21</v>
      </c>
      <c r="B37" s="57"/>
      <c r="C37" s="58" t="s">
        <v>441</v>
      </c>
      <c r="D37" s="93" t="s">
        <v>13</v>
      </c>
      <c r="E37" s="16"/>
      <c r="F37" s="29">
        <f t="shared" si="44"/>
        <v>46073</v>
      </c>
      <c r="G37" s="42"/>
      <c r="H37" s="29">
        <f t="shared" si="45"/>
        <v>46080</v>
      </c>
      <c r="I37" s="42"/>
      <c r="J37" s="29">
        <f t="shared" si="46"/>
        <v>46086</v>
      </c>
      <c r="K37" s="42"/>
      <c r="L37" s="29">
        <f t="shared" si="47"/>
        <v>46089</v>
      </c>
      <c r="M37" s="42"/>
      <c r="N37" s="29">
        <f t="shared" si="48"/>
        <v>46119</v>
      </c>
      <c r="O37" s="42"/>
      <c r="P37" s="29">
        <f t="shared" si="49"/>
        <v>46129</v>
      </c>
      <c r="Q37" s="42"/>
      <c r="R37" s="29">
        <f t="shared" si="50"/>
        <v>46149</v>
      </c>
      <c r="S37" s="42"/>
      <c r="T37" s="29">
        <f t="shared" si="51"/>
        <v>46156</v>
      </c>
      <c r="U37" s="42"/>
      <c r="V37" s="29">
        <f t="shared" si="52"/>
        <v>46163</v>
      </c>
      <c r="W37" s="42"/>
      <c r="X37" s="29">
        <f t="shared" si="53"/>
        <v>46168</v>
      </c>
      <c r="Y37" s="42"/>
      <c r="Z37" s="30">
        <f t="shared" si="54"/>
        <v>46178</v>
      </c>
      <c r="AA37" s="42"/>
      <c r="AB37" s="31">
        <f t="shared" si="55"/>
        <v>56</v>
      </c>
      <c r="AC37" s="16"/>
      <c r="AD37" s="131">
        <f t="shared" si="56"/>
        <v>95</v>
      </c>
      <c r="AE37" s="16"/>
      <c r="AF37" s="95">
        <v>1200000</v>
      </c>
      <c r="AG37" s="67"/>
      <c r="AH37" s="67">
        <v>1320000</v>
      </c>
      <c r="AI37" s="67"/>
      <c r="AJ37" s="68" t="str">
        <f t="shared" si="57"/>
        <v/>
      </c>
      <c r="AK37" s="102"/>
      <c r="AL37" s="48"/>
      <c r="AM37" s="105">
        <v>300</v>
      </c>
      <c r="AN37" s="69">
        <f t="shared" si="58"/>
        <v>46168</v>
      </c>
      <c r="AO37" s="107">
        <f t="shared" si="74"/>
        <v>-39</v>
      </c>
      <c r="AP37" s="48"/>
      <c r="AQ37" s="111"/>
      <c r="AR37" s="70">
        <f t="shared" si="75"/>
        <v>46168</v>
      </c>
      <c r="AS37" s="107">
        <f t="shared" si="76"/>
        <v>-39</v>
      </c>
      <c r="AT37" s="48"/>
      <c r="AU37" s="113">
        <f t="shared" si="62"/>
        <v>46207</v>
      </c>
      <c r="AV37" s="119" t="str" cm="1">
        <f t="array" ref="AV37">IF(OR(G37&gt;$C$6,G37=""),$F$8,INDEX($E$8:$Z$8,MATCH(TRUE,(F37:AA37=""),0)))</f>
        <v>1. Tender Docs &amp; BOQ</v>
      </c>
      <c r="AW37" s="116" t="b">
        <f t="shared" si="63"/>
        <v>0</v>
      </c>
      <c r="AX37" s="71" t="b">
        <f t="shared" si="64"/>
        <v>0</v>
      </c>
      <c r="AY37" s="71" t="b">
        <f t="shared" si="65"/>
        <v>0</v>
      </c>
      <c r="AZ37" s="71" t="b">
        <f t="shared" si="66"/>
        <v>0</v>
      </c>
      <c r="BA37" s="71" t="b">
        <f t="shared" si="67"/>
        <v>0</v>
      </c>
      <c r="BB37" s="71" t="b">
        <f t="shared" si="68"/>
        <v>0</v>
      </c>
      <c r="BC37" s="71" t="b">
        <f t="shared" si="69"/>
        <v>0</v>
      </c>
      <c r="BD37" s="71" t="b">
        <f t="shared" si="70"/>
        <v>0</v>
      </c>
      <c r="BE37" s="71" t="b">
        <f t="shared" si="71"/>
        <v>0</v>
      </c>
      <c r="BF37" s="71" t="b">
        <f t="shared" si="72"/>
        <v>0</v>
      </c>
      <c r="BG37" s="89" t="b">
        <f t="shared" si="73"/>
        <v>0</v>
      </c>
      <c r="BH37" s="146"/>
    </row>
    <row r="38" spans="1:60" ht="26.25" x14ac:dyDescent="0.25">
      <c r="A38" s="56" cm="1">
        <f t="array" ref="A38">SUMPRODUCT(($AV$10:$AV$38&lt;&gt;"")*(ROW($AV$10:$AV$38)&lt;=ROW()))</f>
        <v>22</v>
      </c>
      <c r="B38" s="59"/>
      <c r="C38" s="60" t="s">
        <v>442</v>
      </c>
      <c r="D38" s="59" t="s">
        <v>131</v>
      </c>
      <c r="E38" s="43"/>
      <c r="F38" s="44">
        <f t="shared" si="44"/>
        <v>45863</v>
      </c>
      <c r="G38" s="45">
        <v>45867</v>
      </c>
      <c r="H38" s="44">
        <f t="shared" si="45"/>
        <v>45870</v>
      </c>
      <c r="I38" s="45">
        <v>45853</v>
      </c>
      <c r="J38" s="44">
        <f t="shared" si="46"/>
        <v>45876</v>
      </c>
      <c r="K38" s="45">
        <v>45860</v>
      </c>
      <c r="L38" s="44">
        <f t="shared" si="47"/>
        <v>45879</v>
      </c>
      <c r="M38" s="45">
        <v>45874</v>
      </c>
      <c r="N38" s="44">
        <f t="shared" si="48"/>
        <v>45909</v>
      </c>
      <c r="O38" s="45">
        <v>45874</v>
      </c>
      <c r="P38" s="44">
        <f t="shared" si="49"/>
        <v>45919</v>
      </c>
      <c r="Q38" s="45">
        <v>45874</v>
      </c>
      <c r="R38" s="44">
        <f t="shared" si="50"/>
        <v>45939</v>
      </c>
      <c r="S38" s="45">
        <v>45909</v>
      </c>
      <c r="T38" s="44">
        <f t="shared" si="51"/>
        <v>45946</v>
      </c>
      <c r="U38" s="45">
        <v>45978</v>
      </c>
      <c r="V38" s="44">
        <f t="shared" si="52"/>
        <v>45953</v>
      </c>
      <c r="W38" s="45">
        <v>45981</v>
      </c>
      <c r="X38" s="44">
        <f t="shared" si="53"/>
        <v>45958</v>
      </c>
      <c r="Y38" s="45">
        <v>45996</v>
      </c>
      <c r="Z38" s="46">
        <f t="shared" si="54"/>
        <v>45968</v>
      </c>
      <c r="AA38" s="45"/>
      <c r="AB38" s="32" t="str">
        <f t="shared" si="55"/>
        <v>-</v>
      </c>
      <c r="AC38" s="16"/>
      <c r="AD38" s="131">
        <f t="shared" si="56"/>
        <v>95</v>
      </c>
      <c r="AE38" s="16"/>
      <c r="AF38" s="96" t="s">
        <v>430</v>
      </c>
      <c r="AG38" s="72"/>
      <c r="AH38" s="72" t="s">
        <v>430</v>
      </c>
      <c r="AI38" s="72"/>
      <c r="AJ38" s="73" t="str">
        <f t="shared" si="57"/>
        <v/>
      </c>
      <c r="AK38" s="101" t="s">
        <v>443</v>
      </c>
      <c r="AL38" s="48"/>
      <c r="AM38" s="104">
        <v>90</v>
      </c>
      <c r="AN38" s="74">
        <f t="shared" si="58"/>
        <v>45958</v>
      </c>
      <c r="AO38" s="108">
        <f t="shared" si="74"/>
        <v>-38</v>
      </c>
      <c r="AP38" s="48"/>
      <c r="AQ38" s="110"/>
      <c r="AR38" s="75">
        <f t="shared" si="75"/>
        <v>45958</v>
      </c>
      <c r="AS38" s="108">
        <f t="shared" si="76"/>
        <v>-38</v>
      </c>
      <c r="AT38" s="48"/>
      <c r="AU38" s="114">
        <f t="shared" si="62"/>
        <v>45996</v>
      </c>
      <c r="AV38" s="120" t="str" cm="1">
        <f t="array" ref="AV38">IF(OR(G38&gt;$C$6,G38=""),$F$8,INDEX($E$8:$Z$8,MATCH(TRUE,(F38:AA38=""),0)))</f>
        <v>11. Subcontract Agreement signed</v>
      </c>
      <c r="AW38" s="117" t="b">
        <f t="shared" si="63"/>
        <v>1</v>
      </c>
      <c r="AX38" s="76" t="b">
        <f t="shared" si="64"/>
        <v>1</v>
      </c>
      <c r="AY38" s="76" t="b">
        <f t="shared" si="65"/>
        <v>1</v>
      </c>
      <c r="AZ38" s="76" t="b">
        <f t="shared" si="66"/>
        <v>1</v>
      </c>
      <c r="BA38" s="76" t="b">
        <f t="shared" si="67"/>
        <v>1</v>
      </c>
      <c r="BB38" s="76" t="b">
        <f t="shared" si="68"/>
        <v>1</v>
      </c>
      <c r="BC38" s="76" t="b">
        <f t="shared" si="69"/>
        <v>1</v>
      </c>
      <c r="BD38" s="76" t="b">
        <f t="shared" si="70"/>
        <v>1</v>
      </c>
      <c r="BE38" s="76" t="b">
        <f t="shared" si="71"/>
        <v>1</v>
      </c>
      <c r="BF38" s="76" t="b">
        <f t="shared" si="72"/>
        <v>1</v>
      </c>
      <c r="BG38" s="90" t="b">
        <f t="shared" si="73"/>
        <v>0</v>
      </c>
      <c r="BH38" s="146"/>
    </row>
    <row r="39" spans="1:60" ht="23.25" x14ac:dyDescent="0.25">
      <c r="A39" s="8"/>
      <c r="B39" s="8"/>
      <c r="C39" s="34" t="s">
        <v>189</v>
      </c>
      <c r="D39" s="100"/>
      <c r="E39" s="16"/>
      <c r="F39" s="123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124"/>
      <c r="AC39" s="16"/>
      <c r="AD39" s="130"/>
      <c r="AE39" s="16"/>
      <c r="AF39" s="99">
        <f>SUM(AF10:AF38)</f>
        <v>1791734727</v>
      </c>
      <c r="AG39" s="10">
        <f>SUM(AG10:AG38)</f>
        <v>0</v>
      </c>
      <c r="AH39" s="10">
        <f>SUM(AH10:AH38)</f>
        <v>1414895476</v>
      </c>
      <c r="AI39" s="10">
        <f>SUM(AI10:AI38)</f>
        <v>710860601</v>
      </c>
      <c r="AJ39" s="10">
        <f>SUM(AJ10:AJ38)</f>
        <v>69455875</v>
      </c>
      <c r="AK39" s="9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92"/>
      <c r="BH39" s="146"/>
    </row>
    <row r="41" spans="1:60" x14ac:dyDescent="0.25">
      <c r="C41" s="191">
        <v>46126</v>
      </c>
    </row>
    <row r="42" spans="1:60" x14ac:dyDescent="0.25">
      <c r="B42" s="6">
        <v>1</v>
      </c>
      <c r="C42" s="7" t="s">
        <v>496</v>
      </c>
      <c r="AF42" s="3" t="s">
        <v>497</v>
      </c>
    </row>
    <row r="43" spans="1:60" x14ac:dyDescent="0.25">
      <c r="B43" s="6">
        <v>2</v>
      </c>
      <c r="C43" s="7" t="s">
        <v>498</v>
      </c>
      <c r="AF43" s="3" t="s">
        <v>503</v>
      </c>
    </row>
    <row r="44" spans="1:60" x14ac:dyDescent="0.25">
      <c r="B44" s="6">
        <v>3</v>
      </c>
      <c r="C44" s="7" t="s">
        <v>499</v>
      </c>
      <c r="AF44" s="3" t="s">
        <v>500</v>
      </c>
    </row>
    <row r="45" spans="1:60" x14ac:dyDescent="0.25">
      <c r="B45" s="6">
        <v>4</v>
      </c>
      <c r="C45" s="7" t="s">
        <v>501</v>
      </c>
      <c r="AF45" s="3" t="s">
        <v>502</v>
      </c>
    </row>
    <row r="46" spans="1:60" x14ac:dyDescent="0.25">
      <c r="B46" s="6">
        <v>5</v>
      </c>
    </row>
    <row r="47" spans="1:60" x14ac:dyDescent="0.25">
      <c r="B47" s="6">
        <v>6</v>
      </c>
    </row>
    <row r="48" spans="1:60" x14ac:dyDescent="0.25">
      <c r="B48" s="6">
        <v>7</v>
      </c>
    </row>
    <row r="49" spans="2:2" x14ac:dyDescent="0.25">
      <c r="B49" s="6">
        <v>8</v>
      </c>
    </row>
  </sheetData>
  <sheetProtection formatColumns="0" formatRows="0" autoFilter="0"/>
  <mergeCells count="75">
    <mergeCell ref="AU7:AU9"/>
    <mergeCell ref="AG7:AG9"/>
    <mergeCell ref="AH7:AH9"/>
    <mergeCell ref="AI7:AI9"/>
    <mergeCell ref="AJ7:AJ9"/>
    <mergeCell ref="AK7:AK9"/>
    <mergeCell ref="AN7:AN9"/>
    <mergeCell ref="AO7:AO9"/>
    <mergeCell ref="AQ7:AQ9"/>
    <mergeCell ref="AR7:AR9"/>
    <mergeCell ref="AS7:AS9"/>
    <mergeCell ref="AM7:AM9"/>
    <mergeCell ref="BF7:BF9"/>
    <mergeCell ref="BG7:BG9"/>
    <mergeCell ref="AV7:AV9"/>
    <mergeCell ref="AW7:AW9"/>
    <mergeCell ref="AX7:AX9"/>
    <mergeCell ref="AY7:AY9"/>
    <mergeCell ref="AZ7:AZ9"/>
    <mergeCell ref="BA7:BA9"/>
    <mergeCell ref="BB7:BB9"/>
    <mergeCell ref="BC7:BC9"/>
    <mergeCell ref="BD7:BD9"/>
    <mergeCell ref="BE7:BE9"/>
    <mergeCell ref="AF7:AF9"/>
    <mergeCell ref="V8:W8"/>
    <mergeCell ref="X8:Y8"/>
    <mergeCell ref="Z8:AA8"/>
    <mergeCell ref="T7:U7"/>
    <mergeCell ref="V7:W7"/>
    <mergeCell ref="X7:Y7"/>
    <mergeCell ref="Z7:AA7"/>
    <mergeCell ref="AB7:AB9"/>
    <mergeCell ref="AD7:AD9"/>
    <mergeCell ref="A7:A9"/>
    <mergeCell ref="B7:B9"/>
    <mergeCell ref="C7:C9"/>
    <mergeCell ref="D7:D9"/>
    <mergeCell ref="F7:G7"/>
    <mergeCell ref="H7:I7"/>
    <mergeCell ref="F8:G8"/>
    <mergeCell ref="H8:I8"/>
    <mergeCell ref="J7:K7"/>
    <mergeCell ref="L7:M7"/>
    <mergeCell ref="L8:M8"/>
    <mergeCell ref="N7:O7"/>
    <mergeCell ref="P7:Q7"/>
    <mergeCell ref="R7:S7"/>
    <mergeCell ref="T8:U8"/>
    <mergeCell ref="J8:K8"/>
    <mergeCell ref="N8:O8"/>
    <mergeCell ref="P8:Q8"/>
    <mergeCell ref="R8:S8"/>
    <mergeCell ref="H3:H4"/>
    <mergeCell ref="I3:I4"/>
    <mergeCell ref="J3:J4"/>
    <mergeCell ref="K3:K4"/>
    <mergeCell ref="L3:L4"/>
    <mergeCell ref="M3:N4"/>
    <mergeCell ref="I1:I2"/>
    <mergeCell ref="J1:J2"/>
    <mergeCell ref="K1:K2"/>
    <mergeCell ref="L1:L2"/>
    <mergeCell ref="M1:N2"/>
    <mergeCell ref="A3:B4"/>
    <mergeCell ref="C3:C4"/>
    <mergeCell ref="D3:D4"/>
    <mergeCell ref="F3:F4"/>
    <mergeCell ref="G3:G4"/>
    <mergeCell ref="H1:H2"/>
    <mergeCell ref="A1:B2"/>
    <mergeCell ref="C1:C2"/>
    <mergeCell ref="D1:D2"/>
    <mergeCell ref="F1:F2"/>
    <mergeCell ref="G1:G2"/>
  </mergeCells>
  <conditionalFormatting sqref="G11:G12 I11:I12 K11:K12 M11:M12 O11:O12 Q11:Q12 S11:S12 U11:U12 W11:W12 Y11:Y12 AA11:AA12 G14 I14 K14 M14 O14 Q14 S14 U14 W14 Y14 AA14 G16:G20 I16:I20 K16:K20 M16:M20 O16:O20 Q16:Q20 S16:S20 U16:U20 W16:W20 Y16:Y20 AA16:AA20 G22:G25 I22:I25 K22:K25 M22:M25 O22:O25 Q22:Q25 S22:S25 U22:U25 W22:W25 Y22:Y25 AA22:AA25 G27 I27 K27 M27 O27 Q27 S27 U27 W27 Y27 AA27 G29:G30 I29:I30 K29:K30 M29:M30 O29:O30 Q29:Q30 S29:S30 U29:U30 W29:W30 Y29:Y30 AA29:AA30 G32:G38 I32:I38 K32:K38 M32:M38 O32:O38 Q32:Q38 S32:S38 U32:U38 W32:W38 Y32:Y38 AA32:AA38">
    <cfRule type="cellIs" dxfId="21" priority="6" operator="between">
      <formula>1</formula>
      <formula>$C$6</formula>
    </cfRule>
  </conditionalFormatting>
  <conditionalFormatting sqref="AB10:AB39 AO11:AO12 AS11:AS12 AO14 AS14">
    <cfRule type="cellIs" dxfId="20" priority="10" operator="lessThan">
      <formula>0</formula>
    </cfRule>
  </conditionalFormatting>
  <conditionalFormatting sqref="AO16:AO20 AS16:AS20 AO22:AO25 AS22:AS25 AO27 AS27 AO29:AO30 AS29:AS30 AO32:AO38 AS32:AS38">
    <cfRule type="cellIs" dxfId="19" priority="11" operator="lessThan">
      <formula>0</formula>
    </cfRule>
  </conditionalFormatting>
  <conditionalFormatting sqref="AW11:BG12 BB13:BG15 AW14:BG14 AW16:BG20 BB21:BG21 AW22:BG25 BB26:BG26 AW27:BG27 BB28:BG28 AW29:BG30 BB31:BG31 AW32:BG38 AL39:BG39">
    <cfRule type="cellIs" dxfId="12" priority="7" operator="equal">
      <formula>TRUE</formula>
    </cfRule>
  </conditionalFormatting>
  <conditionalFormatting sqref="BB10:BG10">
    <cfRule type="cellIs" dxfId="11" priority="5" operator="equal">
      <formula>TRUE</formula>
    </cfRule>
  </conditionalFormatting>
  <pageMargins left="3.937007874015748E-2" right="3.937007874015748E-2" top="0.74803149606299213" bottom="0.74803149606299213" header="0.31496062992125984" footer="0.31496062992125984"/>
  <pageSetup paperSize="8" scale="71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BC4D3A97-C205-4535-A1F4-47A8234405A6}">
            <xm:f>AV11=Data!$B$12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8" stopIfTrue="1" id="{BC975307-DCC8-4F2F-BB4C-1B943F02E3B3}">
            <xm:f>AV11=Data!$B$11</xm:f>
            <x14:dxf>
              <fill>
                <patternFill>
                  <bgColor theme="9" tint="0.79998168889431442"/>
                </patternFill>
              </fill>
            </x14:dxf>
          </x14:cfRule>
          <x14:cfRule type="expression" priority="9" id="{AD66E8B0-9EA0-4EF8-AD29-35E24D7FB6B0}">
            <xm:f>AV11=Data!$B$2</xm:f>
            <x14:dxf>
              <fill>
                <patternFill>
                  <bgColor rgb="FFFFE5E5"/>
                </patternFill>
              </fill>
            </x14:dxf>
          </x14:cfRule>
          <xm:sqref>AU11:AU40</xm:sqref>
        </x14:conditionalFormatting>
        <x14:conditionalFormatting xmlns:xm="http://schemas.microsoft.com/office/excel/2006/main">
          <x14:cfRule type="cellIs" priority="1" operator="equal" id="{3BDA6194-907F-4994-A194-D23C13363A49}">
            <xm:f>Data!$B$12</xm:f>
            <x14:dxf>
              <fill>
                <patternFill>
                  <bgColor theme="9" tint="0.59996337778862885"/>
                </patternFill>
              </fill>
            </x14:dxf>
          </x14:cfRule>
          <x14:cfRule type="cellIs" priority="2" stopIfTrue="1" operator="equal" id="{C33AFC0D-2E49-42A0-BD72-3E008FA34F65}">
            <xm:f>Data!$B$11</xm:f>
            <x14:dxf>
              <fill>
                <patternFill>
                  <bgColor theme="9" tint="0.79998168889431442"/>
                </patternFill>
              </fill>
            </x14:dxf>
          </x14:cfRule>
          <x14:cfRule type="cellIs" priority="3" operator="equal" id="{24078191-C127-4472-B8A3-70EA19809E08}">
            <xm:f>Data!$B$2</xm:f>
            <x14:dxf>
              <fill>
                <patternFill>
                  <bgColor rgb="FFFFE5E5"/>
                </patternFill>
              </fill>
            </x14:dxf>
          </x14:cfRule>
          <xm:sqref>AV11:AV12 AV14 AV16:AV20 AV22:AV25 AV27 AV29:AV30 AV32:AV38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450940C-32F4-4116-9EE0-09BAFCC95805}">
          <x14:formula1>
            <xm:f>Data!$B$2:$B$13</xm:f>
          </x14:formula1>
          <xm:sqref>AV29:AV30 AV16:AV20 AV27 AV32:AV38 AV22:AV25 AV14 AV11:AV12</xm:sqref>
        </x14:dataValidation>
        <x14:dataValidation type="list" allowBlank="1" showInputMessage="1" showErrorMessage="1" xr:uid="{6EABCADE-0838-4449-A0DC-FD1260A90929}">
          <x14:formula1>
            <xm:f>Data!$C$2:$C$12</xm:f>
          </x14:formula1>
          <xm:sqref>D16:D20 D22:D25 D27 D29:D30 D32:D38 D14 D11:D12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1C937-37C2-4449-9C10-060CC229C6C6}">
  <sheetPr codeName="Sheet17">
    <tabColor theme="1"/>
    <pageSetUpPr fitToPage="1"/>
  </sheetPr>
  <dimension ref="A1:BH56"/>
  <sheetViews>
    <sheetView showGridLines="0" zoomScale="70" zoomScaleNormal="70" zoomScalePageLayoutView="55" workbookViewId="0">
      <pane xSplit="3" ySplit="9" topLeftCell="D10" activePane="bottomRight" state="frozen"/>
      <selection pane="topRight" activeCell="AI6" sqref="AI6:AI8"/>
      <selection pane="bottomLeft" activeCell="AI6" sqref="AI6:AI8"/>
      <selection pane="bottomRight" activeCell="X3" sqref="X3"/>
    </sheetView>
  </sheetViews>
  <sheetFormatPr defaultColWidth="9.140625" defaultRowHeight="12.75" outlineLevelRow="1" outlineLevelCol="1" x14ac:dyDescent="0.25"/>
  <cols>
    <col min="1" max="2" width="7.42578125" style="3" customWidth="1"/>
    <col min="3" max="3" width="39.140625" style="7" customWidth="1"/>
    <col min="4" max="4" width="14.5703125" style="5" customWidth="1" outlineLevel="1"/>
    <col min="5" max="5" width="1.140625" style="3" customWidth="1" outlineLevel="1"/>
    <col min="6" max="27" width="11.85546875" style="4" customWidth="1" outlineLevel="1"/>
    <col min="28" max="28" width="11.85546875" style="5" customWidth="1" outlineLevel="1"/>
    <col min="29" max="29" width="1" style="3" customWidth="1" outlineLevel="1"/>
    <col min="30" max="30" width="14.42578125" style="5" customWidth="1" outlineLevel="1"/>
    <col min="31" max="31" width="1.140625" style="3" customWidth="1" outlineLevel="1"/>
    <col min="32" max="35" width="14.85546875" style="3" customWidth="1"/>
    <col min="36" max="36" width="15.5703125" style="3" customWidth="1"/>
    <col min="37" max="37" width="23.5703125" style="3" customWidth="1"/>
    <col min="38" max="38" width="0.85546875" style="3" customWidth="1"/>
    <col min="39" max="39" width="7.42578125" style="3" customWidth="1"/>
    <col min="40" max="40" width="13.5703125" style="3" customWidth="1"/>
    <col min="41" max="41" width="7.140625" style="5" customWidth="1"/>
    <col min="42" max="42" width="0.85546875" style="3" customWidth="1"/>
    <col min="43" max="43" width="10.5703125" style="5" customWidth="1"/>
    <col min="44" max="44" width="16.85546875" style="3" customWidth="1"/>
    <col min="45" max="45" width="7.140625" style="5" customWidth="1"/>
    <col min="46" max="46" width="0.85546875" style="3" customWidth="1"/>
    <col min="47" max="47" width="12" style="3" customWidth="1"/>
    <col min="48" max="48" width="35" style="3" bestFit="1" customWidth="1"/>
    <col min="49" max="59" width="4.140625" style="6" customWidth="1"/>
    <col min="60" max="60" width="21.140625" style="3" customWidth="1"/>
    <col min="61" max="16384" width="9.140625" style="3"/>
  </cols>
  <sheetData>
    <row r="1" spans="1:60" s="11" customFormat="1" ht="15" customHeight="1" outlineLevel="1" x14ac:dyDescent="0.25">
      <c r="A1" s="208" t="s">
        <v>57</v>
      </c>
      <c r="B1" s="208"/>
      <c r="C1" s="206" t="s">
        <v>58</v>
      </c>
      <c r="D1" s="211" t="s">
        <v>59</v>
      </c>
      <c r="F1" s="206" t="s">
        <v>60</v>
      </c>
      <c r="G1" s="206" t="s">
        <v>61</v>
      </c>
      <c r="H1" s="206" t="s">
        <v>62</v>
      </c>
      <c r="I1" s="206" t="s">
        <v>63</v>
      </c>
      <c r="J1" s="206" t="s">
        <v>64</v>
      </c>
      <c r="K1" s="206" t="s">
        <v>19</v>
      </c>
      <c r="L1" s="206" t="s">
        <v>65</v>
      </c>
      <c r="M1" s="211" t="s">
        <v>66</v>
      </c>
      <c r="N1" s="211"/>
      <c r="P1" s="27" t="s">
        <v>67</v>
      </c>
      <c r="Q1" s="26"/>
      <c r="R1" s="26"/>
      <c r="S1" s="26"/>
      <c r="U1" s="26" t="s">
        <v>20</v>
      </c>
      <c r="V1" s="26"/>
      <c r="W1" s="26"/>
      <c r="X1" s="26"/>
      <c r="Y1" s="26"/>
      <c r="AA1" s="27" t="s">
        <v>68</v>
      </c>
      <c r="AB1" s="26"/>
      <c r="AC1" s="26"/>
      <c r="AD1" s="28"/>
      <c r="AF1" s="27" t="s">
        <v>33</v>
      </c>
      <c r="AG1" s="26"/>
      <c r="AH1" s="39" t="s">
        <v>34</v>
      </c>
      <c r="AI1" s="40" t="s">
        <v>35</v>
      </c>
      <c r="AY1" s="33"/>
      <c r="AZ1" s="33"/>
      <c r="BA1" s="33"/>
      <c r="BB1" s="33"/>
      <c r="BC1" s="33"/>
      <c r="BD1" s="33"/>
      <c r="BE1" s="33"/>
      <c r="BF1" s="33"/>
      <c r="BG1" s="33"/>
    </row>
    <row r="2" spans="1:60" s="11" customFormat="1" ht="15" outlineLevel="1" x14ac:dyDescent="0.25">
      <c r="A2" s="208"/>
      <c r="B2" s="208"/>
      <c r="C2" s="206"/>
      <c r="D2" s="211"/>
      <c r="E2" s="15"/>
      <c r="F2" s="206"/>
      <c r="G2" s="206"/>
      <c r="H2" s="206"/>
      <c r="I2" s="206"/>
      <c r="J2" s="206"/>
      <c r="K2" s="206"/>
      <c r="L2" s="206"/>
      <c r="M2" s="211"/>
      <c r="N2" s="211"/>
      <c r="P2" s="22" t="s">
        <v>69</v>
      </c>
      <c r="Q2" s="23"/>
      <c r="R2" s="23"/>
      <c r="S2" s="41"/>
      <c r="U2" s="22" t="s">
        <v>25</v>
      </c>
      <c r="V2" s="23"/>
      <c r="W2" s="23"/>
      <c r="X2" s="35">
        <f>AI56</f>
        <v>0</v>
      </c>
      <c r="Y2" s="37" t="e">
        <f>X2/(SUM(AH10:$AH$55)+SUM(AI10:$AI$55)-SUMIFS(AH10:$AH$55,$AI$10:$AI$55,"&lt;&gt;"))</f>
        <v>#DIV/0!</v>
      </c>
      <c r="AA2" s="24" t="s">
        <v>70</v>
      </c>
      <c r="AB2" s="25"/>
      <c r="AC2" s="25"/>
      <c r="AD2" s="12" cm="1">
        <f t="array" ref="AD2">SUM(ISNUMBER($AO$10:AO55)*1)</f>
        <v>39</v>
      </c>
      <c r="AF2" s="22" t="s">
        <v>444</v>
      </c>
      <c r="AG2" s="23"/>
      <c r="AH2" s="13">
        <f>COUNTIFS($AB$10:AB55,"&lt;0")</f>
        <v>39</v>
      </c>
      <c r="AI2" s="13">
        <f>MIN(AB10:AB55)</f>
        <v>-46113</v>
      </c>
    </row>
    <row r="3" spans="1:60" s="11" customFormat="1" ht="15" customHeight="1" outlineLevel="1" x14ac:dyDescent="0.25">
      <c r="A3" s="212"/>
      <c r="B3" s="212"/>
      <c r="C3" s="216"/>
      <c r="D3" s="218"/>
      <c r="E3" s="122"/>
      <c r="F3" s="218"/>
      <c r="G3" s="218"/>
      <c r="H3" s="218"/>
      <c r="I3" s="218"/>
      <c r="J3" s="227"/>
      <c r="K3" s="227"/>
      <c r="L3" s="218"/>
      <c r="M3" s="220"/>
      <c r="N3" s="220"/>
      <c r="P3" s="22" t="s">
        <v>77</v>
      </c>
      <c r="Q3" s="23"/>
      <c r="R3" s="23"/>
      <c r="S3" s="18">
        <f>AF56</f>
        <v>0</v>
      </c>
      <c r="U3" s="22" t="s">
        <v>78</v>
      </c>
      <c r="V3" s="23"/>
      <c r="W3" s="23"/>
      <c r="X3" s="36">
        <f>S4-SUMIFS(AH10:$AH$55,$AI$10:$AI$55,"&lt;&gt;")</f>
        <v>0</v>
      </c>
      <c r="Y3" s="153" t="e">
        <f>X3/(X2+X3)</f>
        <v>#DIV/0!</v>
      </c>
      <c r="AA3" s="22" t="s">
        <v>79</v>
      </c>
      <c r="AB3" s="23"/>
      <c r="AC3" s="23"/>
      <c r="AD3" s="13">
        <f>COUNTIFS($AV$10:AV55,Z8)</f>
        <v>0</v>
      </c>
    </row>
    <row r="4" spans="1:60" s="11" customFormat="1" ht="15" outlineLevel="1" x14ac:dyDescent="0.25">
      <c r="A4" s="212"/>
      <c r="B4" s="212"/>
      <c r="C4" s="216"/>
      <c r="D4" s="218"/>
      <c r="E4" s="122"/>
      <c r="F4" s="218"/>
      <c r="G4" s="218"/>
      <c r="H4" s="218"/>
      <c r="I4" s="218"/>
      <c r="J4" s="227"/>
      <c r="K4" s="227"/>
      <c r="L4" s="218"/>
      <c r="M4" s="220"/>
      <c r="N4" s="220"/>
      <c r="P4" s="22" t="s">
        <v>23</v>
      </c>
      <c r="Q4" s="23"/>
      <c r="R4" s="23"/>
      <c r="S4" s="18">
        <f>AH56</f>
        <v>0</v>
      </c>
      <c r="U4" s="22" t="s">
        <v>80</v>
      </c>
      <c r="V4" s="23"/>
      <c r="W4" s="23"/>
      <c r="X4" s="36">
        <f>SUMIFS(AF10:$AF$55,$AI$10:$AI$55,"&lt;&gt;")-X2</f>
        <v>0</v>
      </c>
      <c r="Y4" s="38" t="e">
        <f>X4/$S$2</f>
        <v>#DIV/0!</v>
      </c>
      <c r="AA4" s="22" t="s">
        <v>81</v>
      </c>
      <c r="AB4" s="23"/>
      <c r="AC4" s="23"/>
      <c r="AD4" s="13">
        <f>C6-L3</f>
        <v>46112</v>
      </c>
      <c r="AF4" s="22" t="s">
        <v>36</v>
      </c>
      <c r="AG4" s="23"/>
      <c r="AH4" s="13">
        <f>COUNTIFS($AS$10:AS55,"&lt;0")</f>
        <v>0</v>
      </c>
      <c r="AI4" s="14" t="e">
        <f>MIN(AS10:AS55)</f>
        <v>#VALUE!</v>
      </c>
    </row>
    <row r="5" spans="1:60" s="11" customFormat="1" ht="15" outlineLevel="1" x14ac:dyDescent="0.25">
      <c r="U5" s="22" t="s">
        <v>82</v>
      </c>
      <c r="V5" s="23"/>
      <c r="W5" s="23"/>
      <c r="X5" s="36">
        <f>SUMIFS(AH10:$AH$55,$AI$10:$AI$55,"&lt;&gt;")-X2</f>
        <v>0</v>
      </c>
      <c r="Y5" s="38" t="e">
        <f>X5/$S$2</f>
        <v>#DIV/0!</v>
      </c>
      <c r="Z5" s="160"/>
      <c r="AA5" s="160"/>
      <c r="AB5" s="160"/>
      <c r="AC5" s="160"/>
      <c r="AD5" s="160"/>
      <c r="AE5" s="160"/>
      <c r="AF5" s="165"/>
      <c r="AG5" s="165"/>
      <c r="AH5" s="160"/>
      <c r="AI5" s="160"/>
    </row>
    <row r="6" spans="1:60" ht="23.25" outlineLevel="1" x14ac:dyDescent="0.25">
      <c r="A6" s="127" t="s">
        <v>83</v>
      </c>
      <c r="B6" s="128"/>
      <c r="C6" s="129">
        <v>46112</v>
      </c>
      <c r="D6" s="19"/>
      <c r="E6" s="16"/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5"/>
      <c r="AB6" s="126"/>
      <c r="AC6" s="19"/>
      <c r="AD6" s="19"/>
      <c r="AE6" s="19"/>
      <c r="AF6" s="19"/>
      <c r="AG6" s="19"/>
      <c r="AH6" s="19"/>
      <c r="AI6" s="19"/>
      <c r="AJ6" s="19"/>
      <c r="AK6" s="19"/>
      <c r="AL6" s="16"/>
      <c r="AM6" s="19"/>
      <c r="AN6" s="16"/>
      <c r="AO6" s="16"/>
      <c r="AP6" s="16"/>
      <c r="AQ6" s="16"/>
      <c r="AR6" s="16"/>
      <c r="AS6" s="16"/>
      <c r="AT6" s="16"/>
      <c r="AU6" s="16"/>
      <c r="AV6" s="16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6"/>
    </row>
    <row r="7" spans="1:60" ht="18.75" customHeight="1" x14ac:dyDescent="0.25">
      <c r="A7" s="233" t="s">
        <v>84</v>
      </c>
      <c r="B7" s="236" t="s">
        <v>85</v>
      </c>
      <c r="C7" s="236" t="s">
        <v>86</v>
      </c>
      <c r="D7" s="238" t="s">
        <v>1</v>
      </c>
      <c r="F7" s="229">
        <v>15</v>
      </c>
      <c r="G7" s="229"/>
      <c r="H7" s="229">
        <v>7</v>
      </c>
      <c r="I7" s="229"/>
      <c r="J7" s="229">
        <v>6</v>
      </c>
      <c r="K7" s="229"/>
      <c r="L7" s="229">
        <v>3</v>
      </c>
      <c r="M7" s="229"/>
      <c r="N7" s="229">
        <v>30</v>
      </c>
      <c r="O7" s="229"/>
      <c r="P7" s="229">
        <v>10</v>
      </c>
      <c r="Q7" s="229"/>
      <c r="R7" s="229">
        <v>20</v>
      </c>
      <c r="S7" s="229"/>
      <c r="T7" s="229">
        <v>7</v>
      </c>
      <c r="U7" s="229"/>
      <c r="V7" s="229">
        <v>7</v>
      </c>
      <c r="W7" s="229"/>
      <c r="X7" s="229">
        <v>5</v>
      </c>
      <c r="Y7" s="229"/>
      <c r="Z7" s="229">
        <v>10</v>
      </c>
      <c r="AA7" s="229"/>
      <c r="AB7" s="243" t="s">
        <v>87</v>
      </c>
      <c r="AC7" s="16"/>
      <c r="AD7" s="244" t="s">
        <v>88</v>
      </c>
      <c r="AE7" s="16"/>
      <c r="AF7" s="241" t="s">
        <v>77</v>
      </c>
      <c r="AG7" s="257" t="s">
        <v>89</v>
      </c>
      <c r="AH7" s="257" t="s">
        <v>23</v>
      </c>
      <c r="AI7" s="257" t="s">
        <v>90</v>
      </c>
      <c r="AJ7" s="257" t="s">
        <v>91</v>
      </c>
      <c r="AK7" s="258" t="s">
        <v>92</v>
      </c>
      <c r="AL7" s="86"/>
      <c r="AM7" s="255" t="s">
        <v>93</v>
      </c>
      <c r="AN7" s="257" t="s">
        <v>94</v>
      </c>
      <c r="AO7" s="259" t="s">
        <v>95</v>
      </c>
      <c r="AP7" s="86"/>
      <c r="AQ7" s="261" t="s">
        <v>96</v>
      </c>
      <c r="AR7" s="252" t="s">
        <v>97</v>
      </c>
      <c r="AS7" s="259" t="s">
        <v>95</v>
      </c>
      <c r="AT7" s="86"/>
      <c r="AU7" s="255" t="s">
        <v>98</v>
      </c>
      <c r="AV7" s="252" t="s">
        <v>99</v>
      </c>
      <c r="AW7" s="246" t="s">
        <v>2</v>
      </c>
      <c r="AX7" s="246" t="s">
        <v>4</v>
      </c>
      <c r="AY7" s="246" t="s">
        <v>6</v>
      </c>
      <c r="AZ7" s="246" t="s">
        <v>100</v>
      </c>
      <c r="BA7" s="246" t="s">
        <v>10</v>
      </c>
      <c r="BB7" s="246" t="s">
        <v>12</v>
      </c>
      <c r="BC7" s="246" t="s">
        <v>14</v>
      </c>
      <c r="BD7" s="246" t="s">
        <v>15</v>
      </c>
      <c r="BE7" s="246" t="s">
        <v>16</v>
      </c>
      <c r="BF7" s="246" t="s">
        <v>17</v>
      </c>
      <c r="BG7" s="249" t="s">
        <v>101</v>
      </c>
      <c r="BH7" s="86"/>
    </row>
    <row r="8" spans="1:60" ht="26.25" x14ac:dyDescent="0.25">
      <c r="A8" s="233"/>
      <c r="B8" s="236"/>
      <c r="C8" s="236"/>
      <c r="D8" s="238"/>
      <c r="E8" s="16"/>
      <c r="F8" s="231" t="s">
        <v>2</v>
      </c>
      <c r="G8" s="231"/>
      <c r="H8" s="231" t="s">
        <v>4</v>
      </c>
      <c r="I8" s="231"/>
      <c r="J8" s="231" t="s">
        <v>6</v>
      </c>
      <c r="K8" s="231"/>
      <c r="L8" s="231" t="s">
        <v>8</v>
      </c>
      <c r="M8" s="231"/>
      <c r="N8" s="231" t="s">
        <v>10</v>
      </c>
      <c r="O8" s="231"/>
      <c r="P8" s="231" t="s">
        <v>12</v>
      </c>
      <c r="Q8" s="231"/>
      <c r="R8" s="231" t="s">
        <v>14</v>
      </c>
      <c r="S8" s="231"/>
      <c r="T8" s="231" t="s">
        <v>15</v>
      </c>
      <c r="U8" s="231"/>
      <c r="V8" s="231" t="s">
        <v>16</v>
      </c>
      <c r="W8" s="231"/>
      <c r="X8" s="231" t="s">
        <v>17</v>
      </c>
      <c r="Y8" s="231"/>
      <c r="Z8" s="231" t="s">
        <v>18</v>
      </c>
      <c r="AA8" s="231"/>
      <c r="AB8" s="243"/>
      <c r="AC8" s="16"/>
      <c r="AD8" s="244"/>
      <c r="AE8" s="16"/>
      <c r="AF8" s="242"/>
      <c r="AG8" s="237"/>
      <c r="AH8" s="237"/>
      <c r="AI8" s="237"/>
      <c r="AJ8" s="257"/>
      <c r="AK8" s="258"/>
      <c r="AL8" s="48"/>
      <c r="AM8" s="255"/>
      <c r="AN8" s="257"/>
      <c r="AO8" s="259"/>
      <c r="AP8" s="48"/>
      <c r="AQ8" s="261"/>
      <c r="AR8" s="252"/>
      <c r="AS8" s="259"/>
      <c r="AT8" s="48"/>
      <c r="AU8" s="255"/>
      <c r="AV8" s="252"/>
      <c r="AW8" s="246"/>
      <c r="AX8" s="246"/>
      <c r="AY8" s="246"/>
      <c r="AZ8" s="246"/>
      <c r="BA8" s="246"/>
      <c r="BB8" s="246"/>
      <c r="BC8" s="246"/>
      <c r="BD8" s="246"/>
      <c r="BE8" s="246"/>
      <c r="BF8" s="246"/>
      <c r="BG8" s="249"/>
      <c r="BH8" s="48"/>
    </row>
    <row r="9" spans="1:60" s="7" customFormat="1" ht="22.5" x14ac:dyDescent="0.25">
      <c r="A9" s="233"/>
      <c r="B9" s="236"/>
      <c r="C9" s="236"/>
      <c r="D9" s="238"/>
      <c r="E9" s="20"/>
      <c r="F9" s="65" t="s">
        <v>102</v>
      </c>
      <c r="G9" s="66" t="s">
        <v>103</v>
      </c>
      <c r="H9" s="65" t="s">
        <v>102</v>
      </c>
      <c r="I9" s="66" t="s">
        <v>103</v>
      </c>
      <c r="J9" s="65" t="s">
        <v>102</v>
      </c>
      <c r="K9" s="66" t="s">
        <v>103</v>
      </c>
      <c r="L9" s="65" t="s">
        <v>102</v>
      </c>
      <c r="M9" s="66" t="s">
        <v>103</v>
      </c>
      <c r="N9" s="65" t="s">
        <v>102</v>
      </c>
      <c r="O9" s="66" t="s">
        <v>103</v>
      </c>
      <c r="P9" s="65" t="s">
        <v>102</v>
      </c>
      <c r="Q9" s="66" t="s">
        <v>103</v>
      </c>
      <c r="R9" s="65" t="s">
        <v>102</v>
      </c>
      <c r="S9" s="66" t="s">
        <v>103</v>
      </c>
      <c r="T9" s="65" t="s">
        <v>102</v>
      </c>
      <c r="U9" s="66" t="s">
        <v>103</v>
      </c>
      <c r="V9" s="65" t="s">
        <v>102</v>
      </c>
      <c r="W9" s="66" t="s">
        <v>103</v>
      </c>
      <c r="X9" s="65" t="s">
        <v>102</v>
      </c>
      <c r="Y9" s="66" t="s">
        <v>103</v>
      </c>
      <c r="Z9" s="65" t="s">
        <v>102</v>
      </c>
      <c r="AA9" s="66" t="s">
        <v>103</v>
      </c>
      <c r="AB9" s="243"/>
      <c r="AC9" s="20"/>
      <c r="AD9" s="244"/>
      <c r="AE9" s="20"/>
      <c r="AF9" s="242"/>
      <c r="AG9" s="237"/>
      <c r="AH9" s="237"/>
      <c r="AI9" s="237"/>
      <c r="AJ9" s="257"/>
      <c r="AK9" s="258"/>
      <c r="AL9" s="87"/>
      <c r="AM9" s="255"/>
      <c r="AN9" s="257"/>
      <c r="AO9" s="259"/>
      <c r="AP9" s="87"/>
      <c r="AQ9" s="261"/>
      <c r="AR9" s="252"/>
      <c r="AS9" s="259"/>
      <c r="AT9" s="87"/>
      <c r="AU9" s="255"/>
      <c r="AV9" s="252"/>
      <c r="AW9" s="246"/>
      <c r="AX9" s="246"/>
      <c r="AY9" s="246"/>
      <c r="AZ9" s="246"/>
      <c r="BA9" s="246"/>
      <c r="BB9" s="246"/>
      <c r="BC9" s="246"/>
      <c r="BD9" s="246"/>
      <c r="BE9" s="246"/>
      <c r="BF9" s="246"/>
      <c r="BG9" s="249"/>
      <c r="BH9" s="87"/>
    </row>
    <row r="10" spans="1:60" ht="26.25" x14ac:dyDescent="0.25">
      <c r="A10" s="53"/>
      <c r="B10" s="49"/>
      <c r="C10" s="50" t="s">
        <v>104</v>
      </c>
      <c r="D10" s="61"/>
      <c r="E10" s="51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1"/>
      <c r="BF10" s="51"/>
      <c r="BG10" s="88"/>
      <c r="BH10" s="48"/>
    </row>
    <row r="11" spans="1:60" ht="26.25" x14ac:dyDescent="0.25">
      <c r="A11" s="56" cm="1">
        <f t="array" ref="A11">SUMPRODUCT(($AV$10:$AV$55&lt;&gt;"")*(ROW($AV$10:$AV$55)&lt;=ROW()))</f>
        <v>1</v>
      </c>
      <c r="B11" s="57"/>
      <c r="C11" s="58"/>
      <c r="D11" s="93"/>
      <c r="E11" s="16"/>
      <c r="F11" s="29">
        <f>H11-$H$7</f>
        <v>-96</v>
      </c>
      <c r="G11" s="42"/>
      <c r="H11" s="29">
        <f>J11-$J$7</f>
        <v>-89</v>
      </c>
      <c r="I11" s="42"/>
      <c r="J11" s="29">
        <f>L11-$L$7</f>
        <v>-83</v>
      </c>
      <c r="K11" s="42"/>
      <c r="L11" s="29">
        <f>N11-$N$7</f>
        <v>-80</v>
      </c>
      <c r="M11" s="42"/>
      <c r="N11" s="29">
        <f>P11-$P$7</f>
        <v>-50</v>
      </c>
      <c r="O11" s="42"/>
      <c r="P11" s="29">
        <f>R11-$R$7</f>
        <v>-40</v>
      </c>
      <c r="Q11" s="42"/>
      <c r="R11" s="29">
        <f>T11-$T$7</f>
        <v>-20</v>
      </c>
      <c r="S11" s="42"/>
      <c r="T11" s="29">
        <f>V11-$V$7</f>
        <v>-13</v>
      </c>
      <c r="U11" s="42"/>
      <c r="V11" s="29">
        <f>X11-$X$7</f>
        <v>-6</v>
      </c>
      <c r="W11" s="42"/>
      <c r="X11" s="29">
        <f>AN11</f>
        <v>-1</v>
      </c>
      <c r="Y11" s="42"/>
      <c r="Z11" s="30">
        <f>X11+$Z$7</f>
        <v>9</v>
      </c>
      <c r="AA11" s="42"/>
      <c r="AB11" s="31">
        <f>IF(AV11="10. Issued to Contractor","-",IF(AV11="11. Subcontract Agreement signed","-",MAX(AN11,AR11)-$C$6))</f>
        <v>-46113</v>
      </c>
      <c r="AC11" s="16"/>
      <c r="AD11" s="131">
        <f>SUM($H$7:$Y$7)</f>
        <v>95</v>
      </c>
      <c r="AE11" s="16"/>
      <c r="AF11" s="95"/>
      <c r="AG11" s="67"/>
      <c r="AH11" s="67"/>
      <c r="AI11" s="67"/>
      <c r="AJ11" s="68" t="str">
        <f>IFERROR(IF(AI11&gt;0,AH11-AI11,""),AH11)</f>
        <v/>
      </c>
      <c r="AK11" s="102"/>
      <c r="AL11" s="48"/>
      <c r="AM11" s="105"/>
      <c r="AN11" s="69">
        <f>$M$3+AM11-1</f>
        <v>-1</v>
      </c>
      <c r="AO11" s="107">
        <f>AN11-AU11</f>
        <v>-46208</v>
      </c>
      <c r="AP11" s="48"/>
      <c r="AQ11" s="111"/>
      <c r="AR11" s="70" t="str">
        <f>IFERROR(WORKDAY.INTL(AN11,AQ11,11),"")</f>
        <v/>
      </c>
      <c r="AS11" s="107" t="e">
        <f>AR11-AU11</f>
        <v>#VALUE!</v>
      </c>
      <c r="AT11" s="48"/>
      <c r="AU11" s="113">
        <f>IF(Y11&gt;0,Y11,IFERROR(MAX(_xlfn.XLOOKUP($AV11,$H$8:$Z$8,$G11:$Y11),$C$6)+(AN11-_xlfn.XLOOKUP($AV11,$H$8:$Z$8,$F11:$X11))*AD11/SUM($H$7:$Y$7),$C$6+SUM(AD11)))</f>
        <v>46207</v>
      </c>
      <c r="AV11" s="119" t="str" cm="1">
        <f t="array" ref="AV11">INDEX($E$8:$Z$8, MATCH(TRUE, (F11:AA11="")+(F11:AA11&gt;$C$6)&gt;0, 0))</f>
        <v>1. Tender Docs &amp; BOQ</v>
      </c>
      <c r="AW11" s="116" t="b">
        <f>IF(AND(G11&gt;0,G11&lt;$C$6),TRUE,FALSE)</f>
        <v>0</v>
      </c>
      <c r="AX11" s="71" t="b">
        <f>IF(AND(I11&gt;0,I11&lt;$C$6),TRUE,FALSE)</f>
        <v>0</v>
      </c>
      <c r="AY11" s="71" t="b">
        <f>IF(AND(K11&gt;0,K11&lt;$C$6),TRUE,FALSE)</f>
        <v>0</v>
      </c>
      <c r="AZ11" s="71" t="b">
        <f>IF(AND(M11&gt;0,M11&lt;$C$6),TRUE,FALSE)</f>
        <v>0</v>
      </c>
      <c r="BA11" s="71" t="b">
        <f>IF(AND(O11&gt;0,O11&lt;$C$6),TRUE,FALSE)</f>
        <v>0</v>
      </c>
      <c r="BB11" s="71" t="b">
        <f>IF(AND(Q11&gt;0,Q11&lt;$C$6),TRUE,FALSE)</f>
        <v>0</v>
      </c>
      <c r="BC11" s="71" t="b">
        <f>IF(AND(S11&gt;0,S11&lt;$C$6),TRUE,FALSE)</f>
        <v>0</v>
      </c>
      <c r="BD11" s="71" t="b">
        <f>IF(AND(U11&gt;0,U11&lt;$C$6),TRUE,FALSE)</f>
        <v>0</v>
      </c>
      <c r="BE11" s="71" t="b">
        <f>IF(AND(W11&gt;0,W11&lt;$C$6),TRUE,FALSE)</f>
        <v>0</v>
      </c>
      <c r="BF11" s="71" t="b">
        <f>IF(AND(Y11&gt;0,Y11&lt;$C$6),TRUE,FALSE)</f>
        <v>0</v>
      </c>
      <c r="BG11" s="89" t="b">
        <f>IF(AND(AA11&gt;0,AA11&lt;$C$6),TRUE,FALSE)</f>
        <v>0</v>
      </c>
      <c r="BH11" s="48"/>
    </row>
    <row r="12" spans="1:60" ht="26.25" x14ac:dyDescent="0.25">
      <c r="A12" s="56" cm="1">
        <f t="array" ref="A12">SUMPRODUCT(($AV$10:$AV$55&lt;&gt;"")*(ROW($AV$10:$AV$55)&lt;=ROW()))</f>
        <v>2</v>
      </c>
      <c r="B12" s="59"/>
      <c r="C12" s="60"/>
      <c r="D12" s="59"/>
      <c r="E12" s="43"/>
      <c r="F12" s="44">
        <f>H12-$H$7</f>
        <v>-96</v>
      </c>
      <c r="G12" s="45"/>
      <c r="H12" s="44">
        <f>J12-$J$7</f>
        <v>-89</v>
      </c>
      <c r="I12" s="45"/>
      <c r="J12" s="44">
        <f>L12-$L$7</f>
        <v>-83</v>
      </c>
      <c r="K12" s="45"/>
      <c r="L12" s="44">
        <f>N12-$N$7</f>
        <v>-80</v>
      </c>
      <c r="M12" s="45"/>
      <c r="N12" s="44">
        <f>P12-$P$7</f>
        <v>-50</v>
      </c>
      <c r="O12" s="45"/>
      <c r="P12" s="44">
        <f>R12-$R$7</f>
        <v>-40</v>
      </c>
      <c r="Q12" s="45"/>
      <c r="R12" s="44">
        <f>T12-$T$7</f>
        <v>-20</v>
      </c>
      <c r="S12" s="45"/>
      <c r="T12" s="44">
        <f>V12-$V$7</f>
        <v>-13</v>
      </c>
      <c r="U12" s="45"/>
      <c r="V12" s="44">
        <f>X12-$X$7</f>
        <v>-6</v>
      </c>
      <c r="W12" s="45"/>
      <c r="X12" s="44">
        <f t="shared" ref="X12:X13" si="0">AN12</f>
        <v>-1</v>
      </c>
      <c r="Y12" s="45"/>
      <c r="Z12" s="46">
        <f>X12+$Z$7</f>
        <v>9</v>
      </c>
      <c r="AA12" s="45"/>
      <c r="AB12" s="47">
        <f>IF(AV12="10. Issued to Contractor","-",IF(AV12="11. Subcontract Agreement signed","-",MAX(AN12,AR12)-$C$6))</f>
        <v>-46113</v>
      </c>
      <c r="AC12" s="16"/>
      <c r="AD12" s="131">
        <f t="shared" ref="AD12:AD13" si="1">SUM($H$7:$Y$7)</f>
        <v>95</v>
      </c>
      <c r="AE12" s="16"/>
      <c r="AF12" s="96"/>
      <c r="AG12" s="72"/>
      <c r="AH12" s="72"/>
      <c r="AI12" s="72"/>
      <c r="AJ12" s="73" t="str">
        <f>IFERROR(IF(AI12&gt;0,AH12-AI12,""),AH12)</f>
        <v/>
      </c>
      <c r="AK12" s="101"/>
      <c r="AL12" s="48"/>
      <c r="AM12" s="104"/>
      <c r="AN12" s="74">
        <f>$M$3+AM12-1</f>
        <v>-1</v>
      </c>
      <c r="AO12" s="108">
        <f>AN12-AU12</f>
        <v>-46208</v>
      </c>
      <c r="AP12" s="48"/>
      <c r="AQ12" s="110"/>
      <c r="AR12" s="75" t="str">
        <f>IFERROR(WORKDAY.INTL(AN12,AQ12,11),"")</f>
        <v/>
      </c>
      <c r="AS12" s="108" t="e">
        <f>AR12-AU12</f>
        <v>#VALUE!</v>
      </c>
      <c r="AT12" s="48"/>
      <c r="AU12" s="114">
        <f t="shared" ref="AU12:AU13" si="2">IF(Y12&gt;0,Y12,IFERROR(MAX(_xlfn.XLOOKUP($AV12,$H$8:$Z$8,$G12:$Y12),$C$6)+(AN12-_xlfn.XLOOKUP($AV12,$H$8:$Z$8,$F12:$X12))*AD12/SUM($H$7:$Y$7),$C$6+SUM(AD12)))</f>
        <v>46207</v>
      </c>
      <c r="AV12" s="120" t="str" cm="1">
        <f t="array" ref="AV12">INDEX($E$8:$Z$8, MATCH(TRUE, (F12:AA12="")+(F12:AA12&gt;$C$6)&gt;0, 0))</f>
        <v>1. Tender Docs &amp; BOQ</v>
      </c>
      <c r="AW12" s="117" t="b">
        <f>IF(AND(G12&gt;0,G12&lt;$C$6),TRUE,FALSE)</f>
        <v>0</v>
      </c>
      <c r="AX12" s="76" t="b">
        <f>IF(AND(I12&gt;0,I12&lt;$C$6),TRUE,FALSE)</f>
        <v>0</v>
      </c>
      <c r="AY12" s="76" t="b">
        <f>IF(AND(K12&gt;0,K12&lt;$C$6),TRUE,FALSE)</f>
        <v>0</v>
      </c>
      <c r="AZ12" s="76" t="b">
        <f>IF(AND(M12&gt;0,M12&lt;$C$6),TRUE,FALSE)</f>
        <v>0</v>
      </c>
      <c r="BA12" s="76" t="b">
        <f>IF(AND(O12&gt;0,O12&lt;$C$6),TRUE,FALSE)</f>
        <v>0</v>
      </c>
      <c r="BB12" s="76" t="b">
        <f>IF(AND(Q12&gt;0,Q12&lt;$C$6),TRUE,FALSE)</f>
        <v>0</v>
      </c>
      <c r="BC12" s="76" t="b">
        <f>IF(AND(S12&gt;0,S12&lt;$C$6),TRUE,FALSE)</f>
        <v>0</v>
      </c>
      <c r="BD12" s="76" t="b">
        <f>IF(AND(U12&gt;0,U12&lt;$C$6),TRUE,FALSE)</f>
        <v>0</v>
      </c>
      <c r="BE12" s="76" t="b">
        <f>IF(AND(W12&gt;0,W12&lt;$C$6),TRUE,FALSE)</f>
        <v>0</v>
      </c>
      <c r="BF12" s="76" t="b">
        <f>IF(AND(Y12&gt;0,Y12&lt;$C$6),TRUE,FALSE)</f>
        <v>0</v>
      </c>
      <c r="BG12" s="90" t="b">
        <f>IF(AND(AA12&gt;0,AA12&lt;$C$6),TRUE,FALSE)</f>
        <v>0</v>
      </c>
      <c r="BH12" s="48"/>
    </row>
    <row r="13" spans="1:60" ht="26.25" x14ac:dyDescent="0.25">
      <c r="A13" s="56" cm="1">
        <f t="array" ref="A13">SUMPRODUCT(($AV$10:$AV$55&lt;&gt;"")*(ROW($AV$10:$AV$55)&lt;=ROW()))</f>
        <v>3</v>
      </c>
      <c r="B13" s="57"/>
      <c r="C13" s="58"/>
      <c r="D13" s="93"/>
      <c r="E13" s="16"/>
      <c r="F13" s="29">
        <f>H13-$H$7</f>
        <v>-96</v>
      </c>
      <c r="G13" s="42"/>
      <c r="H13" s="29">
        <f>J13-$J$7</f>
        <v>-89</v>
      </c>
      <c r="I13" s="42"/>
      <c r="J13" s="29">
        <f>L13-$L$7</f>
        <v>-83</v>
      </c>
      <c r="K13" s="42"/>
      <c r="L13" s="29">
        <f>N13-$N$7</f>
        <v>-80</v>
      </c>
      <c r="M13" s="42"/>
      <c r="N13" s="29">
        <f>P13-$P$7</f>
        <v>-50</v>
      </c>
      <c r="O13" s="42"/>
      <c r="P13" s="29">
        <f>R13-$R$7</f>
        <v>-40</v>
      </c>
      <c r="Q13" s="42"/>
      <c r="R13" s="29">
        <f>T13-$T$7</f>
        <v>-20</v>
      </c>
      <c r="S13" s="42"/>
      <c r="T13" s="29">
        <f>V13-$V$7</f>
        <v>-13</v>
      </c>
      <c r="U13" s="42"/>
      <c r="V13" s="29">
        <f>X13-$X$7</f>
        <v>-6</v>
      </c>
      <c r="W13" s="42"/>
      <c r="X13" s="29">
        <f t="shared" si="0"/>
        <v>-1</v>
      </c>
      <c r="Y13" s="42"/>
      <c r="Z13" s="30">
        <f>X13+$Z$7</f>
        <v>9</v>
      </c>
      <c r="AA13" s="42"/>
      <c r="AB13" s="31">
        <f>IF(AV13="10. Issued to Contractor","-",IF(AV13="11. Subcontract Agreement signed","-",MAX(AN13,AR13)-$C$6))</f>
        <v>-46113</v>
      </c>
      <c r="AC13" s="16"/>
      <c r="AD13" s="131">
        <f t="shared" si="1"/>
        <v>95</v>
      </c>
      <c r="AE13" s="16"/>
      <c r="AF13" s="95"/>
      <c r="AG13" s="67"/>
      <c r="AH13" s="67"/>
      <c r="AI13" s="67"/>
      <c r="AJ13" s="68" t="str">
        <f>IFERROR(IF(AI13&gt;0,AH13-AI13,""),AH13)</f>
        <v/>
      </c>
      <c r="AK13" s="102"/>
      <c r="AL13" s="48"/>
      <c r="AM13" s="105"/>
      <c r="AN13" s="69">
        <f>$M$3+AM13-1</f>
        <v>-1</v>
      </c>
      <c r="AO13" s="107">
        <f>AN13-AU13</f>
        <v>-46208</v>
      </c>
      <c r="AP13" s="48"/>
      <c r="AQ13" s="111"/>
      <c r="AR13" s="70" t="str">
        <f>IFERROR(WORKDAY.INTL(AN13,AQ13,11),"")</f>
        <v/>
      </c>
      <c r="AS13" s="107" t="e">
        <f>AR13-AU13</f>
        <v>#VALUE!</v>
      </c>
      <c r="AT13" s="48"/>
      <c r="AU13" s="113">
        <f t="shared" si="2"/>
        <v>46207</v>
      </c>
      <c r="AV13" s="119" t="str" cm="1">
        <f t="array" ref="AV13">INDEX($E$8:$Z$8, MATCH(TRUE, (F13:AA13="")+(F13:AA13&gt;$C$6)&gt;0, 0))</f>
        <v>1. Tender Docs &amp; BOQ</v>
      </c>
      <c r="AW13" s="116" t="b">
        <f>IF(AND(G13&gt;0,G13&lt;$C$6),TRUE,FALSE)</f>
        <v>0</v>
      </c>
      <c r="AX13" s="71" t="b">
        <f>IF(AND(I13&gt;0,I13&lt;$C$6),TRUE,FALSE)</f>
        <v>0</v>
      </c>
      <c r="AY13" s="71" t="b">
        <f>IF(AND(K13&gt;0,K13&lt;$C$6),TRUE,FALSE)</f>
        <v>0</v>
      </c>
      <c r="AZ13" s="71" t="b">
        <f>IF(AND(M13&gt;0,M13&lt;$C$6),TRUE,FALSE)</f>
        <v>0</v>
      </c>
      <c r="BA13" s="71" t="b">
        <f>IF(AND(O13&gt;0,O13&lt;$C$6),TRUE,FALSE)</f>
        <v>0</v>
      </c>
      <c r="BB13" s="71" t="b">
        <f>IF(AND(Q13&gt;0,Q13&lt;$C$6),TRUE,FALSE)</f>
        <v>0</v>
      </c>
      <c r="BC13" s="71" t="b">
        <f>IF(AND(S13&gt;0,S13&lt;$C$6),TRUE,FALSE)</f>
        <v>0</v>
      </c>
      <c r="BD13" s="71" t="b">
        <f>IF(AND(U13&gt;0,U13&lt;$C$6),TRUE,FALSE)</f>
        <v>0</v>
      </c>
      <c r="BE13" s="71" t="b">
        <f>IF(AND(W13&gt;0,W13&lt;$C$6),TRUE,FALSE)</f>
        <v>0</v>
      </c>
      <c r="BF13" s="71" t="b">
        <f>IF(AND(Y13&gt;0,Y13&lt;$C$6),TRUE,FALSE)</f>
        <v>0</v>
      </c>
      <c r="BG13" s="89" t="b">
        <f>IF(AND(AA13&gt;0,AA13&lt;$C$6),TRUE,FALSE)</f>
        <v>0</v>
      </c>
      <c r="BH13" s="48"/>
    </row>
    <row r="14" spans="1:60" ht="26.25" x14ac:dyDescent="0.25">
      <c r="A14" s="55"/>
      <c r="B14" s="49"/>
      <c r="C14" s="50" t="s">
        <v>115</v>
      </c>
      <c r="D14" s="51"/>
      <c r="E14" s="51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1"/>
      <c r="AC14" s="51"/>
      <c r="AD14" s="132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1"/>
      <c r="BF14" s="51"/>
      <c r="BG14" s="88"/>
      <c r="BH14" s="48"/>
    </row>
    <row r="15" spans="1:60" ht="26.25" x14ac:dyDescent="0.25">
      <c r="A15" s="53"/>
      <c r="B15" s="49"/>
      <c r="C15" s="50" t="s">
        <v>445</v>
      </c>
      <c r="D15" s="51"/>
      <c r="E15" s="51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1"/>
      <c r="AC15" s="51"/>
      <c r="AD15" s="132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51"/>
      <c r="BD15" s="51"/>
      <c r="BE15" s="51"/>
      <c r="BF15" s="51"/>
      <c r="BG15" s="88"/>
      <c r="BH15" s="48"/>
    </row>
    <row r="16" spans="1:60" ht="26.25" x14ac:dyDescent="0.25">
      <c r="A16" s="56" cm="1">
        <f t="array" ref="A16">SUMPRODUCT(($AV$10:$AV$55&lt;&gt;"")*(ROW($AV$10:$AV$55)&lt;=ROW()))</f>
        <v>4</v>
      </c>
      <c r="B16" s="57"/>
      <c r="C16" s="58"/>
      <c r="D16" s="93"/>
      <c r="E16" s="16"/>
      <c r="F16" s="29">
        <f>H16-$H$7</f>
        <v>-96</v>
      </c>
      <c r="G16" s="42"/>
      <c r="H16" s="29">
        <f>J16-$J$7</f>
        <v>-89</v>
      </c>
      <c r="I16" s="42"/>
      <c r="J16" s="29">
        <f>L16-$L$7</f>
        <v>-83</v>
      </c>
      <c r="K16" s="42"/>
      <c r="L16" s="29">
        <f>N16-$N$7</f>
        <v>-80</v>
      </c>
      <c r="M16" s="42"/>
      <c r="N16" s="29">
        <f>P16-$P$7</f>
        <v>-50</v>
      </c>
      <c r="O16" s="42"/>
      <c r="P16" s="29">
        <f>R16-$R$7</f>
        <v>-40</v>
      </c>
      <c r="Q16" s="42"/>
      <c r="R16" s="29">
        <f>T16-$T$7</f>
        <v>-20</v>
      </c>
      <c r="S16" s="42"/>
      <c r="T16" s="29">
        <f>V16-$V$7</f>
        <v>-13</v>
      </c>
      <c r="U16" s="42"/>
      <c r="V16" s="29">
        <f>X16-$X$7</f>
        <v>-6</v>
      </c>
      <c r="W16" s="42"/>
      <c r="X16" s="29">
        <f t="shared" ref="X16:X20" si="3">AN16</f>
        <v>-1</v>
      </c>
      <c r="Y16" s="42"/>
      <c r="Z16" s="30">
        <f>X16+$Z$7</f>
        <v>9</v>
      </c>
      <c r="AA16" s="42"/>
      <c r="AB16" s="31">
        <f>IF(AV16="10. Issued to Contractor","-",IF(AV16="11. Subcontract Agreement signed","-",MAX(AN16,AR16)-$C$6))</f>
        <v>-46113</v>
      </c>
      <c r="AC16" s="16"/>
      <c r="AD16" s="131">
        <f t="shared" ref="AD16:AD20" si="4">SUM($H$7:$Y$7)</f>
        <v>95</v>
      </c>
      <c r="AE16" s="16"/>
      <c r="AF16" s="95"/>
      <c r="AG16" s="67"/>
      <c r="AH16" s="67"/>
      <c r="AI16" s="67"/>
      <c r="AJ16" s="68" t="str">
        <f>IFERROR(IF(AI16&gt;0,AH16-AI16,""),AH16)</f>
        <v/>
      </c>
      <c r="AK16" s="102"/>
      <c r="AL16" s="48"/>
      <c r="AM16" s="105"/>
      <c r="AN16" s="69">
        <f>$M$3+AM16-1</f>
        <v>-1</v>
      </c>
      <c r="AO16" s="107">
        <f>AN16-AU16</f>
        <v>-46208</v>
      </c>
      <c r="AP16" s="48"/>
      <c r="AQ16" s="111"/>
      <c r="AR16" s="70" t="str">
        <f>IFERROR(WORKDAY.INTL(AN16,AQ16,11),"")</f>
        <v/>
      </c>
      <c r="AS16" s="107" t="e">
        <f>AR16-AU16</f>
        <v>#VALUE!</v>
      </c>
      <c r="AT16" s="48"/>
      <c r="AU16" s="113">
        <f t="shared" ref="AU16:AU20" si="5">IF(Y16&gt;0,Y16,IFERROR(MAX(_xlfn.XLOOKUP($AV16,$H$8:$Z$8,$G16:$Y16),$C$6)+(AN16-_xlfn.XLOOKUP($AV16,$H$8:$Z$8,$F16:$X16))*AD16/SUM($H$7:$Y$7),$C$6+SUM(AD16)))</f>
        <v>46207</v>
      </c>
      <c r="AV16" s="119" t="str" cm="1">
        <f t="array" ref="AV16">INDEX($E$8:$Z$8, MATCH(TRUE, (F16:AA16="")+(F16:AA16&gt;$C$6)&gt;0, 0))</f>
        <v>1. Tender Docs &amp; BOQ</v>
      </c>
      <c r="AW16" s="116" t="b">
        <f>IF(AND(G16&gt;0,G16&lt;$C$6),TRUE,FALSE)</f>
        <v>0</v>
      </c>
      <c r="AX16" s="71" t="b">
        <f>IF(AND(I16&gt;0,I16&lt;$C$6),TRUE,FALSE)</f>
        <v>0</v>
      </c>
      <c r="AY16" s="71" t="b">
        <f>IF(AND(K16&gt;0,K16&lt;$C$6),TRUE,FALSE)</f>
        <v>0</v>
      </c>
      <c r="AZ16" s="71" t="b">
        <f>IF(AND(M16&gt;0,M16&lt;$C$6),TRUE,FALSE)</f>
        <v>0</v>
      </c>
      <c r="BA16" s="71" t="b">
        <f>IF(AND(O16&gt;0,O16&lt;$C$6),TRUE,FALSE)</f>
        <v>0</v>
      </c>
      <c r="BB16" s="71" t="b">
        <f>IF(AND(Q16&gt;0,Q16&lt;$C$6),TRUE,FALSE)</f>
        <v>0</v>
      </c>
      <c r="BC16" s="71" t="b">
        <f>IF(AND(S16&gt;0,S16&lt;$C$6),TRUE,FALSE)</f>
        <v>0</v>
      </c>
      <c r="BD16" s="71" t="b">
        <f>IF(AND(U16&gt;0,U16&lt;$C$6),TRUE,FALSE)</f>
        <v>0</v>
      </c>
      <c r="BE16" s="71" t="b">
        <f>IF(AND(W16&gt;0,W16&lt;$C$6),TRUE,FALSE)</f>
        <v>0</v>
      </c>
      <c r="BF16" s="71" t="b">
        <f>IF(AND(Y16&gt;0,Y16&lt;$C$6),TRUE,FALSE)</f>
        <v>0</v>
      </c>
      <c r="BG16" s="89" t="b">
        <f>IF(AND(AA16&gt;0,AA16&lt;$C$6),TRUE,FALSE)</f>
        <v>0</v>
      </c>
      <c r="BH16" s="48"/>
    </row>
    <row r="17" spans="1:60" ht="26.25" x14ac:dyDescent="0.25">
      <c r="A17" s="56" cm="1">
        <f t="array" ref="A17">SUMPRODUCT(($AV$10:$AV$55&lt;&gt;"")*(ROW($AV$10:$AV$55)&lt;=ROW()))</f>
        <v>5</v>
      </c>
      <c r="B17" s="59"/>
      <c r="C17" s="60"/>
      <c r="D17" s="59"/>
      <c r="E17" s="43"/>
      <c r="F17" s="44">
        <f>H17-$H$7</f>
        <v>-96</v>
      </c>
      <c r="G17" s="45"/>
      <c r="H17" s="44">
        <f>J17-$J$7</f>
        <v>-89</v>
      </c>
      <c r="I17" s="45"/>
      <c r="J17" s="44">
        <f>L17-$L$7</f>
        <v>-83</v>
      </c>
      <c r="K17" s="45"/>
      <c r="L17" s="44">
        <f>N17-$N$7</f>
        <v>-80</v>
      </c>
      <c r="M17" s="45"/>
      <c r="N17" s="44">
        <f>P17-$P$7</f>
        <v>-50</v>
      </c>
      <c r="O17" s="45"/>
      <c r="P17" s="44">
        <f>R17-$R$7</f>
        <v>-40</v>
      </c>
      <c r="Q17" s="45"/>
      <c r="R17" s="44">
        <f>T17-$T$7</f>
        <v>-20</v>
      </c>
      <c r="S17" s="45"/>
      <c r="T17" s="44">
        <f>V17-$V$7</f>
        <v>-13</v>
      </c>
      <c r="U17" s="45"/>
      <c r="V17" s="44">
        <f>X17-$X$7</f>
        <v>-6</v>
      </c>
      <c r="W17" s="45"/>
      <c r="X17" s="44">
        <f t="shared" si="3"/>
        <v>-1</v>
      </c>
      <c r="Y17" s="45"/>
      <c r="Z17" s="46">
        <f>X17+$Z$7</f>
        <v>9</v>
      </c>
      <c r="AA17" s="45"/>
      <c r="AB17" s="32">
        <f>IF(AV17="10. Issued to Contractor","-",IF(AV17="11. Subcontract Agreement signed","-",MAX(AN17,AR17)-$C$6))</f>
        <v>-46113</v>
      </c>
      <c r="AC17" s="16"/>
      <c r="AD17" s="131">
        <f t="shared" si="4"/>
        <v>95</v>
      </c>
      <c r="AE17" s="16"/>
      <c r="AF17" s="96"/>
      <c r="AG17" s="72"/>
      <c r="AH17" s="72"/>
      <c r="AI17" s="72"/>
      <c r="AJ17" s="73" t="str">
        <f>IFERROR(IF(AI17&gt;0,AH17-AI17,""),AH17)</f>
        <v/>
      </c>
      <c r="AK17" s="101"/>
      <c r="AL17" s="48"/>
      <c r="AM17" s="104"/>
      <c r="AN17" s="74">
        <f>$M$3+AM17-1</f>
        <v>-1</v>
      </c>
      <c r="AO17" s="108">
        <f>AN17-AU17</f>
        <v>-46208</v>
      </c>
      <c r="AP17" s="48"/>
      <c r="AQ17" s="110"/>
      <c r="AR17" s="75" t="str">
        <f>IFERROR(WORKDAY.INTL(AN17,AQ17,11),"")</f>
        <v/>
      </c>
      <c r="AS17" s="108" t="e">
        <f>AR17-AU17</f>
        <v>#VALUE!</v>
      </c>
      <c r="AT17" s="48"/>
      <c r="AU17" s="114">
        <f t="shared" si="5"/>
        <v>46207</v>
      </c>
      <c r="AV17" s="120" t="str" cm="1">
        <f t="array" ref="AV17">INDEX($E$8:$Z$8, MATCH(TRUE, (F17:AA17="")+(F17:AA17&gt;$C$6)&gt;0, 0))</f>
        <v>1. Tender Docs &amp; BOQ</v>
      </c>
      <c r="AW17" s="117" t="b">
        <f>IF(AND(G17&gt;0,G17&lt;$C$6),TRUE,FALSE)</f>
        <v>0</v>
      </c>
      <c r="AX17" s="76" t="b">
        <f>IF(AND(I17&gt;0,I17&lt;$C$6),TRUE,FALSE)</f>
        <v>0</v>
      </c>
      <c r="AY17" s="76" t="b">
        <f>IF(AND(K17&gt;0,K17&lt;$C$6),TRUE,FALSE)</f>
        <v>0</v>
      </c>
      <c r="AZ17" s="76" t="b">
        <f>IF(AND(M17&gt;0,M17&lt;$C$6),TRUE,FALSE)</f>
        <v>0</v>
      </c>
      <c r="BA17" s="76" t="b">
        <f>IF(AND(O17&gt;0,O17&lt;$C$6),TRUE,FALSE)</f>
        <v>0</v>
      </c>
      <c r="BB17" s="76" t="b">
        <f>IF(AND(Q17&gt;0,Q17&lt;$C$6),TRUE,FALSE)</f>
        <v>0</v>
      </c>
      <c r="BC17" s="76" t="b">
        <f>IF(AND(S17&gt;0,S17&lt;$C$6),TRUE,FALSE)</f>
        <v>0</v>
      </c>
      <c r="BD17" s="76" t="b">
        <f>IF(AND(U17&gt;0,U17&lt;$C$6),TRUE,FALSE)</f>
        <v>0</v>
      </c>
      <c r="BE17" s="76" t="b">
        <f>IF(AND(W17&gt;0,W17&lt;$C$6),TRUE,FALSE)</f>
        <v>0</v>
      </c>
      <c r="BF17" s="76" t="b">
        <f>IF(AND(Y17&gt;0,Y17&lt;$C$6),TRUE,FALSE)</f>
        <v>0</v>
      </c>
      <c r="BG17" s="90" t="b">
        <f>IF(AND(AA17&gt;0,AA17&lt;$C$6),TRUE,FALSE)</f>
        <v>0</v>
      </c>
      <c r="BH17" s="48"/>
    </row>
    <row r="18" spans="1:60" ht="26.25" x14ac:dyDescent="0.25">
      <c r="A18" s="56" cm="1">
        <f t="array" ref="A18">SUMPRODUCT(($AV$10:$AV$55&lt;&gt;"")*(ROW($AV$10:$AV$55)&lt;=ROW()))</f>
        <v>6</v>
      </c>
      <c r="B18" s="57"/>
      <c r="C18" s="58"/>
      <c r="D18" s="93"/>
      <c r="E18" s="16"/>
      <c r="F18" s="29">
        <f>H18-$H$7</f>
        <v>-96</v>
      </c>
      <c r="G18" s="42"/>
      <c r="H18" s="29">
        <f>J18-$J$7</f>
        <v>-89</v>
      </c>
      <c r="I18" s="42"/>
      <c r="J18" s="29">
        <f>L18-$L$7</f>
        <v>-83</v>
      </c>
      <c r="K18" s="42"/>
      <c r="L18" s="29">
        <f>N18-$N$7</f>
        <v>-80</v>
      </c>
      <c r="M18" s="42"/>
      <c r="N18" s="29">
        <f>P18-$P$7</f>
        <v>-50</v>
      </c>
      <c r="O18" s="42"/>
      <c r="P18" s="29">
        <f>R18-$R$7</f>
        <v>-40</v>
      </c>
      <c r="Q18" s="42"/>
      <c r="R18" s="29">
        <f>T18-$T$7</f>
        <v>-20</v>
      </c>
      <c r="S18" s="42"/>
      <c r="T18" s="29">
        <f>V18-$V$7</f>
        <v>-13</v>
      </c>
      <c r="U18" s="42"/>
      <c r="V18" s="29">
        <f>X18-$X$7</f>
        <v>-6</v>
      </c>
      <c r="W18" s="42"/>
      <c r="X18" s="29">
        <f t="shared" si="3"/>
        <v>-1</v>
      </c>
      <c r="Y18" s="42"/>
      <c r="Z18" s="30">
        <f>X18+$Z$7</f>
        <v>9</v>
      </c>
      <c r="AA18" s="42"/>
      <c r="AB18" s="31">
        <f>IF(AV18="10. Issued to Contractor","-",IF(AV18="11. Subcontract Agreement signed","-",MAX(AN18,AR18)-$C$6))</f>
        <v>-46113</v>
      </c>
      <c r="AC18" s="16"/>
      <c r="AD18" s="131">
        <f t="shared" si="4"/>
        <v>95</v>
      </c>
      <c r="AE18" s="16"/>
      <c r="AF18" s="95"/>
      <c r="AG18" s="67"/>
      <c r="AH18" s="67"/>
      <c r="AI18" s="67"/>
      <c r="AJ18" s="68" t="str">
        <f>IFERROR(IF(AI18&gt;0,AH18-AI18,""),AH18)</f>
        <v/>
      </c>
      <c r="AK18" s="102"/>
      <c r="AL18" s="48"/>
      <c r="AM18" s="105"/>
      <c r="AN18" s="69">
        <f>$M$3+AM18-1</f>
        <v>-1</v>
      </c>
      <c r="AO18" s="107">
        <f>AN18-AU18</f>
        <v>-46208</v>
      </c>
      <c r="AP18" s="48"/>
      <c r="AQ18" s="111"/>
      <c r="AR18" s="70" t="str">
        <f>IFERROR(WORKDAY.INTL(AN18,AQ18,11),"")</f>
        <v/>
      </c>
      <c r="AS18" s="107" t="e">
        <f>AR18-AU18</f>
        <v>#VALUE!</v>
      </c>
      <c r="AT18" s="48"/>
      <c r="AU18" s="113">
        <f t="shared" si="5"/>
        <v>46207</v>
      </c>
      <c r="AV18" s="119" t="str" cm="1">
        <f t="array" ref="AV18">INDEX($E$8:$Z$8, MATCH(TRUE, (F18:AA18="")+(F18:AA18&gt;$C$6)&gt;0, 0))</f>
        <v>1. Tender Docs &amp; BOQ</v>
      </c>
      <c r="AW18" s="116" t="b">
        <f>IF(AND(G18&gt;0,G18&lt;$C$6),TRUE,FALSE)</f>
        <v>0</v>
      </c>
      <c r="AX18" s="71" t="b">
        <f>IF(AND(I18&gt;0,I18&lt;$C$6),TRUE,FALSE)</f>
        <v>0</v>
      </c>
      <c r="AY18" s="71" t="b">
        <f>IF(AND(K18&gt;0,K18&lt;$C$6),TRUE,FALSE)</f>
        <v>0</v>
      </c>
      <c r="AZ18" s="71" t="b">
        <f>IF(AND(M18&gt;0,M18&lt;$C$6),TRUE,FALSE)</f>
        <v>0</v>
      </c>
      <c r="BA18" s="71" t="b">
        <f>IF(AND(O18&gt;0,O18&lt;$C$6),TRUE,FALSE)</f>
        <v>0</v>
      </c>
      <c r="BB18" s="71" t="b">
        <f>IF(AND(Q18&gt;0,Q18&lt;$C$6),TRUE,FALSE)</f>
        <v>0</v>
      </c>
      <c r="BC18" s="71" t="b">
        <f>IF(AND(S18&gt;0,S18&lt;$C$6),TRUE,FALSE)</f>
        <v>0</v>
      </c>
      <c r="BD18" s="71" t="b">
        <f>IF(AND(U18&gt;0,U18&lt;$C$6),TRUE,FALSE)</f>
        <v>0</v>
      </c>
      <c r="BE18" s="71" t="b">
        <f>IF(AND(W18&gt;0,W18&lt;$C$6),TRUE,FALSE)</f>
        <v>0</v>
      </c>
      <c r="BF18" s="71" t="b">
        <f>IF(AND(Y18&gt;0,Y18&lt;$C$6),TRUE,FALSE)</f>
        <v>0</v>
      </c>
      <c r="BG18" s="89" t="b">
        <f>IF(AND(AA18&gt;0,AA18&lt;$C$6),TRUE,FALSE)</f>
        <v>0</v>
      </c>
      <c r="BH18" s="48"/>
    </row>
    <row r="19" spans="1:60" ht="26.25" x14ac:dyDescent="0.25">
      <c r="A19" s="56" cm="1">
        <f t="array" ref="A19">SUMPRODUCT(($AV$10:$AV$55&lt;&gt;"")*(ROW($AV$10:$AV$55)&lt;=ROW()))</f>
        <v>7</v>
      </c>
      <c r="B19" s="59"/>
      <c r="C19" s="60"/>
      <c r="D19" s="59"/>
      <c r="E19" s="43"/>
      <c r="F19" s="44">
        <f>H19-$H$7</f>
        <v>-96</v>
      </c>
      <c r="G19" s="45"/>
      <c r="H19" s="44">
        <f>J19-$J$7</f>
        <v>-89</v>
      </c>
      <c r="I19" s="45"/>
      <c r="J19" s="44">
        <f>L19-$L$7</f>
        <v>-83</v>
      </c>
      <c r="K19" s="45"/>
      <c r="L19" s="44">
        <f>N19-$N$7</f>
        <v>-80</v>
      </c>
      <c r="M19" s="45"/>
      <c r="N19" s="44">
        <f>P19-$P$7</f>
        <v>-50</v>
      </c>
      <c r="O19" s="45"/>
      <c r="P19" s="44">
        <f>R19-$R$7</f>
        <v>-40</v>
      </c>
      <c r="Q19" s="45"/>
      <c r="R19" s="44">
        <f>T19-$T$7</f>
        <v>-20</v>
      </c>
      <c r="S19" s="45"/>
      <c r="T19" s="44">
        <f>V19-$V$7</f>
        <v>-13</v>
      </c>
      <c r="U19" s="45"/>
      <c r="V19" s="44">
        <f>X19-$X$7</f>
        <v>-6</v>
      </c>
      <c r="W19" s="45"/>
      <c r="X19" s="44">
        <f t="shared" si="3"/>
        <v>-1</v>
      </c>
      <c r="Y19" s="45"/>
      <c r="Z19" s="46">
        <f>X19+$Z$7</f>
        <v>9</v>
      </c>
      <c r="AA19" s="45"/>
      <c r="AB19" s="32">
        <f>IF(AV19="10. Issued to Contractor","-",IF(AV19="11. Subcontract Agreement signed","-",MAX(AN19,AR19)-$C$6))</f>
        <v>-46113</v>
      </c>
      <c r="AC19" s="16"/>
      <c r="AD19" s="131">
        <f t="shared" si="4"/>
        <v>95</v>
      </c>
      <c r="AE19" s="16"/>
      <c r="AF19" s="96"/>
      <c r="AG19" s="72"/>
      <c r="AH19" s="72"/>
      <c r="AI19" s="72"/>
      <c r="AJ19" s="73" t="str">
        <f>IFERROR(IF(AI19&gt;0,AH19-AI19,""),AH19)</f>
        <v/>
      </c>
      <c r="AK19" s="101"/>
      <c r="AL19" s="48"/>
      <c r="AM19" s="104"/>
      <c r="AN19" s="74">
        <f>$M$3+AM19-1</f>
        <v>-1</v>
      </c>
      <c r="AO19" s="108">
        <f>AN19-AU19</f>
        <v>-46208</v>
      </c>
      <c r="AP19" s="48"/>
      <c r="AQ19" s="110"/>
      <c r="AR19" s="75" t="str">
        <f>IFERROR(WORKDAY.INTL(AN19,AQ19,11),"")</f>
        <v/>
      </c>
      <c r="AS19" s="108" t="e">
        <f>AR19-AU19</f>
        <v>#VALUE!</v>
      </c>
      <c r="AT19" s="48"/>
      <c r="AU19" s="114">
        <f t="shared" si="5"/>
        <v>46207</v>
      </c>
      <c r="AV19" s="120" t="str" cm="1">
        <f t="array" ref="AV19">INDEX($E$8:$Z$8, MATCH(TRUE, (F19:AA19="")+(F19:AA19&gt;$C$6)&gt;0, 0))</f>
        <v>1. Tender Docs &amp; BOQ</v>
      </c>
      <c r="AW19" s="117" t="b">
        <f>IF(AND(G19&gt;0,G19&lt;$C$6),TRUE,FALSE)</f>
        <v>0</v>
      </c>
      <c r="AX19" s="76" t="b">
        <f>IF(AND(I19&gt;0,I19&lt;$C$6),TRUE,FALSE)</f>
        <v>0</v>
      </c>
      <c r="AY19" s="76" t="b">
        <f>IF(AND(K19&gt;0,K19&lt;$C$6),TRUE,FALSE)</f>
        <v>0</v>
      </c>
      <c r="AZ19" s="76" t="b">
        <f>IF(AND(M19&gt;0,M19&lt;$C$6),TRUE,FALSE)</f>
        <v>0</v>
      </c>
      <c r="BA19" s="76" t="b">
        <f>IF(AND(O19&gt;0,O19&lt;$C$6),TRUE,FALSE)</f>
        <v>0</v>
      </c>
      <c r="BB19" s="76" t="b">
        <f>IF(AND(Q19&gt;0,Q19&lt;$C$6),TRUE,FALSE)</f>
        <v>0</v>
      </c>
      <c r="BC19" s="76" t="b">
        <f>IF(AND(S19&gt;0,S19&lt;$C$6),TRUE,FALSE)</f>
        <v>0</v>
      </c>
      <c r="BD19" s="76" t="b">
        <f>IF(AND(U19&gt;0,U19&lt;$C$6),TRUE,FALSE)</f>
        <v>0</v>
      </c>
      <c r="BE19" s="76" t="b">
        <f>IF(AND(W19&gt;0,W19&lt;$C$6),TRUE,FALSE)</f>
        <v>0</v>
      </c>
      <c r="BF19" s="76" t="b">
        <f>IF(AND(Y19&gt;0,Y19&lt;$C$6),TRUE,FALSE)</f>
        <v>0</v>
      </c>
      <c r="BG19" s="90" t="b">
        <f>IF(AND(AA19&gt;0,AA19&lt;$C$6),TRUE,FALSE)</f>
        <v>0</v>
      </c>
      <c r="BH19" s="48"/>
    </row>
    <row r="20" spans="1:60" ht="26.25" x14ac:dyDescent="0.25">
      <c r="A20" s="56" cm="1">
        <f t="array" ref="A20">SUMPRODUCT(($AV$10:$AV$55&lt;&gt;"")*(ROW($AV$10:$AV$55)&lt;=ROW()))</f>
        <v>8</v>
      </c>
      <c r="B20" s="57"/>
      <c r="C20" s="58"/>
      <c r="D20" s="93"/>
      <c r="E20" s="16"/>
      <c r="F20" s="29">
        <f>H20-$H$7</f>
        <v>-96</v>
      </c>
      <c r="G20" s="42"/>
      <c r="H20" s="29">
        <f>J20-$J$7</f>
        <v>-89</v>
      </c>
      <c r="I20" s="42"/>
      <c r="J20" s="29">
        <f>L20-$L$7</f>
        <v>-83</v>
      </c>
      <c r="K20" s="42"/>
      <c r="L20" s="29">
        <f>N20-$N$7</f>
        <v>-80</v>
      </c>
      <c r="M20" s="42"/>
      <c r="N20" s="29">
        <f>P20-$P$7</f>
        <v>-50</v>
      </c>
      <c r="O20" s="42"/>
      <c r="P20" s="29">
        <f>R20-$R$7</f>
        <v>-40</v>
      </c>
      <c r="Q20" s="42"/>
      <c r="R20" s="29">
        <f>T20-$T$7</f>
        <v>-20</v>
      </c>
      <c r="S20" s="42"/>
      <c r="T20" s="29">
        <f>V20-$V$7</f>
        <v>-13</v>
      </c>
      <c r="U20" s="42"/>
      <c r="V20" s="29">
        <f>X20-$X$7</f>
        <v>-6</v>
      </c>
      <c r="W20" s="42"/>
      <c r="X20" s="29">
        <f t="shared" si="3"/>
        <v>-1</v>
      </c>
      <c r="Y20" s="42"/>
      <c r="Z20" s="30">
        <f>X20+$Z$7</f>
        <v>9</v>
      </c>
      <c r="AA20" s="42"/>
      <c r="AB20" s="31">
        <f>IF(AV20="10. Issued to Contractor","-",IF(AV20="11. Subcontract Agreement signed","-",MAX(AN20,AR20)-$C$6))</f>
        <v>-46113</v>
      </c>
      <c r="AC20" s="16"/>
      <c r="AD20" s="131">
        <f t="shared" si="4"/>
        <v>95</v>
      </c>
      <c r="AE20" s="16"/>
      <c r="AF20" s="95"/>
      <c r="AG20" s="67"/>
      <c r="AH20" s="67"/>
      <c r="AI20" s="67"/>
      <c r="AJ20" s="68" t="str">
        <f>IFERROR(IF(AI20&gt;0,AH20-AI20,""),AH20)</f>
        <v/>
      </c>
      <c r="AK20" s="102"/>
      <c r="AL20" s="48"/>
      <c r="AM20" s="105"/>
      <c r="AN20" s="69">
        <f>$M$3+AM20-1</f>
        <v>-1</v>
      </c>
      <c r="AO20" s="107">
        <f>AN20-AU20</f>
        <v>-46208</v>
      </c>
      <c r="AP20" s="48"/>
      <c r="AQ20" s="111"/>
      <c r="AR20" s="70" t="str">
        <f>IFERROR(WORKDAY.INTL(AN20,AQ20,11),"")</f>
        <v/>
      </c>
      <c r="AS20" s="107" t="e">
        <f>AR20-AU20</f>
        <v>#VALUE!</v>
      </c>
      <c r="AT20" s="48"/>
      <c r="AU20" s="113">
        <f t="shared" si="5"/>
        <v>46207</v>
      </c>
      <c r="AV20" s="119" t="str" cm="1">
        <f t="array" ref="AV20">INDEX($E$8:$Z$8, MATCH(TRUE, (F20:AA20="")+(F20:AA20&gt;$C$6)&gt;0, 0))</f>
        <v>1. Tender Docs &amp; BOQ</v>
      </c>
      <c r="AW20" s="116" t="b">
        <f>IF(AND(G20&gt;0,G20&lt;$C$6),TRUE,FALSE)</f>
        <v>0</v>
      </c>
      <c r="AX20" s="71" t="b">
        <f>IF(AND(I20&gt;0,I20&lt;$C$6),TRUE,FALSE)</f>
        <v>0</v>
      </c>
      <c r="AY20" s="71" t="b">
        <f>IF(AND(K20&gt;0,K20&lt;$C$6),TRUE,FALSE)</f>
        <v>0</v>
      </c>
      <c r="AZ20" s="71" t="b">
        <f>IF(AND(M20&gt;0,M20&lt;$C$6),TRUE,FALSE)</f>
        <v>0</v>
      </c>
      <c r="BA20" s="71" t="b">
        <f>IF(AND(O20&gt;0,O20&lt;$C$6),TRUE,FALSE)</f>
        <v>0</v>
      </c>
      <c r="BB20" s="71" t="b">
        <f>IF(AND(Q20&gt;0,Q20&lt;$C$6),TRUE,FALSE)</f>
        <v>0</v>
      </c>
      <c r="BC20" s="71" t="b">
        <f>IF(AND(S20&gt;0,S20&lt;$C$6),TRUE,FALSE)</f>
        <v>0</v>
      </c>
      <c r="BD20" s="71" t="b">
        <f>IF(AND(U20&gt;0,U20&lt;$C$6),TRUE,FALSE)</f>
        <v>0</v>
      </c>
      <c r="BE20" s="71" t="b">
        <f>IF(AND(W20&gt;0,W20&lt;$C$6),TRUE,FALSE)</f>
        <v>0</v>
      </c>
      <c r="BF20" s="71" t="b">
        <f>IF(AND(Y20&gt;0,Y20&lt;$C$6),TRUE,FALSE)</f>
        <v>0</v>
      </c>
      <c r="BG20" s="89" t="b">
        <f>IF(AND(AA20&gt;0,AA20&lt;$C$6),TRUE,FALSE)</f>
        <v>0</v>
      </c>
      <c r="BH20" s="48"/>
    </row>
    <row r="21" spans="1:60" ht="26.25" x14ac:dyDescent="0.25">
      <c r="A21" s="54"/>
      <c r="B21" s="49"/>
      <c r="C21" s="50" t="s">
        <v>128</v>
      </c>
      <c r="D21" s="51"/>
      <c r="E21" s="51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1"/>
      <c r="AC21" s="51"/>
      <c r="AD21" s="132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  <c r="BC21" s="51"/>
      <c r="BD21" s="51"/>
      <c r="BE21" s="51"/>
      <c r="BF21" s="51"/>
      <c r="BG21" s="88"/>
      <c r="BH21" s="48"/>
    </row>
    <row r="22" spans="1:60" ht="26.25" x14ac:dyDescent="0.25">
      <c r="A22" s="56" cm="1">
        <f t="array" ref="A22">SUMPRODUCT(($AV$10:$AV$55&lt;&gt;"")*(ROW($AV$10:$AV$55)&lt;=ROW()))</f>
        <v>9</v>
      </c>
      <c r="B22" s="59"/>
      <c r="C22" s="60"/>
      <c r="D22" s="59"/>
      <c r="E22" s="43"/>
      <c r="F22" s="44">
        <f>H22-$H$7</f>
        <v>-96</v>
      </c>
      <c r="G22" s="45"/>
      <c r="H22" s="44">
        <f>J22-$J$7</f>
        <v>-89</v>
      </c>
      <c r="I22" s="45"/>
      <c r="J22" s="44">
        <f>L22-$L$7</f>
        <v>-83</v>
      </c>
      <c r="K22" s="45"/>
      <c r="L22" s="44">
        <f>N22-$N$7</f>
        <v>-80</v>
      </c>
      <c r="M22" s="45"/>
      <c r="N22" s="44">
        <f>P22-$P$7</f>
        <v>-50</v>
      </c>
      <c r="O22" s="45"/>
      <c r="P22" s="44">
        <f>R22-$R$7</f>
        <v>-40</v>
      </c>
      <c r="Q22" s="45"/>
      <c r="R22" s="44">
        <f>T22-$T$7</f>
        <v>-20</v>
      </c>
      <c r="S22" s="45"/>
      <c r="T22" s="44">
        <f>V22-$V$7</f>
        <v>-13</v>
      </c>
      <c r="U22" s="45"/>
      <c r="V22" s="44">
        <f>X22-$X$7</f>
        <v>-6</v>
      </c>
      <c r="W22" s="45"/>
      <c r="X22" s="44">
        <f t="shared" ref="X22:X25" si="6">AN22</f>
        <v>-1</v>
      </c>
      <c r="Y22" s="45"/>
      <c r="Z22" s="46">
        <f>X22+$Z$7</f>
        <v>9</v>
      </c>
      <c r="AA22" s="45"/>
      <c r="AB22" s="32">
        <f>IF(AV22="10. Issued to Contractor","-",IF(AV22="11. Subcontract Agreement signed","-",MAX(AN22,AR22)-$C$6))</f>
        <v>-46113</v>
      </c>
      <c r="AC22" s="16"/>
      <c r="AD22" s="131">
        <f t="shared" ref="AD22:AD25" si="7">SUM($H$7:$Y$7)</f>
        <v>95</v>
      </c>
      <c r="AE22" s="16"/>
      <c r="AF22" s="96"/>
      <c r="AG22" s="72"/>
      <c r="AH22" s="72"/>
      <c r="AI22" s="72"/>
      <c r="AJ22" s="73" t="str">
        <f>IFERROR(IF(AI22&gt;0,AH22-AI22,""),AH22)</f>
        <v/>
      </c>
      <c r="AK22" s="101"/>
      <c r="AL22" s="48"/>
      <c r="AM22" s="104"/>
      <c r="AN22" s="74">
        <f>$M$3+AM22-1</f>
        <v>-1</v>
      </c>
      <c r="AO22" s="108">
        <f>AN22-AU22</f>
        <v>-46208</v>
      </c>
      <c r="AP22" s="48"/>
      <c r="AQ22" s="110"/>
      <c r="AR22" s="75" t="str">
        <f>IFERROR(WORKDAY.INTL(AN22,AQ22,11),"")</f>
        <v/>
      </c>
      <c r="AS22" s="108" t="e">
        <f>AR22-AU22</f>
        <v>#VALUE!</v>
      </c>
      <c r="AT22" s="48"/>
      <c r="AU22" s="114">
        <f t="shared" ref="AU22:AU25" si="8">IF(Y22&gt;0,Y22,IFERROR(MAX(_xlfn.XLOOKUP($AV22,$H$8:$Z$8,$G22:$Y22),$C$6)+(AN22-_xlfn.XLOOKUP($AV22,$H$8:$Z$8,$F22:$X22))*AD22/SUM($H$7:$Y$7),$C$6+SUM(AD22)))</f>
        <v>46207</v>
      </c>
      <c r="AV22" s="120" t="str" cm="1">
        <f t="array" ref="AV22">INDEX($E$8:$Z$8, MATCH(TRUE, (F22:AA22="")+(F22:AA22&gt;$C$6)&gt;0, 0))</f>
        <v>1. Tender Docs &amp; BOQ</v>
      </c>
      <c r="AW22" s="117" t="b">
        <f>IF(AND(G22&gt;0,G22&lt;$C$6),TRUE,FALSE)</f>
        <v>0</v>
      </c>
      <c r="AX22" s="76" t="b">
        <f>IF(AND(I22&gt;0,I22&lt;$C$6),TRUE,FALSE)</f>
        <v>0</v>
      </c>
      <c r="AY22" s="76" t="b">
        <f>IF(AND(K22&gt;0,K22&lt;$C$6),TRUE,FALSE)</f>
        <v>0</v>
      </c>
      <c r="AZ22" s="76" t="b">
        <f>IF(AND(M22&gt;0,M22&lt;$C$6),TRUE,FALSE)</f>
        <v>0</v>
      </c>
      <c r="BA22" s="76" t="b">
        <f>IF(AND(O22&gt;0,O22&lt;$C$6),TRUE,FALSE)</f>
        <v>0</v>
      </c>
      <c r="BB22" s="76" t="b">
        <f>IF(AND(Q22&gt;0,Q22&lt;$C$6),TRUE,FALSE)</f>
        <v>0</v>
      </c>
      <c r="BC22" s="76" t="b">
        <f>IF(AND(S22&gt;0,S22&lt;$C$6),TRUE,FALSE)</f>
        <v>0</v>
      </c>
      <c r="BD22" s="76" t="b">
        <f>IF(AND(U22&gt;0,U22&lt;$C$6),TRUE,FALSE)</f>
        <v>0</v>
      </c>
      <c r="BE22" s="76" t="b">
        <f>IF(AND(W22&gt;0,W22&lt;$C$6),TRUE,FALSE)</f>
        <v>0</v>
      </c>
      <c r="BF22" s="76" t="b">
        <f>IF(AND(Y22&gt;0,Y22&lt;$C$6),TRUE,FALSE)</f>
        <v>0</v>
      </c>
      <c r="BG22" s="90" t="b">
        <f>IF(AND(AA22&gt;0,AA22&lt;$C$6),TRUE,FALSE)</f>
        <v>0</v>
      </c>
      <c r="BH22" s="48"/>
    </row>
    <row r="23" spans="1:60" ht="26.25" x14ac:dyDescent="0.25">
      <c r="A23" s="56" cm="1">
        <f t="array" ref="A23">SUMPRODUCT(($AV$10:$AV$55&lt;&gt;"")*(ROW($AV$10:$AV$55)&lt;=ROW()))</f>
        <v>10</v>
      </c>
      <c r="B23" s="57"/>
      <c r="C23" s="58"/>
      <c r="D23" s="93"/>
      <c r="E23" s="16"/>
      <c r="F23" s="29">
        <f>H23-$H$7</f>
        <v>-96</v>
      </c>
      <c r="G23" s="42"/>
      <c r="H23" s="29">
        <f>J23-$J$7</f>
        <v>-89</v>
      </c>
      <c r="I23" s="42"/>
      <c r="J23" s="29">
        <f>L23-$L$7</f>
        <v>-83</v>
      </c>
      <c r="K23" s="42"/>
      <c r="L23" s="29">
        <f>N23-$N$7</f>
        <v>-80</v>
      </c>
      <c r="M23" s="42"/>
      <c r="N23" s="29">
        <f>P23-$P$7</f>
        <v>-50</v>
      </c>
      <c r="O23" s="42"/>
      <c r="P23" s="29">
        <f>R23-$R$7</f>
        <v>-40</v>
      </c>
      <c r="Q23" s="42"/>
      <c r="R23" s="29">
        <f>T23-$T$7</f>
        <v>-20</v>
      </c>
      <c r="S23" s="42"/>
      <c r="T23" s="29">
        <f>V23-$V$7</f>
        <v>-13</v>
      </c>
      <c r="U23" s="42"/>
      <c r="V23" s="29">
        <f>X23-$X$7</f>
        <v>-6</v>
      </c>
      <c r="W23" s="42"/>
      <c r="X23" s="29">
        <f t="shared" si="6"/>
        <v>-1</v>
      </c>
      <c r="Y23" s="42"/>
      <c r="Z23" s="30">
        <f>X23+$Z$7</f>
        <v>9</v>
      </c>
      <c r="AA23" s="42"/>
      <c r="AB23" s="31">
        <f>IF(AV23="10. Issued to Contractor","-",IF(AV23="11. Subcontract Agreement signed","-",MAX(AN23,AR23)-$C$6))</f>
        <v>-46113</v>
      </c>
      <c r="AC23" s="16"/>
      <c r="AD23" s="131">
        <f t="shared" si="7"/>
        <v>95</v>
      </c>
      <c r="AE23" s="16"/>
      <c r="AF23" s="95"/>
      <c r="AG23" s="67"/>
      <c r="AH23" s="67"/>
      <c r="AI23" s="67"/>
      <c r="AJ23" s="68" t="str">
        <f>IFERROR(IF(AI23&gt;0,AH23-AI23,""),AH23)</f>
        <v/>
      </c>
      <c r="AK23" s="102"/>
      <c r="AL23" s="48"/>
      <c r="AM23" s="105"/>
      <c r="AN23" s="69">
        <f>$M$3+AM23-1</f>
        <v>-1</v>
      </c>
      <c r="AO23" s="107">
        <f t="shared" ref="AO23" si="9">AN23-AU23</f>
        <v>-46208</v>
      </c>
      <c r="AP23" s="48"/>
      <c r="AQ23" s="111"/>
      <c r="AR23" s="70" t="str">
        <f t="shared" ref="AR23" si="10">IFERROR(WORKDAY.INTL(AN23,AQ23,11),"")</f>
        <v/>
      </c>
      <c r="AS23" s="107" t="e">
        <f t="shared" ref="AS23" si="11">AR23-AU23</f>
        <v>#VALUE!</v>
      </c>
      <c r="AT23" s="48"/>
      <c r="AU23" s="113">
        <f t="shared" si="8"/>
        <v>46207</v>
      </c>
      <c r="AV23" s="119" t="str" cm="1">
        <f t="array" ref="AV23">INDEX($E$8:$Z$8, MATCH(TRUE, (F23:AA23="")+(F23:AA23&gt;$C$6)&gt;0, 0))</f>
        <v>1. Tender Docs &amp; BOQ</v>
      </c>
      <c r="AW23" s="116" t="b">
        <f>IF(AND(G23&gt;0,G23&lt;$C$6),TRUE,FALSE)</f>
        <v>0</v>
      </c>
      <c r="AX23" s="71" t="b">
        <f>IF(AND(I23&gt;0,I23&lt;$C$6),TRUE,FALSE)</f>
        <v>0</v>
      </c>
      <c r="AY23" s="71" t="b">
        <f>IF(AND(K23&gt;0,K23&lt;$C$6),TRUE,FALSE)</f>
        <v>0</v>
      </c>
      <c r="AZ23" s="71" t="b">
        <f>IF(AND(M23&gt;0,M23&lt;$C$6),TRUE,FALSE)</f>
        <v>0</v>
      </c>
      <c r="BA23" s="71" t="b">
        <f>IF(AND(O23&gt;0,O23&lt;$C$6),TRUE,FALSE)</f>
        <v>0</v>
      </c>
      <c r="BB23" s="71" t="b">
        <f>IF(AND(Q23&gt;0,Q23&lt;$C$6),TRUE,FALSE)</f>
        <v>0</v>
      </c>
      <c r="BC23" s="71" t="b">
        <f>IF(AND(S23&gt;0,S23&lt;$C$6),TRUE,FALSE)</f>
        <v>0</v>
      </c>
      <c r="BD23" s="71" t="b">
        <f>IF(AND(U23&gt;0,U23&lt;$C$6),TRUE,FALSE)</f>
        <v>0</v>
      </c>
      <c r="BE23" s="71" t="b">
        <f>IF(AND(W23&gt;0,W23&lt;$C$6),TRUE,FALSE)</f>
        <v>0</v>
      </c>
      <c r="BF23" s="71" t="b">
        <f>IF(AND(Y23&gt;0,Y23&lt;$C$6),TRUE,FALSE)</f>
        <v>0</v>
      </c>
      <c r="BG23" s="89" t="b">
        <f>IF(AND(AA23&gt;0,AA23&lt;$C$6),TRUE,FALSE)</f>
        <v>0</v>
      </c>
      <c r="BH23" s="48"/>
    </row>
    <row r="24" spans="1:60" ht="26.25" x14ac:dyDescent="0.25">
      <c r="A24" s="56" cm="1">
        <f t="array" ref="A24">SUMPRODUCT(($AV$10:$AV$55&lt;&gt;"")*(ROW($AV$10:$AV$55)&lt;=ROW()))</f>
        <v>11</v>
      </c>
      <c r="B24" s="59"/>
      <c r="C24" s="60"/>
      <c r="D24" s="59"/>
      <c r="E24" s="43"/>
      <c r="F24" s="44">
        <f>H24-$H$7</f>
        <v>-96</v>
      </c>
      <c r="G24" s="45"/>
      <c r="H24" s="44">
        <f>J24-$J$7</f>
        <v>-89</v>
      </c>
      <c r="I24" s="45"/>
      <c r="J24" s="44">
        <f>L24-$L$7</f>
        <v>-83</v>
      </c>
      <c r="K24" s="45"/>
      <c r="L24" s="44">
        <f>N24-$N$7</f>
        <v>-80</v>
      </c>
      <c r="M24" s="45"/>
      <c r="N24" s="44">
        <f>P24-$P$7</f>
        <v>-50</v>
      </c>
      <c r="O24" s="45"/>
      <c r="P24" s="44">
        <f>R24-$R$7</f>
        <v>-40</v>
      </c>
      <c r="Q24" s="45"/>
      <c r="R24" s="44">
        <f>T24-$T$7</f>
        <v>-20</v>
      </c>
      <c r="S24" s="45"/>
      <c r="T24" s="44">
        <f>V24-$V$7</f>
        <v>-13</v>
      </c>
      <c r="U24" s="45"/>
      <c r="V24" s="44">
        <f>X24-$X$7</f>
        <v>-6</v>
      </c>
      <c r="W24" s="45"/>
      <c r="X24" s="44">
        <f t="shared" si="6"/>
        <v>-1</v>
      </c>
      <c r="Y24" s="45"/>
      <c r="Z24" s="46">
        <f>X24+$Z$7</f>
        <v>9</v>
      </c>
      <c r="AA24" s="45"/>
      <c r="AB24" s="32">
        <f>IF(AV24="10. Issued to Contractor","-",IF(AV24="11. Subcontract Agreement signed","-",MAX(AN24,AR24)-$C$6))</f>
        <v>-46113</v>
      </c>
      <c r="AC24" s="16"/>
      <c r="AD24" s="131">
        <f t="shared" si="7"/>
        <v>95</v>
      </c>
      <c r="AE24" s="16"/>
      <c r="AF24" s="96"/>
      <c r="AG24" s="72"/>
      <c r="AH24" s="72"/>
      <c r="AI24" s="72"/>
      <c r="AJ24" s="73" t="str">
        <f>IFERROR(IF(AI24&gt;0,AH24-AI24,""),AH24)</f>
        <v/>
      </c>
      <c r="AK24" s="101"/>
      <c r="AL24" s="48"/>
      <c r="AM24" s="104"/>
      <c r="AN24" s="74">
        <f>$M$3+AM24-1</f>
        <v>-1</v>
      </c>
      <c r="AO24" s="108">
        <f>AN24-AU24</f>
        <v>-46208</v>
      </c>
      <c r="AP24" s="48"/>
      <c r="AQ24" s="110"/>
      <c r="AR24" s="75" t="str">
        <f>IFERROR(WORKDAY.INTL(AN24,AQ24,11),"")</f>
        <v/>
      </c>
      <c r="AS24" s="108" t="e">
        <f>AR24-AU24</f>
        <v>#VALUE!</v>
      </c>
      <c r="AT24" s="48"/>
      <c r="AU24" s="114">
        <f t="shared" si="8"/>
        <v>46207</v>
      </c>
      <c r="AV24" s="120" t="str" cm="1">
        <f t="array" ref="AV24">INDEX($E$8:$Z$8, MATCH(TRUE, (F24:AA24="")+(F24:AA24&gt;$C$6)&gt;0, 0))</f>
        <v>1. Tender Docs &amp; BOQ</v>
      </c>
      <c r="AW24" s="117" t="b">
        <f>IF(AND(G24&gt;0,G24&lt;$C$6),TRUE,FALSE)</f>
        <v>0</v>
      </c>
      <c r="AX24" s="76" t="b">
        <f>IF(AND(I24&gt;0,I24&lt;$C$6),TRUE,FALSE)</f>
        <v>0</v>
      </c>
      <c r="AY24" s="76" t="b">
        <f>IF(AND(K24&gt;0,K24&lt;$C$6),TRUE,FALSE)</f>
        <v>0</v>
      </c>
      <c r="AZ24" s="76" t="b">
        <f>IF(AND(M24&gt;0,M24&lt;$C$6),TRUE,FALSE)</f>
        <v>0</v>
      </c>
      <c r="BA24" s="76" t="b">
        <f>IF(AND(O24&gt;0,O24&lt;$C$6),TRUE,FALSE)</f>
        <v>0</v>
      </c>
      <c r="BB24" s="76" t="b">
        <f>IF(AND(Q24&gt;0,Q24&lt;$C$6),TRUE,FALSE)</f>
        <v>0</v>
      </c>
      <c r="BC24" s="76" t="b">
        <f>IF(AND(S24&gt;0,S24&lt;$C$6),TRUE,FALSE)</f>
        <v>0</v>
      </c>
      <c r="BD24" s="76" t="b">
        <f>IF(AND(U24&gt;0,U24&lt;$C$6),TRUE,FALSE)</f>
        <v>0</v>
      </c>
      <c r="BE24" s="76" t="b">
        <f>IF(AND(W24&gt;0,W24&lt;$C$6),TRUE,FALSE)</f>
        <v>0</v>
      </c>
      <c r="BF24" s="76" t="b">
        <f>IF(AND(Y24&gt;0,Y24&lt;$C$6),TRUE,FALSE)</f>
        <v>0</v>
      </c>
      <c r="BG24" s="90" t="b">
        <f>IF(AND(AA24&gt;0,AA24&lt;$C$6),TRUE,FALSE)</f>
        <v>0</v>
      </c>
      <c r="BH24" s="48"/>
    </row>
    <row r="25" spans="1:60" ht="26.25" x14ac:dyDescent="0.25">
      <c r="A25" s="56" cm="1">
        <f t="array" ref="A25">SUMPRODUCT(($AV$10:$AV$55&lt;&gt;"")*(ROW($AV$10:$AV$55)&lt;=ROW()))</f>
        <v>12</v>
      </c>
      <c r="B25" s="57"/>
      <c r="C25" s="58"/>
      <c r="D25" s="93"/>
      <c r="E25" s="16"/>
      <c r="F25" s="29">
        <f>H25-$H$7</f>
        <v>-96</v>
      </c>
      <c r="G25" s="42"/>
      <c r="H25" s="29">
        <f>J25-$J$7</f>
        <v>-89</v>
      </c>
      <c r="I25" s="42"/>
      <c r="J25" s="29">
        <f>L25-$L$7</f>
        <v>-83</v>
      </c>
      <c r="K25" s="42"/>
      <c r="L25" s="29">
        <f>N25-$N$7</f>
        <v>-80</v>
      </c>
      <c r="M25" s="42"/>
      <c r="N25" s="29">
        <f>P25-$P$7</f>
        <v>-50</v>
      </c>
      <c r="O25" s="42"/>
      <c r="P25" s="29">
        <f>R25-$R$7</f>
        <v>-40</v>
      </c>
      <c r="Q25" s="42"/>
      <c r="R25" s="29">
        <f>T25-$T$7</f>
        <v>-20</v>
      </c>
      <c r="S25" s="42"/>
      <c r="T25" s="29">
        <f>V25-$V$7</f>
        <v>-13</v>
      </c>
      <c r="U25" s="42"/>
      <c r="V25" s="29">
        <f>X25-$X$7</f>
        <v>-6</v>
      </c>
      <c r="W25" s="42"/>
      <c r="X25" s="29">
        <f t="shared" si="6"/>
        <v>-1</v>
      </c>
      <c r="Y25" s="42"/>
      <c r="Z25" s="30">
        <f>X25+$Z$7</f>
        <v>9</v>
      </c>
      <c r="AA25" s="42"/>
      <c r="AB25" s="31">
        <f>IF(AV25="10. Issued to Contractor","-",IF(AV25="11. Subcontract Agreement signed","-",MAX(AN25,AR25)-$C$6))</f>
        <v>-46113</v>
      </c>
      <c r="AC25" s="16"/>
      <c r="AD25" s="131">
        <f t="shared" si="7"/>
        <v>95</v>
      </c>
      <c r="AE25" s="16"/>
      <c r="AF25" s="95"/>
      <c r="AG25" s="67"/>
      <c r="AH25" s="67"/>
      <c r="AI25" s="67"/>
      <c r="AJ25" s="68" t="str">
        <f>IFERROR(IF(AI25&gt;0,AH25-AI25,""),AH25)</f>
        <v/>
      </c>
      <c r="AK25" s="102"/>
      <c r="AL25" s="48"/>
      <c r="AM25" s="105"/>
      <c r="AN25" s="69">
        <f>$M$3+AM25-1</f>
        <v>-1</v>
      </c>
      <c r="AO25" s="107">
        <f>AN25-AU25</f>
        <v>-46208</v>
      </c>
      <c r="AP25" s="48"/>
      <c r="AQ25" s="111"/>
      <c r="AR25" s="70" t="str">
        <f>IFERROR(WORKDAY.INTL(AN25,AQ25,11),"")</f>
        <v/>
      </c>
      <c r="AS25" s="107" t="e">
        <f>AR25-AU25</f>
        <v>#VALUE!</v>
      </c>
      <c r="AT25" s="48"/>
      <c r="AU25" s="113">
        <f t="shared" si="8"/>
        <v>46207</v>
      </c>
      <c r="AV25" s="119" t="str" cm="1">
        <f t="array" ref="AV25">INDEX($E$8:$Z$8, MATCH(TRUE, (F25:AA25="")+(F25:AA25&gt;$C$6)&gt;0, 0))</f>
        <v>1. Tender Docs &amp; BOQ</v>
      </c>
      <c r="AW25" s="116" t="b">
        <f>IF(AND(G25&gt;0,G25&lt;$C$6),TRUE,FALSE)</f>
        <v>0</v>
      </c>
      <c r="AX25" s="71" t="b">
        <f>IF(AND(I25&gt;0,I25&lt;$C$6),TRUE,FALSE)</f>
        <v>0</v>
      </c>
      <c r="AY25" s="71" t="b">
        <f>IF(AND(K25&gt;0,K25&lt;$C$6),TRUE,FALSE)</f>
        <v>0</v>
      </c>
      <c r="AZ25" s="71" t="b">
        <f>IF(AND(M25&gt;0,M25&lt;$C$6),TRUE,FALSE)</f>
        <v>0</v>
      </c>
      <c r="BA25" s="71" t="b">
        <f>IF(AND(O25&gt;0,O25&lt;$C$6),TRUE,FALSE)</f>
        <v>0</v>
      </c>
      <c r="BB25" s="71" t="b">
        <f>IF(AND(Q25&gt;0,Q25&lt;$C$6),TRUE,FALSE)</f>
        <v>0</v>
      </c>
      <c r="BC25" s="71" t="b">
        <f>IF(AND(S25&gt;0,S25&lt;$C$6),TRUE,FALSE)</f>
        <v>0</v>
      </c>
      <c r="BD25" s="71" t="b">
        <f>IF(AND(U25&gt;0,U25&lt;$C$6),TRUE,FALSE)</f>
        <v>0</v>
      </c>
      <c r="BE25" s="71" t="b">
        <f>IF(AND(W25&gt;0,W25&lt;$C$6),TRUE,FALSE)</f>
        <v>0</v>
      </c>
      <c r="BF25" s="71" t="b">
        <f>IF(AND(Y25&gt;0,Y25&lt;$C$6),TRUE,FALSE)</f>
        <v>0</v>
      </c>
      <c r="BG25" s="89" t="b">
        <f>IF(AND(AA25&gt;0,AA25&lt;$C$6),TRUE,FALSE)</f>
        <v>0</v>
      </c>
      <c r="BH25" s="48"/>
    </row>
    <row r="26" spans="1:60" ht="26.25" x14ac:dyDescent="0.25">
      <c r="A26" s="54"/>
      <c r="B26" s="49"/>
      <c r="C26" s="50" t="s">
        <v>137</v>
      </c>
      <c r="D26" s="51"/>
      <c r="E26" s="51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1"/>
      <c r="AC26" s="51"/>
      <c r="AD26" s="132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1"/>
      <c r="BE26" s="51"/>
      <c r="BF26" s="51"/>
      <c r="BG26" s="88"/>
      <c r="BH26" s="48"/>
    </row>
    <row r="27" spans="1:60" ht="26.25" x14ac:dyDescent="0.25">
      <c r="A27" s="56" cm="1">
        <f t="array" ref="A27">SUMPRODUCT(($AV$10:$AV$55&lt;&gt;"")*(ROW($AV$10:$AV$55)&lt;=ROW()))</f>
        <v>13</v>
      </c>
      <c r="B27" s="59"/>
      <c r="C27" s="60"/>
      <c r="D27" s="59"/>
      <c r="E27" s="43"/>
      <c r="F27" s="44">
        <f t="shared" ref="F27:F39" si="12">H27-$H$7</f>
        <v>-96</v>
      </c>
      <c r="G27" s="45"/>
      <c r="H27" s="44">
        <f t="shared" ref="H27:H39" si="13">J27-$J$7</f>
        <v>-89</v>
      </c>
      <c r="I27" s="45"/>
      <c r="J27" s="44">
        <f t="shared" ref="J27:J39" si="14">L27-$L$7</f>
        <v>-83</v>
      </c>
      <c r="K27" s="45"/>
      <c r="L27" s="44">
        <f t="shared" ref="L27:L39" si="15">N27-$N$7</f>
        <v>-80</v>
      </c>
      <c r="M27" s="45"/>
      <c r="N27" s="44">
        <f t="shared" ref="N27:N39" si="16">P27-$P$7</f>
        <v>-50</v>
      </c>
      <c r="O27" s="45"/>
      <c r="P27" s="44">
        <f t="shared" ref="P27:P39" si="17">R27-$R$7</f>
        <v>-40</v>
      </c>
      <c r="Q27" s="45"/>
      <c r="R27" s="44">
        <f t="shared" ref="R27:R39" si="18">T27-$T$7</f>
        <v>-20</v>
      </c>
      <c r="S27" s="45"/>
      <c r="T27" s="44">
        <f t="shared" ref="T27:T39" si="19">V27-$V$7</f>
        <v>-13</v>
      </c>
      <c r="U27" s="45"/>
      <c r="V27" s="44">
        <f t="shared" ref="V27:V39" si="20">X27-$X$7</f>
        <v>-6</v>
      </c>
      <c r="W27" s="45"/>
      <c r="X27" s="44">
        <f t="shared" ref="X27:X39" si="21">AN27</f>
        <v>-1</v>
      </c>
      <c r="Y27" s="45"/>
      <c r="Z27" s="46">
        <f t="shared" ref="Z27:Z39" si="22">X27+$Z$7</f>
        <v>9</v>
      </c>
      <c r="AA27" s="45"/>
      <c r="AB27" s="32">
        <f t="shared" ref="AB27:AB39" si="23">IF(AV27="10. Issued to Contractor","-",IF(AV27="11. Subcontract Agreement signed","-",MAX(AN27,AR27)-$C$6))</f>
        <v>-46113</v>
      </c>
      <c r="AC27" s="16"/>
      <c r="AD27" s="131">
        <f t="shared" ref="AD27:AD39" si="24">SUM($H$7:$Y$7)</f>
        <v>95</v>
      </c>
      <c r="AE27" s="16"/>
      <c r="AF27" s="96"/>
      <c r="AG27" s="72"/>
      <c r="AH27" s="72"/>
      <c r="AI27" s="72"/>
      <c r="AJ27" s="73" t="str">
        <f t="shared" ref="AJ27:AJ39" si="25">IFERROR(IF(AI27&gt;0,AH27-AI27,""),AH27)</f>
        <v/>
      </c>
      <c r="AK27" s="101"/>
      <c r="AL27" s="48"/>
      <c r="AM27" s="104"/>
      <c r="AN27" s="74">
        <f t="shared" ref="AN27:AN39" si="26">$M$3+AM27-1</f>
        <v>-1</v>
      </c>
      <c r="AO27" s="108">
        <f t="shared" ref="AO27:AO39" si="27">AN27-AU27</f>
        <v>-46208</v>
      </c>
      <c r="AP27" s="48"/>
      <c r="AQ27" s="110"/>
      <c r="AR27" s="75" t="str">
        <f t="shared" ref="AR27:AR39" si="28">IFERROR(WORKDAY.INTL(AN27,AQ27,11),"")</f>
        <v/>
      </c>
      <c r="AS27" s="108" t="e">
        <f t="shared" ref="AS27:AS39" si="29">AR27-AU27</f>
        <v>#VALUE!</v>
      </c>
      <c r="AT27" s="48"/>
      <c r="AU27" s="114">
        <f t="shared" ref="AU27:AU39" si="30">IF(Y27&gt;0,Y27,IFERROR(MAX(_xlfn.XLOOKUP($AV27,$H$8:$Z$8,$G27:$Y27),$C$6)+(AN27-_xlfn.XLOOKUP($AV27,$H$8:$Z$8,$F27:$X27))*AD27/SUM($H$7:$Y$7),$C$6+SUM(AD27)))</f>
        <v>46207</v>
      </c>
      <c r="AV27" s="120" t="str" cm="1">
        <f t="array" ref="AV27">INDEX($E$8:$Z$8, MATCH(TRUE, (F27:AA27="")+(F27:AA27&gt;$C$6)&gt;0, 0))</f>
        <v>1. Tender Docs &amp; BOQ</v>
      </c>
      <c r="AW27" s="117" t="b">
        <f t="shared" ref="AW27:AW39" si="31">IF(AND(G27&gt;0,G27&lt;$C$6),TRUE,FALSE)</f>
        <v>0</v>
      </c>
      <c r="AX27" s="76" t="b">
        <f t="shared" ref="AX27:AX39" si="32">IF(AND(I27&gt;0,I27&lt;$C$6),TRUE,FALSE)</f>
        <v>0</v>
      </c>
      <c r="AY27" s="76" t="b">
        <f t="shared" ref="AY27:AY39" si="33">IF(AND(K27&gt;0,K27&lt;$C$6),TRUE,FALSE)</f>
        <v>0</v>
      </c>
      <c r="AZ27" s="76" t="b">
        <f t="shared" ref="AZ27:AZ39" si="34">IF(AND(M27&gt;0,M27&lt;$C$6),TRUE,FALSE)</f>
        <v>0</v>
      </c>
      <c r="BA27" s="76" t="b">
        <f t="shared" ref="BA27:BA39" si="35">IF(AND(O27&gt;0,O27&lt;$C$6),TRUE,FALSE)</f>
        <v>0</v>
      </c>
      <c r="BB27" s="76" t="b">
        <f t="shared" ref="BB27:BB39" si="36">IF(AND(Q27&gt;0,Q27&lt;$C$6),TRUE,FALSE)</f>
        <v>0</v>
      </c>
      <c r="BC27" s="76" t="b">
        <f t="shared" ref="BC27:BC39" si="37">IF(AND(S27&gt;0,S27&lt;$C$6),TRUE,FALSE)</f>
        <v>0</v>
      </c>
      <c r="BD27" s="76" t="b">
        <f t="shared" ref="BD27:BD39" si="38">IF(AND(U27&gt;0,U27&lt;$C$6),TRUE,FALSE)</f>
        <v>0</v>
      </c>
      <c r="BE27" s="76" t="b">
        <f t="shared" ref="BE27:BE39" si="39">IF(AND(W27&gt;0,W27&lt;$C$6),TRUE,FALSE)</f>
        <v>0</v>
      </c>
      <c r="BF27" s="76" t="b">
        <f t="shared" ref="BF27:BF39" si="40">IF(AND(Y27&gt;0,Y27&lt;$C$6),TRUE,FALSE)</f>
        <v>0</v>
      </c>
      <c r="BG27" s="90" t="b">
        <f t="shared" ref="BG27:BG39" si="41">IF(AND(AA27&gt;0,AA27&lt;$C$6),TRUE,FALSE)</f>
        <v>0</v>
      </c>
      <c r="BH27" s="48"/>
    </row>
    <row r="28" spans="1:60" ht="26.25" x14ac:dyDescent="0.25">
      <c r="A28" s="56" cm="1">
        <f t="array" ref="A28">SUMPRODUCT(($AV$10:$AV$55&lt;&gt;"")*(ROW($AV$10:$AV$55)&lt;=ROW()))</f>
        <v>14</v>
      </c>
      <c r="B28" s="57"/>
      <c r="C28" s="58"/>
      <c r="D28" s="93"/>
      <c r="E28" s="16"/>
      <c r="F28" s="29">
        <f t="shared" si="12"/>
        <v>-96</v>
      </c>
      <c r="G28" s="42"/>
      <c r="H28" s="29">
        <f t="shared" si="13"/>
        <v>-89</v>
      </c>
      <c r="I28" s="42"/>
      <c r="J28" s="29">
        <f t="shared" si="14"/>
        <v>-83</v>
      </c>
      <c r="K28" s="42"/>
      <c r="L28" s="29">
        <f t="shared" si="15"/>
        <v>-80</v>
      </c>
      <c r="M28" s="42"/>
      <c r="N28" s="29">
        <f t="shared" si="16"/>
        <v>-50</v>
      </c>
      <c r="O28" s="42"/>
      <c r="P28" s="29">
        <f t="shared" si="17"/>
        <v>-40</v>
      </c>
      <c r="Q28" s="42"/>
      <c r="R28" s="29">
        <f t="shared" si="18"/>
        <v>-20</v>
      </c>
      <c r="S28" s="42"/>
      <c r="T28" s="29">
        <f t="shared" si="19"/>
        <v>-13</v>
      </c>
      <c r="U28" s="42"/>
      <c r="V28" s="29">
        <f t="shared" si="20"/>
        <v>-6</v>
      </c>
      <c r="W28" s="42"/>
      <c r="X28" s="29">
        <f t="shared" si="21"/>
        <v>-1</v>
      </c>
      <c r="Y28" s="42"/>
      <c r="Z28" s="30">
        <f t="shared" si="22"/>
        <v>9</v>
      </c>
      <c r="AA28" s="42"/>
      <c r="AB28" s="31">
        <f t="shared" si="23"/>
        <v>-46113</v>
      </c>
      <c r="AC28" s="16"/>
      <c r="AD28" s="131">
        <f t="shared" si="24"/>
        <v>95</v>
      </c>
      <c r="AE28" s="16"/>
      <c r="AF28" s="95"/>
      <c r="AG28" s="67"/>
      <c r="AH28" s="67"/>
      <c r="AI28" s="67"/>
      <c r="AJ28" s="68" t="str">
        <f t="shared" si="25"/>
        <v/>
      </c>
      <c r="AK28" s="102"/>
      <c r="AL28" s="48"/>
      <c r="AM28" s="105"/>
      <c r="AN28" s="69">
        <f t="shared" si="26"/>
        <v>-1</v>
      </c>
      <c r="AO28" s="107">
        <f t="shared" si="27"/>
        <v>-46208</v>
      </c>
      <c r="AP28" s="48"/>
      <c r="AQ28" s="111"/>
      <c r="AR28" s="70" t="str">
        <f t="shared" si="28"/>
        <v/>
      </c>
      <c r="AS28" s="107" t="e">
        <f t="shared" si="29"/>
        <v>#VALUE!</v>
      </c>
      <c r="AT28" s="48"/>
      <c r="AU28" s="113">
        <f t="shared" si="30"/>
        <v>46207</v>
      </c>
      <c r="AV28" s="119" t="str" cm="1">
        <f t="array" ref="AV28">INDEX($E$8:$Z$8, MATCH(TRUE, (F28:AA28="")+(F28:AA28&gt;$C$6)&gt;0, 0))</f>
        <v>1. Tender Docs &amp; BOQ</v>
      </c>
      <c r="AW28" s="116" t="b">
        <f t="shared" si="31"/>
        <v>0</v>
      </c>
      <c r="AX28" s="71" t="b">
        <f t="shared" si="32"/>
        <v>0</v>
      </c>
      <c r="AY28" s="71" t="b">
        <f t="shared" si="33"/>
        <v>0</v>
      </c>
      <c r="AZ28" s="71" t="b">
        <f t="shared" si="34"/>
        <v>0</v>
      </c>
      <c r="BA28" s="71" t="b">
        <f t="shared" si="35"/>
        <v>0</v>
      </c>
      <c r="BB28" s="71" t="b">
        <f t="shared" si="36"/>
        <v>0</v>
      </c>
      <c r="BC28" s="71" t="b">
        <f t="shared" si="37"/>
        <v>0</v>
      </c>
      <c r="BD28" s="71" t="b">
        <f t="shared" si="38"/>
        <v>0</v>
      </c>
      <c r="BE28" s="71" t="b">
        <f t="shared" si="39"/>
        <v>0</v>
      </c>
      <c r="BF28" s="71" t="b">
        <f t="shared" si="40"/>
        <v>0</v>
      </c>
      <c r="BG28" s="89" t="b">
        <f t="shared" si="41"/>
        <v>0</v>
      </c>
      <c r="BH28" s="48"/>
    </row>
    <row r="29" spans="1:60" ht="26.25" x14ac:dyDescent="0.25">
      <c r="A29" s="56" cm="1">
        <f t="array" ref="A29">SUMPRODUCT(($AV$10:$AV$55&lt;&gt;"")*(ROW($AV$10:$AV$55)&lt;=ROW()))</f>
        <v>15</v>
      </c>
      <c r="B29" s="59"/>
      <c r="C29" s="60"/>
      <c r="D29" s="59"/>
      <c r="E29" s="43"/>
      <c r="F29" s="44">
        <f t="shared" si="12"/>
        <v>-96</v>
      </c>
      <c r="G29" s="45"/>
      <c r="H29" s="44">
        <f t="shared" si="13"/>
        <v>-89</v>
      </c>
      <c r="I29" s="45"/>
      <c r="J29" s="44">
        <f t="shared" si="14"/>
        <v>-83</v>
      </c>
      <c r="K29" s="45"/>
      <c r="L29" s="44">
        <f t="shared" si="15"/>
        <v>-80</v>
      </c>
      <c r="M29" s="45"/>
      <c r="N29" s="44">
        <f t="shared" si="16"/>
        <v>-50</v>
      </c>
      <c r="O29" s="45"/>
      <c r="P29" s="44">
        <f t="shared" si="17"/>
        <v>-40</v>
      </c>
      <c r="Q29" s="45"/>
      <c r="R29" s="44">
        <f t="shared" si="18"/>
        <v>-20</v>
      </c>
      <c r="S29" s="45"/>
      <c r="T29" s="44">
        <f t="shared" si="19"/>
        <v>-13</v>
      </c>
      <c r="U29" s="45"/>
      <c r="V29" s="44">
        <f t="shared" si="20"/>
        <v>-6</v>
      </c>
      <c r="W29" s="45"/>
      <c r="X29" s="44">
        <f t="shared" si="21"/>
        <v>-1</v>
      </c>
      <c r="Y29" s="45"/>
      <c r="Z29" s="46">
        <f t="shared" si="22"/>
        <v>9</v>
      </c>
      <c r="AA29" s="45"/>
      <c r="AB29" s="32">
        <f t="shared" si="23"/>
        <v>-46113</v>
      </c>
      <c r="AC29" s="16"/>
      <c r="AD29" s="131">
        <f t="shared" si="24"/>
        <v>95</v>
      </c>
      <c r="AE29" s="16"/>
      <c r="AF29" s="96"/>
      <c r="AG29" s="72"/>
      <c r="AH29" s="72"/>
      <c r="AI29" s="72"/>
      <c r="AJ29" s="73" t="str">
        <f t="shared" si="25"/>
        <v/>
      </c>
      <c r="AK29" s="101"/>
      <c r="AL29" s="48"/>
      <c r="AM29" s="104"/>
      <c r="AN29" s="74">
        <f t="shared" si="26"/>
        <v>-1</v>
      </c>
      <c r="AO29" s="108">
        <f t="shared" si="27"/>
        <v>-46208</v>
      </c>
      <c r="AP29" s="48"/>
      <c r="AQ29" s="110"/>
      <c r="AR29" s="75" t="str">
        <f t="shared" si="28"/>
        <v/>
      </c>
      <c r="AS29" s="108" t="e">
        <f t="shared" si="29"/>
        <v>#VALUE!</v>
      </c>
      <c r="AT29" s="48"/>
      <c r="AU29" s="114">
        <f t="shared" si="30"/>
        <v>46207</v>
      </c>
      <c r="AV29" s="120" t="str" cm="1">
        <f t="array" ref="AV29">INDEX($E$8:$Z$8, MATCH(TRUE, (F29:AA29="")+(F29:AA29&gt;$C$6)&gt;0, 0))</f>
        <v>1. Tender Docs &amp; BOQ</v>
      </c>
      <c r="AW29" s="117" t="b">
        <f t="shared" si="31"/>
        <v>0</v>
      </c>
      <c r="AX29" s="76" t="b">
        <f t="shared" si="32"/>
        <v>0</v>
      </c>
      <c r="AY29" s="76" t="b">
        <f t="shared" si="33"/>
        <v>0</v>
      </c>
      <c r="AZ29" s="76" t="b">
        <f t="shared" si="34"/>
        <v>0</v>
      </c>
      <c r="BA29" s="76" t="b">
        <f t="shared" si="35"/>
        <v>0</v>
      </c>
      <c r="BB29" s="76" t="b">
        <f t="shared" si="36"/>
        <v>0</v>
      </c>
      <c r="BC29" s="76" t="b">
        <f t="shared" si="37"/>
        <v>0</v>
      </c>
      <c r="BD29" s="76" t="b">
        <f t="shared" si="38"/>
        <v>0</v>
      </c>
      <c r="BE29" s="76" t="b">
        <f t="shared" si="39"/>
        <v>0</v>
      </c>
      <c r="BF29" s="76" t="b">
        <f t="shared" si="40"/>
        <v>0</v>
      </c>
      <c r="BG29" s="90" t="b">
        <f t="shared" si="41"/>
        <v>0</v>
      </c>
      <c r="BH29" s="48"/>
    </row>
    <row r="30" spans="1:60" ht="26.25" x14ac:dyDescent="0.25">
      <c r="A30" s="56" cm="1">
        <f t="array" ref="A30">SUMPRODUCT(($AV$10:$AV$55&lt;&gt;"")*(ROW($AV$10:$AV$55)&lt;=ROW()))</f>
        <v>16</v>
      </c>
      <c r="B30" s="57"/>
      <c r="C30" s="58"/>
      <c r="D30" s="93"/>
      <c r="E30" s="16"/>
      <c r="F30" s="29">
        <f t="shared" si="12"/>
        <v>-96</v>
      </c>
      <c r="G30" s="42"/>
      <c r="H30" s="29">
        <f t="shared" si="13"/>
        <v>-89</v>
      </c>
      <c r="I30" s="42"/>
      <c r="J30" s="29">
        <f t="shared" si="14"/>
        <v>-83</v>
      </c>
      <c r="K30" s="42"/>
      <c r="L30" s="29">
        <f t="shared" si="15"/>
        <v>-80</v>
      </c>
      <c r="M30" s="42"/>
      <c r="N30" s="29">
        <f t="shared" si="16"/>
        <v>-50</v>
      </c>
      <c r="O30" s="42"/>
      <c r="P30" s="29">
        <f t="shared" si="17"/>
        <v>-40</v>
      </c>
      <c r="Q30" s="42"/>
      <c r="R30" s="29">
        <f t="shared" si="18"/>
        <v>-20</v>
      </c>
      <c r="S30" s="42"/>
      <c r="T30" s="29">
        <f t="shared" si="19"/>
        <v>-13</v>
      </c>
      <c r="U30" s="42"/>
      <c r="V30" s="29">
        <f t="shared" si="20"/>
        <v>-6</v>
      </c>
      <c r="W30" s="42"/>
      <c r="X30" s="29">
        <f t="shared" si="21"/>
        <v>-1</v>
      </c>
      <c r="Y30" s="42"/>
      <c r="Z30" s="30">
        <f t="shared" si="22"/>
        <v>9</v>
      </c>
      <c r="AA30" s="42"/>
      <c r="AB30" s="31">
        <f t="shared" si="23"/>
        <v>-46113</v>
      </c>
      <c r="AC30" s="16"/>
      <c r="AD30" s="131">
        <f t="shared" si="24"/>
        <v>95</v>
      </c>
      <c r="AE30" s="16"/>
      <c r="AF30" s="95"/>
      <c r="AG30" s="67"/>
      <c r="AH30" s="67"/>
      <c r="AI30" s="67"/>
      <c r="AJ30" s="68" t="str">
        <f t="shared" si="25"/>
        <v/>
      </c>
      <c r="AK30" s="102"/>
      <c r="AL30" s="48"/>
      <c r="AM30" s="105"/>
      <c r="AN30" s="69">
        <f t="shared" si="26"/>
        <v>-1</v>
      </c>
      <c r="AO30" s="107">
        <f t="shared" si="27"/>
        <v>-46208</v>
      </c>
      <c r="AP30" s="48"/>
      <c r="AQ30" s="111"/>
      <c r="AR30" s="70" t="str">
        <f t="shared" si="28"/>
        <v/>
      </c>
      <c r="AS30" s="107" t="e">
        <f t="shared" si="29"/>
        <v>#VALUE!</v>
      </c>
      <c r="AT30" s="48"/>
      <c r="AU30" s="113">
        <f t="shared" si="30"/>
        <v>46207</v>
      </c>
      <c r="AV30" s="119" t="str" cm="1">
        <f t="array" ref="AV30">INDEX($E$8:$Z$8, MATCH(TRUE, (F30:AA30="")+(F30:AA30&gt;$C$6)&gt;0, 0))</f>
        <v>1. Tender Docs &amp; BOQ</v>
      </c>
      <c r="AW30" s="116" t="b">
        <f t="shared" si="31"/>
        <v>0</v>
      </c>
      <c r="AX30" s="71" t="b">
        <f t="shared" si="32"/>
        <v>0</v>
      </c>
      <c r="AY30" s="71" t="b">
        <f t="shared" si="33"/>
        <v>0</v>
      </c>
      <c r="AZ30" s="71" t="b">
        <f t="shared" si="34"/>
        <v>0</v>
      </c>
      <c r="BA30" s="71" t="b">
        <f t="shared" si="35"/>
        <v>0</v>
      </c>
      <c r="BB30" s="71" t="b">
        <f t="shared" si="36"/>
        <v>0</v>
      </c>
      <c r="BC30" s="71" t="b">
        <f t="shared" si="37"/>
        <v>0</v>
      </c>
      <c r="BD30" s="71" t="b">
        <f t="shared" si="38"/>
        <v>0</v>
      </c>
      <c r="BE30" s="71" t="b">
        <f t="shared" si="39"/>
        <v>0</v>
      </c>
      <c r="BF30" s="71" t="b">
        <f t="shared" si="40"/>
        <v>0</v>
      </c>
      <c r="BG30" s="89" t="b">
        <f t="shared" si="41"/>
        <v>0</v>
      </c>
      <c r="BH30" s="48"/>
    </row>
    <row r="31" spans="1:60" ht="26.25" x14ac:dyDescent="0.25">
      <c r="A31" s="56" cm="1">
        <f t="array" ref="A31">SUMPRODUCT(($AV$10:$AV$55&lt;&gt;"")*(ROW($AV$10:$AV$55)&lt;=ROW()))</f>
        <v>17</v>
      </c>
      <c r="B31" s="59"/>
      <c r="C31" s="60"/>
      <c r="D31" s="59"/>
      <c r="E31" s="43"/>
      <c r="F31" s="44">
        <f t="shared" si="12"/>
        <v>-96</v>
      </c>
      <c r="G31" s="45"/>
      <c r="H31" s="44">
        <f t="shared" si="13"/>
        <v>-89</v>
      </c>
      <c r="I31" s="45"/>
      <c r="J31" s="44">
        <f t="shared" si="14"/>
        <v>-83</v>
      </c>
      <c r="K31" s="45"/>
      <c r="L31" s="44">
        <f t="shared" si="15"/>
        <v>-80</v>
      </c>
      <c r="M31" s="45"/>
      <c r="N31" s="44">
        <f t="shared" si="16"/>
        <v>-50</v>
      </c>
      <c r="O31" s="45"/>
      <c r="P31" s="44">
        <f t="shared" si="17"/>
        <v>-40</v>
      </c>
      <c r="Q31" s="45"/>
      <c r="R31" s="44">
        <f t="shared" si="18"/>
        <v>-20</v>
      </c>
      <c r="S31" s="45"/>
      <c r="T31" s="44">
        <f t="shared" si="19"/>
        <v>-13</v>
      </c>
      <c r="U31" s="45"/>
      <c r="V31" s="44">
        <f t="shared" si="20"/>
        <v>-6</v>
      </c>
      <c r="W31" s="45"/>
      <c r="X31" s="44">
        <f t="shared" si="21"/>
        <v>-1</v>
      </c>
      <c r="Y31" s="45"/>
      <c r="Z31" s="46">
        <f t="shared" si="22"/>
        <v>9</v>
      </c>
      <c r="AA31" s="45"/>
      <c r="AB31" s="32">
        <f t="shared" si="23"/>
        <v>-46113</v>
      </c>
      <c r="AC31" s="16"/>
      <c r="AD31" s="131">
        <f t="shared" si="24"/>
        <v>95</v>
      </c>
      <c r="AE31" s="16"/>
      <c r="AF31" s="96"/>
      <c r="AG31" s="72"/>
      <c r="AH31" s="72"/>
      <c r="AI31" s="72"/>
      <c r="AJ31" s="73" t="str">
        <f t="shared" si="25"/>
        <v/>
      </c>
      <c r="AK31" s="101"/>
      <c r="AL31" s="48"/>
      <c r="AM31" s="104"/>
      <c r="AN31" s="74">
        <f t="shared" si="26"/>
        <v>-1</v>
      </c>
      <c r="AO31" s="108">
        <f t="shared" si="27"/>
        <v>-46208</v>
      </c>
      <c r="AP31" s="48"/>
      <c r="AQ31" s="110"/>
      <c r="AR31" s="75" t="str">
        <f t="shared" si="28"/>
        <v/>
      </c>
      <c r="AS31" s="108" t="e">
        <f t="shared" si="29"/>
        <v>#VALUE!</v>
      </c>
      <c r="AT31" s="48"/>
      <c r="AU31" s="114">
        <f t="shared" si="30"/>
        <v>46207</v>
      </c>
      <c r="AV31" s="120" t="str" cm="1">
        <f t="array" ref="AV31">INDEX($E$8:$Z$8, MATCH(TRUE, (F31:AA31="")+(F31:AA31&gt;$C$6)&gt;0, 0))</f>
        <v>1. Tender Docs &amp; BOQ</v>
      </c>
      <c r="AW31" s="117" t="b">
        <f t="shared" si="31"/>
        <v>0</v>
      </c>
      <c r="AX31" s="76" t="b">
        <f t="shared" si="32"/>
        <v>0</v>
      </c>
      <c r="AY31" s="76" t="b">
        <f t="shared" si="33"/>
        <v>0</v>
      </c>
      <c r="AZ31" s="76" t="b">
        <f t="shared" si="34"/>
        <v>0</v>
      </c>
      <c r="BA31" s="76" t="b">
        <f t="shared" si="35"/>
        <v>0</v>
      </c>
      <c r="BB31" s="76" t="b">
        <f t="shared" si="36"/>
        <v>0</v>
      </c>
      <c r="BC31" s="76" t="b">
        <f t="shared" si="37"/>
        <v>0</v>
      </c>
      <c r="BD31" s="76" t="b">
        <f t="shared" si="38"/>
        <v>0</v>
      </c>
      <c r="BE31" s="76" t="b">
        <f t="shared" si="39"/>
        <v>0</v>
      </c>
      <c r="BF31" s="76" t="b">
        <f t="shared" si="40"/>
        <v>0</v>
      </c>
      <c r="BG31" s="90" t="b">
        <f t="shared" si="41"/>
        <v>0</v>
      </c>
      <c r="BH31" s="48"/>
    </row>
    <row r="32" spans="1:60" ht="26.25" x14ac:dyDescent="0.25">
      <c r="A32" s="56" cm="1">
        <f t="array" ref="A32">SUMPRODUCT(($AV$10:$AV$55&lt;&gt;"")*(ROW($AV$10:$AV$55)&lt;=ROW()))</f>
        <v>18</v>
      </c>
      <c r="B32" s="57"/>
      <c r="C32" s="58"/>
      <c r="D32" s="93"/>
      <c r="E32" s="16"/>
      <c r="F32" s="29">
        <f t="shared" si="12"/>
        <v>-96</v>
      </c>
      <c r="G32" s="42"/>
      <c r="H32" s="29">
        <f t="shared" si="13"/>
        <v>-89</v>
      </c>
      <c r="I32" s="42"/>
      <c r="J32" s="29">
        <f t="shared" si="14"/>
        <v>-83</v>
      </c>
      <c r="K32" s="42"/>
      <c r="L32" s="29">
        <f t="shared" si="15"/>
        <v>-80</v>
      </c>
      <c r="M32" s="42"/>
      <c r="N32" s="29">
        <f t="shared" si="16"/>
        <v>-50</v>
      </c>
      <c r="O32" s="42"/>
      <c r="P32" s="29">
        <f t="shared" si="17"/>
        <v>-40</v>
      </c>
      <c r="Q32" s="42"/>
      <c r="R32" s="29">
        <f t="shared" si="18"/>
        <v>-20</v>
      </c>
      <c r="S32" s="42"/>
      <c r="T32" s="29">
        <f t="shared" si="19"/>
        <v>-13</v>
      </c>
      <c r="U32" s="42"/>
      <c r="V32" s="29">
        <f t="shared" si="20"/>
        <v>-6</v>
      </c>
      <c r="W32" s="42"/>
      <c r="X32" s="29">
        <f t="shared" si="21"/>
        <v>-1</v>
      </c>
      <c r="Y32" s="42"/>
      <c r="Z32" s="30">
        <f t="shared" si="22"/>
        <v>9</v>
      </c>
      <c r="AA32" s="42"/>
      <c r="AB32" s="31">
        <f t="shared" si="23"/>
        <v>-46113</v>
      </c>
      <c r="AC32" s="16"/>
      <c r="AD32" s="131">
        <f t="shared" si="24"/>
        <v>95</v>
      </c>
      <c r="AE32" s="16"/>
      <c r="AF32" s="95"/>
      <c r="AG32" s="67"/>
      <c r="AH32" s="67"/>
      <c r="AI32" s="67"/>
      <c r="AJ32" s="68" t="str">
        <f t="shared" si="25"/>
        <v/>
      </c>
      <c r="AK32" s="102"/>
      <c r="AL32" s="48"/>
      <c r="AM32" s="105"/>
      <c r="AN32" s="69">
        <f t="shared" si="26"/>
        <v>-1</v>
      </c>
      <c r="AO32" s="107">
        <f t="shared" si="27"/>
        <v>-46208</v>
      </c>
      <c r="AP32" s="48"/>
      <c r="AQ32" s="111"/>
      <c r="AR32" s="70" t="str">
        <f t="shared" si="28"/>
        <v/>
      </c>
      <c r="AS32" s="107" t="e">
        <f t="shared" si="29"/>
        <v>#VALUE!</v>
      </c>
      <c r="AT32" s="48"/>
      <c r="AU32" s="113">
        <f t="shared" si="30"/>
        <v>46207</v>
      </c>
      <c r="AV32" s="119" t="str" cm="1">
        <f t="array" ref="AV32">INDEX($E$8:$Z$8, MATCH(TRUE, (F32:AA32="")+(F32:AA32&gt;$C$6)&gt;0, 0))</f>
        <v>1. Tender Docs &amp; BOQ</v>
      </c>
      <c r="AW32" s="116" t="b">
        <f t="shared" si="31"/>
        <v>0</v>
      </c>
      <c r="AX32" s="71" t="b">
        <f t="shared" si="32"/>
        <v>0</v>
      </c>
      <c r="AY32" s="71" t="b">
        <f t="shared" si="33"/>
        <v>0</v>
      </c>
      <c r="AZ32" s="71" t="b">
        <f t="shared" si="34"/>
        <v>0</v>
      </c>
      <c r="BA32" s="71" t="b">
        <f t="shared" si="35"/>
        <v>0</v>
      </c>
      <c r="BB32" s="71" t="b">
        <f t="shared" si="36"/>
        <v>0</v>
      </c>
      <c r="BC32" s="71" t="b">
        <f t="shared" si="37"/>
        <v>0</v>
      </c>
      <c r="BD32" s="71" t="b">
        <f t="shared" si="38"/>
        <v>0</v>
      </c>
      <c r="BE32" s="71" t="b">
        <f t="shared" si="39"/>
        <v>0</v>
      </c>
      <c r="BF32" s="71" t="b">
        <f t="shared" si="40"/>
        <v>0</v>
      </c>
      <c r="BG32" s="89" t="b">
        <f t="shared" si="41"/>
        <v>0</v>
      </c>
      <c r="BH32" s="48"/>
    </row>
    <row r="33" spans="1:60" ht="26.25" x14ac:dyDescent="0.25">
      <c r="A33" s="56" cm="1">
        <f t="array" ref="A33">SUMPRODUCT(($AV$10:$AV$55&lt;&gt;"")*(ROW($AV$10:$AV$55)&lt;=ROW()))</f>
        <v>19</v>
      </c>
      <c r="B33" s="59"/>
      <c r="C33" s="60"/>
      <c r="D33" s="59"/>
      <c r="E33" s="43"/>
      <c r="F33" s="44">
        <f t="shared" si="12"/>
        <v>-96</v>
      </c>
      <c r="G33" s="45"/>
      <c r="H33" s="44">
        <f t="shared" si="13"/>
        <v>-89</v>
      </c>
      <c r="I33" s="45"/>
      <c r="J33" s="44">
        <f t="shared" si="14"/>
        <v>-83</v>
      </c>
      <c r="K33" s="45"/>
      <c r="L33" s="44">
        <f t="shared" si="15"/>
        <v>-80</v>
      </c>
      <c r="M33" s="45"/>
      <c r="N33" s="44">
        <f t="shared" si="16"/>
        <v>-50</v>
      </c>
      <c r="O33" s="45"/>
      <c r="P33" s="44">
        <f t="shared" si="17"/>
        <v>-40</v>
      </c>
      <c r="Q33" s="45"/>
      <c r="R33" s="44">
        <f t="shared" si="18"/>
        <v>-20</v>
      </c>
      <c r="S33" s="45"/>
      <c r="T33" s="44">
        <f t="shared" si="19"/>
        <v>-13</v>
      </c>
      <c r="U33" s="45"/>
      <c r="V33" s="44">
        <f t="shared" si="20"/>
        <v>-6</v>
      </c>
      <c r="W33" s="45"/>
      <c r="X33" s="44">
        <f t="shared" si="21"/>
        <v>-1</v>
      </c>
      <c r="Y33" s="45"/>
      <c r="Z33" s="46">
        <f t="shared" si="22"/>
        <v>9</v>
      </c>
      <c r="AA33" s="45"/>
      <c r="AB33" s="32">
        <f t="shared" si="23"/>
        <v>-46113</v>
      </c>
      <c r="AC33" s="16"/>
      <c r="AD33" s="131">
        <f t="shared" si="24"/>
        <v>95</v>
      </c>
      <c r="AE33" s="16"/>
      <c r="AF33" s="96"/>
      <c r="AG33" s="72"/>
      <c r="AH33" s="72"/>
      <c r="AI33" s="72"/>
      <c r="AJ33" s="73" t="str">
        <f t="shared" si="25"/>
        <v/>
      </c>
      <c r="AK33" s="101"/>
      <c r="AL33" s="48"/>
      <c r="AM33" s="104"/>
      <c r="AN33" s="74">
        <f t="shared" si="26"/>
        <v>-1</v>
      </c>
      <c r="AO33" s="108">
        <f t="shared" si="27"/>
        <v>-46208</v>
      </c>
      <c r="AP33" s="48"/>
      <c r="AQ33" s="110"/>
      <c r="AR33" s="75" t="str">
        <f t="shared" si="28"/>
        <v/>
      </c>
      <c r="AS33" s="108" t="e">
        <f t="shared" si="29"/>
        <v>#VALUE!</v>
      </c>
      <c r="AT33" s="48"/>
      <c r="AU33" s="114">
        <f t="shared" si="30"/>
        <v>46207</v>
      </c>
      <c r="AV33" s="120" t="str" cm="1">
        <f t="array" ref="AV33">INDEX($E$8:$Z$8, MATCH(TRUE, (F33:AA33="")+(F33:AA33&gt;$C$6)&gt;0, 0))</f>
        <v>1. Tender Docs &amp; BOQ</v>
      </c>
      <c r="AW33" s="117" t="b">
        <f t="shared" si="31"/>
        <v>0</v>
      </c>
      <c r="AX33" s="76" t="b">
        <f t="shared" si="32"/>
        <v>0</v>
      </c>
      <c r="AY33" s="76" t="b">
        <f t="shared" si="33"/>
        <v>0</v>
      </c>
      <c r="AZ33" s="76" t="b">
        <f t="shared" si="34"/>
        <v>0</v>
      </c>
      <c r="BA33" s="76" t="b">
        <f t="shared" si="35"/>
        <v>0</v>
      </c>
      <c r="BB33" s="76" t="b">
        <f t="shared" si="36"/>
        <v>0</v>
      </c>
      <c r="BC33" s="76" t="b">
        <f t="shared" si="37"/>
        <v>0</v>
      </c>
      <c r="BD33" s="76" t="b">
        <f t="shared" si="38"/>
        <v>0</v>
      </c>
      <c r="BE33" s="76" t="b">
        <f t="shared" si="39"/>
        <v>0</v>
      </c>
      <c r="BF33" s="76" t="b">
        <f t="shared" si="40"/>
        <v>0</v>
      </c>
      <c r="BG33" s="90" t="b">
        <f t="shared" si="41"/>
        <v>0</v>
      </c>
      <c r="BH33" s="48"/>
    </row>
    <row r="34" spans="1:60" ht="26.25" x14ac:dyDescent="0.25">
      <c r="A34" s="56" cm="1">
        <f t="array" ref="A34">SUMPRODUCT(($AV$10:$AV$55&lt;&gt;"")*(ROW($AV$10:$AV$55)&lt;=ROW()))</f>
        <v>20</v>
      </c>
      <c r="B34" s="57"/>
      <c r="C34" s="58"/>
      <c r="D34" s="93"/>
      <c r="E34" s="16"/>
      <c r="F34" s="29">
        <f t="shared" si="12"/>
        <v>-96</v>
      </c>
      <c r="G34" s="42"/>
      <c r="H34" s="29">
        <f t="shared" si="13"/>
        <v>-89</v>
      </c>
      <c r="I34" s="42"/>
      <c r="J34" s="29">
        <f t="shared" si="14"/>
        <v>-83</v>
      </c>
      <c r="K34" s="42"/>
      <c r="L34" s="29">
        <f t="shared" si="15"/>
        <v>-80</v>
      </c>
      <c r="M34" s="42"/>
      <c r="N34" s="29">
        <f t="shared" si="16"/>
        <v>-50</v>
      </c>
      <c r="O34" s="42"/>
      <c r="P34" s="29">
        <f t="shared" si="17"/>
        <v>-40</v>
      </c>
      <c r="Q34" s="42"/>
      <c r="R34" s="29">
        <f t="shared" si="18"/>
        <v>-20</v>
      </c>
      <c r="S34" s="42"/>
      <c r="T34" s="29">
        <f t="shared" si="19"/>
        <v>-13</v>
      </c>
      <c r="U34" s="42"/>
      <c r="V34" s="29">
        <f t="shared" si="20"/>
        <v>-6</v>
      </c>
      <c r="W34" s="42"/>
      <c r="X34" s="29">
        <f t="shared" si="21"/>
        <v>-1</v>
      </c>
      <c r="Y34" s="42"/>
      <c r="Z34" s="30">
        <f t="shared" si="22"/>
        <v>9</v>
      </c>
      <c r="AA34" s="42"/>
      <c r="AB34" s="31">
        <f t="shared" si="23"/>
        <v>-46113</v>
      </c>
      <c r="AC34" s="16"/>
      <c r="AD34" s="131">
        <f t="shared" si="24"/>
        <v>95</v>
      </c>
      <c r="AE34" s="16"/>
      <c r="AF34" s="95"/>
      <c r="AG34" s="67"/>
      <c r="AH34" s="67"/>
      <c r="AI34" s="67"/>
      <c r="AJ34" s="68" t="str">
        <f t="shared" si="25"/>
        <v/>
      </c>
      <c r="AK34" s="102"/>
      <c r="AL34" s="48"/>
      <c r="AM34" s="105"/>
      <c r="AN34" s="69">
        <f t="shared" si="26"/>
        <v>-1</v>
      </c>
      <c r="AO34" s="107">
        <f t="shared" si="27"/>
        <v>-46208</v>
      </c>
      <c r="AP34" s="48"/>
      <c r="AQ34" s="111"/>
      <c r="AR34" s="70" t="str">
        <f t="shared" si="28"/>
        <v/>
      </c>
      <c r="AS34" s="107" t="e">
        <f t="shared" si="29"/>
        <v>#VALUE!</v>
      </c>
      <c r="AT34" s="48"/>
      <c r="AU34" s="113">
        <f t="shared" si="30"/>
        <v>46207</v>
      </c>
      <c r="AV34" s="119" t="str" cm="1">
        <f t="array" ref="AV34">INDEX($E$8:$Z$8, MATCH(TRUE, (F34:AA34="")+(F34:AA34&gt;$C$6)&gt;0, 0))</f>
        <v>1. Tender Docs &amp; BOQ</v>
      </c>
      <c r="AW34" s="116" t="b">
        <f t="shared" si="31"/>
        <v>0</v>
      </c>
      <c r="AX34" s="71" t="b">
        <f t="shared" si="32"/>
        <v>0</v>
      </c>
      <c r="AY34" s="71" t="b">
        <f t="shared" si="33"/>
        <v>0</v>
      </c>
      <c r="AZ34" s="71" t="b">
        <f t="shared" si="34"/>
        <v>0</v>
      </c>
      <c r="BA34" s="71" t="b">
        <f t="shared" si="35"/>
        <v>0</v>
      </c>
      <c r="BB34" s="71" t="b">
        <f t="shared" si="36"/>
        <v>0</v>
      </c>
      <c r="BC34" s="71" t="b">
        <f t="shared" si="37"/>
        <v>0</v>
      </c>
      <c r="BD34" s="71" t="b">
        <f t="shared" si="38"/>
        <v>0</v>
      </c>
      <c r="BE34" s="71" t="b">
        <f t="shared" si="39"/>
        <v>0</v>
      </c>
      <c r="BF34" s="71" t="b">
        <f t="shared" si="40"/>
        <v>0</v>
      </c>
      <c r="BG34" s="89" t="b">
        <f t="shared" si="41"/>
        <v>0</v>
      </c>
      <c r="BH34" s="48"/>
    </row>
    <row r="35" spans="1:60" ht="26.25" x14ac:dyDescent="0.25">
      <c r="A35" s="56" cm="1">
        <f t="array" ref="A35">SUMPRODUCT(($AV$10:$AV$55&lt;&gt;"")*(ROW($AV$10:$AV$55)&lt;=ROW()))</f>
        <v>21</v>
      </c>
      <c r="B35" s="59"/>
      <c r="C35" s="60"/>
      <c r="D35" s="59"/>
      <c r="E35" s="43"/>
      <c r="F35" s="44">
        <f t="shared" si="12"/>
        <v>-96</v>
      </c>
      <c r="G35" s="45"/>
      <c r="H35" s="44">
        <f t="shared" si="13"/>
        <v>-89</v>
      </c>
      <c r="I35" s="45"/>
      <c r="J35" s="44">
        <f t="shared" si="14"/>
        <v>-83</v>
      </c>
      <c r="K35" s="45"/>
      <c r="L35" s="44">
        <f t="shared" si="15"/>
        <v>-80</v>
      </c>
      <c r="M35" s="45"/>
      <c r="N35" s="44">
        <f t="shared" si="16"/>
        <v>-50</v>
      </c>
      <c r="O35" s="45"/>
      <c r="P35" s="44">
        <f t="shared" si="17"/>
        <v>-40</v>
      </c>
      <c r="Q35" s="45"/>
      <c r="R35" s="44">
        <f t="shared" si="18"/>
        <v>-20</v>
      </c>
      <c r="S35" s="45"/>
      <c r="T35" s="44">
        <f t="shared" si="19"/>
        <v>-13</v>
      </c>
      <c r="U35" s="45"/>
      <c r="V35" s="44">
        <f t="shared" si="20"/>
        <v>-6</v>
      </c>
      <c r="W35" s="45"/>
      <c r="X35" s="44">
        <f t="shared" si="21"/>
        <v>-1</v>
      </c>
      <c r="Y35" s="45"/>
      <c r="Z35" s="46">
        <f t="shared" si="22"/>
        <v>9</v>
      </c>
      <c r="AA35" s="45"/>
      <c r="AB35" s="32">
        <f t="shared" si="23"/>
        <v>-46113</v>
      </c>
      <c r="AC35" s="16"/>
      <c r="AD35" s="131">
        <f t="shared" si="24"/>
        <v>95</v>
      </c>
      <c r="AE35" s="16"/>
      <c r="AF35" s="96"/>
      <c r="AG35" s="72"/>
      <c r="AH35" s="72"/>
      <c r="AI35" s="72"/>
      <c r="AJ35" s="73" t="str">
        <f t="shared" si="25"/>
        <v/>
      </c>
      <c r="AK35" s="101"/>
      <c r="AL35" s="48"/>
      <c r="AM35" s="104"/>
      <c r="AN35" s="74">
        <f t="shared" si="26"/>
        <v>-1</v>
      </c>
      <c r="AO35" s="108">
        <f t="shared" si="27"/>
        <v>-46208</v>
      </c>
      <c r="AP35" s="48"/>
      <c r="AQ35" s="110"/>
      <c r="AR35" s="75" t="str">
        <f t="shared" si="28"/>
        <v/>
      </c>
      <c r="AS35" s="108" t="e">
        <f t="shared" si="29"/>
        <v>#VALUE!</v>
      </c>
      <c r="AT35" s="48"/>
      <c r="AU35" s="114">
        <f t="shared" si="30"/>
        <v>46207</v>
      </c>
      <c r="AV35" s="120" t="str" cm="1">
        <f t="array" ref="AV35">INDEX($E$8:$Z$8, MATCH(TRUE, (F35:AA35="")+(F35:AA35&gt;$C$6)&gt;0, 0))</f>
        <v>1. Tender Docs &amp; BOQ</v>
      </c>
      <c r="AW35" s="117" t="b">
        <f t="shared" si="31"/>
        <v>0</v>
      </c>
      <c r="AX35" s="76" t="b">
        <f t="shared" si="32"/>
        <v>0</v>
      </c>
      <c r="AY35" s="76" t="b">
        <f t="shared" si="33"/>
        <v>0</v>
      </c>
      <c r="AZ35" s="76" t="b">
        <f t="shared" si="34"/>
        <v>0</v>
      </c>
      <c r="BA35" s="76" t="b">
        <f t="shared" si="35"/>
        <v>0</v>
      </c>
      <c r="BB35" s="76" t="b">
        <f t="shared" si="36"/>
        <v>0</v>
      </c>
      <c r="BC35" s="76" t="b">
        <f t="shared" si="37"/>
        <v>0</v>
      </c>
      <c r="BD35" s="76" t="b">
        <f t="shared" si="38"/>
        <v>0</v>
      </c>
      <c r="BE35" s="76" t="b">
        <f t="shared" si="39"/>
        <v>0</v>
      </c>
      <c r="BF35" s="76" t="b">
        <f t="shared" si="40"/>
        <v>0</v>
      </c>
      <c r="BG35" s="90" t="b">
        <f t="shared" si="41"/>
        <v>0</v>
      </c>
      <c r="BH35" s="48"/>
    </row>
    <row r="36" spans="1:60" ht="26.25" x14ac:dyDescent="0.25">
      <c r="A36" s="56" cm="1">
        <f t="array" ref="A36">SUMPRODUCT(($AV$10:$AV$55&lt;&gt;"")*(ROW($AV$10:$AV$55)&lt;=ROW()))</f>
        <v>22</v>
      </c>
      <c r="B36" s="57"/>
      <c r="C36" s="58"/>
      <c r="D36" s="93"/>
      <c r="E36" s="16"/>
      <c r="F36" s="29">
        <f t="shared" si="12"/>
        <v>-96</v>
      </c>
      <c r="G36" s="42"/>
      <c r="H36" s="29">
        <f t="shared" si="13"/>
        <v>-89</v>
      </c>
      <c r="I36" s="42"/>
      <c r="J36" s="29">
        <f t="shared" si="14"/>
        <v>-83</v>
      </c>
      <c r="K36" s="42"/>
      <c r="L36" s="29">
        <f t="shared" si="15"/>
        <v>-80</v>
      </c>
      <c r="M36" s="42"/>
      <c r="N36" s="29">
        <f t="shared" si="16"/>
        <v>-50</v>
      </c>
      <c r="O36" s="42"/>
      <c r="P36" s="29">
        <f t="shared" si="17"/>
        <v>-40</v>
      </c>
      <c r="Q36" s="42"/>
      <c r="R36" s="29">
        <f t="shared" si="18"/>
        <v>-20</v>
      </c>
      <c r="S36" s="42"/>
      <c r="T36" s="29">
        <f t="shared" si="19"/>
        <v>-13</v>
      </c>
      <c r="U36" s="42"/>
      <c r="V36" s="29">
        <f t="shared" si="20"/>
        <v>-6</v>
      </c>
      <c r="W36" s="42"/>
      <c r="X36" s="29">
        <f t="shared" si="21"/>
        <v>-1</v>
      </c>
      <c r="Y36" s="42"/>
      <c r="Z36" s="30">
        <f t="shared" si="22"/>
        <v>9</v>
      </c>
      <c r="AA36" s="42"/>
      <c r="AB36" s="31">
        <f t="shared" si="23"/>
        <v>-46113</v>
      </c>
      <c r="AC36" s="16"/>
      <c r="AD36" s="131">
        <f t="shared" si="24"/>
        <v>95</v>
      </c>
      <c r="AE36" s="16"/>
      <c r="AF36" s="95"/>
      <c r="AG36" s="67"/>
      <c r="AH36" s="67"/>
      <c r="AI36" s="67"/>
      <c r="AJ36" s="68" t="str">
        <f t="shared" si="25"/>
        <v/>
      </c>
      <c r="AK36" s="102"/>
      <c r="AL36" s="48"/>
      <c r="AM36" s="105"/>
      <c r="AN36" s="69">
        <f t="shared" si="26"/>
        <v>-1</v>
      </c>
      <c r="AO36" s="107">
        <f t="shared" si="27"/>
        <v>-46208</v>
      </c>
      <c r="AP36" s="48"/>
      <c r="AQ36" s="111"/>
      <c r="AR36" s="70" t="str">
        <f t="shared" si="28"/>
        <v/>
      </c>
      <c r="AS36" s="107" t="e">
        <f t="shared" si="29"/>
        <v>#VALUE!</v>
      </c>
      <c r="AT36" s="48"/>
      <c r="AU36" s="113">
        <f t="shared" si="30"/>
        <v>46207</v>
      </c>
      <c r="AV36" s="119" t="str" cm="1">
        <f t="array" ref="AV36">INDEX($E$8:$Z$8, MATCH(TRUE, (F36:AA36="")+(F36:AA36&gt;$C$6)&gt;0, 0))</f>
        <v>1. Tender Docs &amp; BOQ</v>
      </c>
      <c r="AW36" s="116" t="b">
        <f t="shared" si="31"/>
        <v>0</v>
      </c>
      <c r="AX36" s="71" t="b">
        <f t="shared" si="32"/>
        <v>0</v>
      </c>
      <c r="AY36" s="71" t="b">
        <f t="shared" si="33"/>
        <v>0</v>
      </c>
      <c r="AZ36" s="71" t="b">
        <f t="shared" si="34"/>
        <v>0</v>
      </c>
      <c r="BA36" s="71" t="b">
        <f t="shared" si="35"/>
        <v>0</v>
      </c>
      <c r="BB36" s="71" t="b">
        <f t="shared" si="36"/>
        <v>0</v>
      </c>
      <c r="BC36" s="71" t="b">
        <f t="shared" si="37"/>
        <v>0</v>
      </c>
      <c r="BD36" s="71" t="b">
        <f t="shared" si="38"/>
        <v>0</v>
      </c>
      <c r="BE36" s="71" t="b">
        <f t="shared" si="39"/>
        <v>0</v>
      </c>
      <c r="BF36" s="71" t="b">
        <f t="shared" si="40"/>
        <v>0</v>
      </c>
      <c r="BG36" s="89" t="b">
        <f t="shared" si="41"/>
        <v>0</v>
      </c>
      <c r="BH36" s="48"/>
    </row>
    <row r="37" spans="1:60" ht="26.25" x14ac:dyDescent="0.25">
      <c r="A37" s="56" cm="1">
        <f t="array" ref="A37">SUMPRODUCT(($AV$10:$AV$55&lt;&gt;"")*(ROW($AV$10:$AV$55)&lt;=ROW()))</f>
        <v>23</v>
      </c>
      <c r="B37" s="59"/>
      <c r="C37" s="60"/>
      <c r="D37" s="59"/>
      <c r="E37" s="43"/>
      <c r="F37" s="44">
        <f t="shared" si="12"/>
        <v>-96</v>
      </c>
      <c r="G37" s="45"/>
      <c r="H37" s="44">
        <f t="shared" si="13"/>
        <v>-89</v>
      </c>
      <c r="I37" s="45"/>
      <c r="J37" s="44">
        <f t="shared" si="14"/>
        <v>-83</v>
      </c>
      <c r="K37" s="45"/>
      <c r="L37" s="44">
        <f t="shared" si="15"/>
        <v>-80</v>
      </c>
      <c r="M37" s="45"/>
      <c r="N37" s="44">
        <f t="shared" si="16"/>
        <v>-50</v>
      </c>
      <c r="O37" s="45"/>
      <c r="P37" s="44">
        <f t="shared" si="17"/>
        <v>-40</v>
      </c>
      <c r="Q37" s="45"/>
      <c r="R37" s="44">
        <f t="shared" si="18"/>
        <v>-20</v>
      </c>
      <c r="S37" s="45"/>
      <c r="T37" s="44">
        <f t="shared" si="19"/>
        <v>-13</v>
      </c>
      <c r="U37" s="45"/>
      <c r="V37" s="44">
        <f t="shared" si="20"/>
        <v>-6</v>
      </c>
      <c r="W37" s="45"/>
      <c r="X37" s="44">
        <f t="shared" si="21"/>
        <v>-1</v>
      </c>
      <c r="Y37" s="45"/>
      <c r="Z37" s="46">
        <f t="shared" si="22"/>
        <v>9</v>
      </c>
      <c r="AA37" s="45"/>
      <c r="AB37" s="32">
        <f t="shared" si="23"/>
        <v>-46113</v>
      </c>
      <c r="AC37" s="16"/>
      <c r="AD37" s="131">
        <f t="shared" si="24"/>
        <v>95</v>
      </c>
      <c r="AE37" s="16"/>
      <c r="AF37" s="96"/>
      <c r="AG37" s="72"/>
      <c r="AH37" s="72"/>
      <c r="AI37" s="72"/>
      <c r="AJ37" s="73" t="str">
        <f t="shared" si="25"/>
        <v/>
      </c>
      <c r="AK37" s="101"/>
      <c r="AL37" s="48"/>
      <c r="AM37" s="104"/>
      <c r="AN37" s="74">
        <f t="shared" si="26"/>
        <v>-1</v>
      </c>
      <c r="AO37" s="108">
        <f t="shared" si="27"/>
        <v>-46208</v>
      </c>
      <c r="AP37" s="48"/>
      <c r="AQ37" s="110"/>
      <c r="AR37" s="75" t="str">
        <f t="shared" si="28"/>
        <v/>
      </c>
      <c r="AS37" s="108" t="e">
        <f t="shared" si="29"/>
        <v>#VALUE!</v>
      </c>
      <c r="AT37" s="48"/>
      <c r="AU37" s="114">
        <f t="shared" si="30"/>
        <v>46207</v>
      </c>
      <c r="AV37" s="120" t="str" cm="1">
        <f t="array" ref="AV37">INDEX($E$8:$Z$8, MATCH(TRUE, (F37:AA37="")+(F37:AA37&gt;$C$6)&gt;0, 0))</f>
        <v>1. Tender Docs &amp; BOQ</v>
      </c>
      <c r="AW37" s="117" t="b">
        <f t="shared" si="31"/>
        <v>0</v>
      </c>
      <c r="AX37" s="76" t="b">
        <f t="shared" si="32"/>
        <v>0</v>
      </c>
      <c r="AY37" s="76" t="b">
        <f t="shared" si="33"/>
        <v>0</v>
      </c>
      <c r="AZ37" s="76" t="b">
        <f t="shared" si="34"/>
        <v>0</v>
      </c>
      <c r="BA37" s="76" t="b">
        <f t="shared" si="35"/>
        <v>0</v>
      </c>
      <c r="BB37" s="76" t="b">
        <f t="shared" si="36"/>
        <v>0</v>
      </c>
      <c r="BC37" s="76" t="b">
        <f t="shared" si="37"/>
        <v>0</v>
      </c>
      <c r="BD37" s="76" t="b">
        <f t="shared" si="38"/>
        <v>0</v>
      </c>
      <c r="BE37" s="76" t="b">
        <f t="shared" si="39"/>
        <v>0</v>
      </c>
      <c r="BF37" s="76" t="b">
        <f t="shared" si="40"/>
        <v>0</v>
      </c>
      <c r="BG37" s="90" t="b">
        <f t="shared" si="41"/>
        <v>0</v>
      </c>
      <c r="BH37" s="48"/>
    </row>
    <row r="38" spans="1:60" ht="26.25" x14ac:dyDescent="0.25">
      <c r="A38" s="56" cm="1">
        <f t="array" ref="A38">SUMPRODUCT(($AV$10:$AV$55&lt;&gt;"")*(ROW($AV$10:$AV$55)&lt;=ROW()))</f>
        <v>24</v>
      </c>
      <c r="B38" s="57"/>
      <c r="C38" s="58"/>
      <c r="D38" s="93"/>
      <c r="E38" s="16"/>
      <c r="F38" s="29">
        <f t="shared" si="12"/>
        <v>-96</v>
      </c>
      <c r="G38" s="42"/>
      <c r="H38" s="29">
        <f t="shared" si="13"/>
        <v>-89</v>
      </c>
      <c r="I38" s="42"/>
      <c r="J38" s="29">
        <f t="shared" si="14"/>
        <v>-83</v>
      </c>
      <c r="K38" s="42"/>
      <c r="L38" s="29">
        <f t="shared" si="15"/>
        <v>-80</v>
      </c>
      <c r="M38" s="42"/>
      <c r="N38" s="29">
        <f t="shared" si="16"/>
        <v>-50</v>
      </c>
      <c r="O38" s="42"/>
      <c r="P38" s="29">
        <f t="shared" si="17"/>
        <v>-40</v>
      </c>
      <c r="Q38" s="42"/>
      <c r="R38" s="29">
        <f t="shared" si="18"/>
        <v>-20</v>
      </c>
      <c r="S38" s="42"/>
      <c r="T38" s="29">
        <f t="shared" si="19"/>
        <v>-13</v>
      </c>
      <c r="U38" s="42"/>
      <c r="V38" s="29">
        <f t="shared" si="20"/>
        <v>-6</v>
      </c>
      <c r="W38" s="42"/>
      <c r="X38" s="29">
        <f t="shared" si="21"/>
        <v>-1</v>
      </c>
      <c r="Y38" s="42"/>
      <c r="Z38" s="30">
        <f t="shared" si="22"/>
        <v>9</v>
      </c>
      <c r="AA38" s="42"/>
      <c r="AB38" s="31">
        <f t="shared" si="23"/>
        <v>-46113</v>
      </c>
      <c r="AC38" s="16"/>
      <c r="AD38" s="131">
        <f t="shared" si="24"/>
        <v>95</v>
      </c>
      <c r="AE38" s="16"/>
      <c r="AF38" s="95"/>
      <c r="AG38" s="67"/>
      <c r="AH38" s="67"/>
      <c r="AI38" s="67"/>
      <c r="AJ38" s="68" t="str">
        <f t="shared" si="25"/>
        <v/>
      </c>
      <c r="AK38" s="102"/>
      <c r="AL38" s="48"/>
      <c r="AM38" s="105"/>
      <c r="AN38" s="69">
        <f t="shared" si="26"/>
        <v>-1</v>
      </c>
      <c r="AO38" s="107">
        <f t="shared" si="27"/>
        <v>-46208</v>
      </c>
      <c r="AP38" s="48"/>
      <c r="AQ38" s="111"/>
      <c r="AR38" s="70" t="str">
        <f t="shared" si="28"/>
        <v/>
      </c>
      <c r="AS38" s="107" t="e">
        <f t="shared" si="29"/>
        <v>#VALUE!</v>
      </c>
      <c r="AT38" s="48"/>
      <c r="AU38" s="113">
        <f t="shared" si="30"/>
        <v>46207</v>
      </c>
      <c r="AV38" s="119" t="str" cm="1">
        <f t="array" ref="AV38">INDEX($E$8:$Z$8, MATCH(TRUE, (F38:AA38="")+(F38:AA38&gt;$C$6)&gt;0, 0))</f>
        <v>1. Tender Docs &amp; BOQ</v>
      </c>
      <c r="AW38" s="116" t="b">
        <f t="shared" si="31"/>
        <v>0</v>
      </c>
      <c r="AX38" s="71" t="b">
        <f t="shared" si="32"/>
        <v>0</v>
      </c>
      <c r="AY38" s="71" t="b">
        <f t="shared" si="33"/>
        <v>0</v>
      </c>
      <c r="AZ38" s="71" t="b">
        <f t="shared" si="34"/>
        <v>0</v>
      </c>
      <c r="BA38" s="71" t="b">
        <f t="shared" si="35"/>
        <v>0</v>
      </c>
      <c r="BB38" s="71" t="b">
        <f t="shared" si="36"/>
        <v>0</v>
      </c>
      <c r="BC38" s="71" t="b">
        <f t="shared" si="37"/>
        <v>0</v>
      </c>
      <c r="BD38" s="71" t="b">
        <f t="shared" si="38"/>
        <v>0</v>
      </c>
      <c r="BE38" s="71" t="b">
        <f t="shared" si="39"/>
        <v>0</v>
      </c>
      <c r="BF38" s="71" t="b">
        <f t="shared" si="40"/>
        <v>0</v>
      </c>
      <c r="BG38" s="89" t="b">
        <f t="shared" si="41"/>
        <v>0</v>
      </c>
      <c r="BH38" s="48"/>
    </row>
    <row r="39" spans="1:60" ht="26.25" x14ac:dyDescent="0.25">
      <c r="A39" s="56" cm="1">
        <f t="array" ref="A39">SUMPRODUCT(($AV$10:$AV$55&lt;&gt;"")*(ROW($AV$10:$AV$55)&lt;=ROW()))</f>
        <v>25</v>
      </c>
      <c r="B39" s="59"/>
      <c r="C39" s="60"/>
      <c r="D39" s="59"/>
      <c r="E39" s="43"/>
      <c r="F39" s="44">
        <f t="shared" si="12"/>
        <v>-96</v>
      </c>
      <c r="G39" s="45"/>
      <c r="H39" s="44">
        <f t="shared" si="13"/>
        <v>-89</v>
      </c>
      <c r="I39" s="45"/>
      <c r="J39" s="44">
        <f t="shared" si="14"/>
        <v>-83</v>
      </c>
      <c r="K39" s="45"/>
      <c r="L39" s="44">
        <f t="shared" si="15"/>
        <v>-80</v>
      </c>
      <c r="M39" s="45"/>
      <c r="N39" s="44">
        <f t="shared" si="16"/>
        <v>-50</v>
      </c>
      <c r="O39" s="45"/>
      <c r="P39" s="44">
        <f t="shared" si="17"/>
        <v>-40</v>
      </c>
      <c r="Q39" s="45"/>
      <c r="R39" s="44">
        <f t="shared" si="18"/>
        <v>-20</v>
      </c>
      <c r="S39" s="45"/>
      <c r="T39" s="44">
        <f t="shared" si="19"/>
        <v>-13</v>
      </c>
      <c r="U39" s="45"/>
      <c r="V39" s="44">
        <f t="shared" si="20"/>
        <v>-6</v>
      </c>
      <c r="W39" s="45"/>
      <c r="X39" s="44">
        <f t="shared" si="21"/>
        <v>-1</v>
      </c>
      <c r="Y39" s="45"/>
      <c r="Z39" s="46">
        <f t="shared" si="22"/>
        <v>9</v>
      </c>
      <c r="AA39" s="45"/>
      <c r="AB39" s="32">
        <f t="shared" si="23"/>
        <v>-46113</v>
      </c>
      <c r="AC39" s="16"/>
      <c r="AD39" s="131">
        <f t="shared" si="24"/>
        <v>95</v>
      </c>
      <c r="AE39" s="16"/>
      <c r="AF39" s="96"/>
      <c r="AG39" s="72"/>
      <c r="AH39" s="72"/>
      <c r="AI39" s="72"/>
      <c r="AJ39" s="73" t="str">
        <f t="shared" si="25"/>
        <v/>
      </c>
      <c r="AK39" s="101"/>
      <c r="AL39" s="48"/>
      <c r="AM39" s="104"/>
      <c r="AN39" s="74">
        <f t="shared" si="26"/>
        <v>-1</v>
      </c>
      <c r="AO39" s="108">
        <f t="shared" si="27"/>
        <v>-46208</v>
      </c>
      <c r="AP39" s="48"/>
      <c r="AQ39" s="110"/>
      <c r="AR39" s="75" t="str">
        <f t="shared" si="28"/>
        <v/>
      </c>
      <c r="AS39" s="108" t="e">
        <f t="shared" si="29"/>
        <v>#VALUE!</v>
      </c>
      <c r="AT39" s="48"/>
      <c r="AU39" s="114">
        <f t="shared" si="30"/>
        <v>46207</v>
      </c>
      <c r="AV39" s="120" t="str" cm="1">
        <f t="array" ref="AV39">INDEX($E$8:$Z$8, MATCH(TRUE, (F39:AA39="")+(F39:AA39&gt;$C$6)&gt;0, 0))</f>
        <v>1. Tender Docs &amp; BOQ</v>
      </c>
      <c r="AW39" s="117" t="b">
        <f t="shared" si="31"/>
        <v>0</v>
      </c>
      <c r="AX39" s="76" t="b">
        <f t="shared" si="32"/>
        <v>0</v>
      </c>
      <c r="AY39" s="76" t="b">
        <f t="shared" si="33"/>
        <v>0</v>
      </c>
      <c r="AZ39" s="76" t="b">
        <f t="shared" si="34"/>
        <v>0</v>
      </c>
      <c r="BA39" s="76" t="b">
        <f t="shared" si="35"/>
        <v>0</v>
      </c>
      <c r="BB39" s="76" t="b">
        <f t="shared" si="36"/>
        <v>0</v>
      </c>
      <c r="BC39" s="76" t="b">
        <f t="shared" si="37"/>
        <v>0</v>
      </c>
      <c r="BD39" s="76" t="b">
        <f t="shared" si="38"/>
        <v>0</v>
      </c>
      <c r="BE39" s="76" t="b">
        <f t="shared" si="39"/>
        <v>0</v>
      </c>
      <c r="BF39" s="76" t="b">
        <f t="shared" si="40"/>
        <v>0</v>
      </c>
      <c r="BG39" s="90" t="b">
        <f t="shared" si="41"/>
        <v>0</v>
      </c>
      <c r="BH39" s="48"/>
    </row>
    <row r="40" spans="1:60" ht="26.25" x14ac:dyDescent="0.25">
      <c r="A40" s="54"/>
      <c r="B40" s="49"/>
      <c r="C40" s="50" t="s">
        <v>156</v>
      </c>
      <c r="D40" s="51"/>
      <c r="E40" s="51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1"/>
      <c r="AC40" s="51"/>
      <c r="AD40" s="132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88"/>
      <c r="BH40" s="48"/>
    </row>
    <row r="41" spans="1:60" ht="26.25" x14ac:dyDescent="0.25">
      <c r="A41" s="56" cm="1">
        <f t="array" ref="A41">SUMPRODUCT(($AV$10:$AV$55&lt;&gt;"")*(ROW($AV$10:$AV$55)&lt;=ROW()))</f>
        <v>26</v>
      </c>
      <c r="B41" s="59"/>
      <c r="C41" s="60"/>
      <c r="D41" s="59"/>
      <c r="E41" s="43"/>
      <c r="F41" s="44">
        <f>H41-$H$7</f>
        <v>-96</v>
      </c>
      <c r="G41" s="45"/>
      <c r="H41" s="44">
        <f>J41-$J$7</f>
        <v>-89</v>
      </c>
      <c r="I41" s="45"/>
      <c r="J41" s="44">
        <f>L41-$L$7</f>
        <v>-83</v>
      </c>
      <c r="K41" s="45"/>
      <c r="L41" s="44">
        <f>N41-$N$7</f>
        <v>-80</v>
      </c>
      <c r="M41" s="45"/>
      <c r="N41" s="44">
        <f>P41-$P$7</f>
        <v>-50</v>
      </c>
      <c r="O41" s="45"/>
      <c r="P41" s="44">
        <f>R41-$R$7</f>
        <v>-40</v>
      </c>
      <c r="Q41" s="45"/>
      <c r="R41" s="44">
        <f>T41-$T$7</f>
        <v>-20</v>
      </c>
      <c r="S41" s="45"/>
      <c r="T41" s="44">
        <f>V41-$V$7</f>
        <v>-13</v>
      </c>
      <c r="U41" s="45"/>
      <c r="V41" s="44">
        <f>X41-$X$7</f>
        <v>-6</v>
      </c>
      <c r="W41" s="45"/>
      <c r="X41" s="44">
        <f t="shared" ref="X41:X42" si="42">AN41</f>
        <v>-1</v>
      </c>
      <c r="Y41" s="45"/>
      <c r="Z41" s="46">
        <f>X41+$Z$7</f>
        <v>9</v>
      </c>
      <c r="AA41" s="45"/>
      <c r="AB41" s="32">
        <f>IF(AV41="10. Issued to Contractor","-",IF(AV41="11. Subcontract Agreement signed","-",MAX(AN41,AR41)-$C$6))</f>
        <v>-46113</v>
      </c>
      <c r="AC41" s="16"/>
      <c r="AD41" s="131">
        <f t="shared" ref="AD41:AD42" si="43">SUM($H$7:$Y$7)</f>
        <v>95</v>
      </c>
      <c r="AE41" s="16"/>
      <c r="AF41" s="96"/>
      <c r="AG41" s="72"/>
      <c r="AH41" s="72"/>
      <c r="AI41" s="72"/>
      <c r="AJ41" s="73" t="str">
        <f>IFERROR(IF(AI41&gt;0,AH41-AI41,""),AH41)</f>
        <v/>
      </c>
      <c r="AK41" s="101"/>
      <c r="AL41" s="48"/>
      <c r="AM41" s="104"/>
      <c r="AN41" s="74">
        <f>$M$3+AM41-1</f>
        <v>-1</v>
      </c>
      <c r="AO41" s="108">
        <f>AN41-AU41</f>
        <v>-46208</v>
      </c>
      <c r="AP41" s="48"/>
      <c r="AQ41" s="110"/>
      <c r="AR41" s="75" t="str">
        <f>IFERROR(WORKDAY.INTL(AN41,AQ41,11),"")</f>
        <v/>
      </c>
      <c r="AS41" s="108" t="e">
        <f>AR41-AU41</f>
        <v>#VALUE!</v>
      </c>
      <c r="AT41" s="48"/>
      <c r="AU41" s="114">
        <f t="shared" ref="AU41:AU42" si="44">IF(Y41&gt;0,Y41,IFERROR(MAX(_xlfn.XLOOKUP($AV41,$H$8:$Z$8,$G41:$Y41),$C$6)+(AN41-_xlfn.XLOOKUP($AV41,$H$8:$Z$8,$F41:$X41))*AD41/SUM($H$7:$Y$7),$C$6+SUM(AD41)))</f>
        <v>46207</v>
      </c>
      <c r="AV41" s="120" t="str" cm="1">
        <f t="array" ref="AV41">INDEX($E$8:$Z$8, MATCH(TRUE, (F41:AA41="")+(F41:AA41&gt;$C$6)&gt;0, 0))</f>
        <v>1. Tender Docs &amp; BOQ</v>
      </c>
      <c r="AW41" s="117" t="b">
        <f>IF(AND(G41&gt;0,G41&lt;$C$6),TRUE,FALSE)</f>
        <v>0</v>
      </c>
      <c r="AX41" s="76" t="b">
        <f>IF(AND(I41&gt;0,I41&lt;$C$6),TRUE,FALSE)</f>
        <v>0</v>
      </c>
      <c r="AY41" s="76" t="b">
        <f>IF(AND(K41&gt;0,K41&lt;$C$6),TRUE,FALSE)</f>
        <v>0</v>
      </c>
      <c r="AZ41" s="76" t="b">
        <f>IF(AND(M41&gt;0,M41&lt;$C$6),TRUE,FALSE)</f>
        <v>0</v>
      </c>
      <c r="BA41" s="76" t="b">
        <f>IF(AND(O41&gt;0,O41&lt;$C$6),TRUE,FALSE)</f>
        <v>0</v>
      </c>
      <c r="BB41" s="76" t="b">
        <f>IF(AND(Q41&gt;0,Q41&lt;$C$6),TRUE,FALSE)</f>
        <v>0</v>
      </c>
      <c r="BC41" s="76" t="b">
        <f>IF(AND(S41&gt;0,S41&lt;$C$6),TRUE,FALSE)</f>
        <v>0</v>
      </c>
      <c r="BD41" s="76" t="b">
        <f>IF(AND(U41&gt;0,U41&lt;$C$6),TRUE,FALSE)</f>
        <v>0</v>
      </c>
      <c r="BE41" s="76" t="b">
        <f>IF(AND(W41&gt;0,W41&lt;$C$6),TRUE,FALSE)</f>
        <v>0</v>
      </c>
      <c r="BF41" s="76" t="b">
        <f>IF(AND(Y41&gt;0,Y41&lt;$C$6),TRUE,FALSE)</f>
        <v>0</v>
      </c>
      <c r="BG41" s="90" t="b">
        <f>IF(AND(AA41&gt;0,AA41&lt;$C$6),TRUE,FALSE)</f>
        <v>0</v>
      </c>
      <c r="BH41" s="48"/>
    </row>
    <row r="42" spans="1:60" ht="26.25" x14ac:dyDescent="0.25">
      <c r="A42" s="56" cm="1">
        <f t="array" ref="A42">SUMPRODUCT(($AV$10:$AV$55&lt;&gt;"")*(ROW($AV$10:$AV$55)&lt;=ROW()))</f>
        <v>27</v>
      </c>
      <c r="B42" s="57"/>
      <c r="C42" s="58"/>
      <c r="D42" s="93"/>
      <c r="E42" s="16"/>
      <c r="F42" s="29">
        <f>H42-$H$7</f>
        <v>-96</v>
      </c>
      <c r="G42" s="42"/>
      <c r="H42" s="29">
        <f>J42-$J$7</f>
        <v>-89</v>
      </c>
      <c r="I42" s="42"/>
      <c r="J42" s="29">
        <f>L42-$L$7</f>
        <v>-83</v>
      </c>
      <c r="K42" s="42"/>
      <c r="L42" s="29">
        <f>N42-$N$7</f>
        <v>-80</v>
      </c>
      <c r="M42" s="42"/>
      <c r="N42" s="29">
        <f>P42-$P$7</f>
        <v>-50</v>
      </c>
      <c r="O42" s="42"/>
      <c r="P42" s="29">
        <f>R42-$R$7</f>
        <v>-40</v>
      </c>
      <c r="Q42" s="42"/>
      <c r="R42" s="29">
        <f>T42-$T$7</f>
        <v>-20</v>
      </c>
      <c r="S42" s="42"/>
      <c r="T42" s="29">
        <f>V42-$V$7</f>
        <v>-13</v>
      </c>
      <c r="U42" s="42"/>
      <c r="V42" s="29">
        <f>X42-$X$7</f>
        <v>-6</v>
      </c>
      <c r="W42" s="42"/>
      <c r="X42" s="29">
        <f t="shared" si="42"/>
        <v>-1</v>
      </c>
      <c r="Y42" s="42"/>
      <c r="Z42" s="30">
        <f>X42+$Z$7</f>
        <v>9</v>
      </c>
      <c r="AA42" s="42"/>
      <c r="AB42" s="31">
        <f>IF(AV42="10. Issued to Contractor","-",IF(AV42="11. Subcontract Agreement signed","-",MAX(AN42,AR42)-$C$6))</f>
        <v>-46113</v>
      </c>
      <c r="AC42" s="16"/>
      <c r="AD42" s="131">
        <f t="shared" si="43"/>
        <v>95</v>
      </c>
      <c r="AE42" s="16"/>
      <c r="AF42" s="95"/>
      <c r="AG42" s="67"/>
      <c r="AH42" s="67"/>
      <c r="AI42" s="67"/>
      <c r="AJ42" s="68" t="str">
        <f>IFERROR(IF(AI42&gt;0,AH42-AI42,""),AH42)</f>
        <v/>
      </c>
      <c r="AK42" s="102"/>
      <c r="AL42" s="48"/>
      <c r="AM42" s="105"/>
      <c r="AN42" s="69">
        <f>$M$3+AM42-1</f>
        <v>-1</v>
      </c>
      <c r="AO42" s="107">
        <f>AN42-AU42</f>
        <v>-46208</v>
      </c>
      <c r="AP42" s="48"/>
      <c r="AQ42" s="111"/>
      <c r="AR42" s="70" t="str">
        <f>IFERROR(WORKDAY.INTL(AN42,AQ42,11),"")</f>
        <v/>
      </c>
      <c r="AS42" s="107" t="e">
        <f>AR42-AU42</f>
        <v>#VALUE!</v>
      </c>
      <c r="AT42" s="48"/>
      <c r="AU42" s="113">
        <f t="shared" si="44"/>
        <v>46207</v>
      </c>
      <c r="AV42" s="119" t="str" cm="1">
        <f t="array" ref="AV42">INDEX($E$8:$Z$8, MATCH(TRUE, (F42:AA42="")+(F42:AA42&gt;$C$6)&gt;0, 0))</f>
        <v>1. Tender Docs &amp; BOQ</v>
      </c>
      <c r="AW42" s="116" t="b">
        <f>IF(AND(G42&gt;0,G42&lt;$C$6),TRUE,FALSE)</f>
        <v>0</v>
      </c>
      <c r="AX42" s="71" t="b">
        <f>IF(AND(I42&gt;0,I42&lt;$C$6),TRUE,FALSE)</f>
        <v>0</v>
      </c>
      <c r="AY42" s="71" t="b">
        <f>IF(AND(K42&gt;0,K42&lt;$C$6),TRUE,FALSE)</f>
        <v>0</v>
      </c>
      <c r="AZ42" s="71" t="b">
        <f>IF(AND(M42&gt;0,M42&lt;$C$6),TRUE,FALSE)</f>
        <v>0</v>
      </c>
      <c r="BA42" s="71" t="b">
        <f>IF(AND(O42&gt;0,O42&lt;$C$6),TRUE,FALSE)</f>
        <v>0</v>
      </c>
      <c r="BB42" s="71" t="b">
        <f>IF(AND(Q42&gt;0,Q42&lt;$C$6),TRUE,FALSE)</f>
        <v>0</v>
      </c>
      <c r="BC42" s="71" t="b">
        <f>IF(AND(S42&gt;0,S42&lt;$C$6),TRUE,FALSE)</f>
        <v>0</v>
      </c>
      <c r="BD42" s="71" t="b">
        <f>IF(AND(U42&gt;0,U42&lt;$C$6),TRUE,FALSE)</f>
        <v>0</v>
      </c>
      <c r="BE42" s="71" t="b">
        <f>IF(AND(W42&gt;0,W42&lt;$C$6),TRUE,FALSE)</f>
        <v>0</v>
      </c>
      <c r="BF42" s="71" t="b">
        <f>IF(AND(Y42&gt;0,Y42&lt;$C$6),TRUE,FALSE)</f>
        <v>0</v>
      </c>
      <c r="BG42" s="89" t="b">
        <f>IF(AND(AA42&gt;0,AA42&lt;$C$6),TRUE,FALSE)</f>
        <v>0</v>
      </c>
      <c r="BH42" s="48"/>
    </row>
    <row r="43" spans="1:60" ht="26.25" x14ac:dyDescent="0.25">
      <c r="A43" s="54"/>
      <c r="B43" s="49"/>
      <c r="C43" s="50" t="s">
        <v>163</v>
      </c>
      <c r="D43" s="51"/>
      <c r="E43" s="51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1"/>
      <c r="AC43" s="51"/>
      <c r="AD43" s="132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88"/>
      <c r="BH43" s="48"/>
    </row>
    <row r="44" spans="1:60" ht="26.25" x14ac:dyDescent="0.25">
      <c r="A44" s="56" cm="1">
        <f t="array" ref="A44">SUMPRODUCT(($AV$10:$AV$55&lt;&gt;"")*(ROW($AV$10:$AV$55)&lt;=ROW()))</f>
        <v>28</v>
      </c>
      <c r="B44" s="59"/>
      <c r="C44" s="60"/>
      <c r="D44" s="59"/>
      <c r="E44" s="43"/>
      <c r="F44" s="44">
        <f t="shared" ref="F44:F55" si="45">H44-$H$7</f>
        <v>-96</v>
      </c>
      <c r="G44" s="45"/>
      <c r="H44" s="44">
        <f t="shared" ref="H44:H55" si="46">J44-$J$7</f>
        <v>-89</v>
      </c>
      <c r="I44" s="45"/>
      <c r="J44" s="44">
        <f t="shared" ref="J44:J55" si="47">L44-$L$7</f>
        <v>-83</v>
      </c>
      <c r="K44" s="45"/>
      <c r="L44" s="44">
        <f t="shared" ref="L44:L55" si="48">N44-$N$7</f>
        <v>-80</v>
      </c>
      <c r="M44" s="45"/>
      <c r="N44" s="44">
        <f t="shared" ref="N44:N55" si="49">P44-$P$7</f>
        <v>-50</v>
      </c>
      <c r="O44" s="45"/>
      <c r="P44" s="44">
        <f t="shared" ref="P44:P55" si="50">R44-$R$7</f>
        <v>-40</v>
      </c>
      <c r="Q44" s="45"/>
      <c r="R44" s="44">
        <f t="shared" ref="R44:R55" si="51">T44-$T$7</f>
        <v>-20</v>
      </c>
      <c r="S44" s="45"/>
      <c r="T44" s="44">
        <f t="shared" ref="T44:T55" si="52">V44-$V$7</f>
        <v>-13</v>
      </c>
      <c r="U44" s="45"/>
      <c r="V44" s="44">
        <f t="shared" ref="V44:V55" si="53">X44-$X$7</f>
        <v>-6</v>
      </c>
      <c r="W44" s="45"/>
      <c r="X44" s="44">
        <f t="shared" ref="X44:X55" si="54">AN44</f>
        <v>-1</v>
      </c>
      <c r="Y44" s="45"/>
      <c r="Z44" s="46">
        <f t="shared" ref="Z44:Z55" si="55">X44+$Z$7</f>
        <v>9</v>
      </c>
      <c r="AA44" s="45"/>
      <c r="AB44" s="32">
        <f t="shared" ref="AB44:AB55" si="56">IF(AV44="10. Issued to Contractor","-",IF(AV44="11. Subcontract Agreement signed","-",MAX(AN44,AR44)-$C$6))</f>
        <v>-46113</v>
      </c>
      <c r="AC44" s="16"/>
      <c r="AD44" s="131">
        <f t="shared" ref="AD44:AD55" si="57">SUM($H$7:$Y$7)</f>
        <v>95</v>
      </c>
      <c r="AE44" s="16"/>
      <c r="AF44" s="96"/>
      <c r="AG44" s="72"/>
      <c r="AH44" s="72"/>
      <c r="AI44" s="72"/>
      <c r="AJ44" s="73" t="str">
        <f t="shared" ref="AJ44:AJ55" si="58">IFERROR(IF(AI44&gt;0,AH44-AI44,""),AH44)</f>
        <v/>
      </c>
      <c r="AK44" s="101"/>
      <c r="AL44" s="48"/>
      <c r="AM44" s="104"/>
      <c r="AN44" s="74">
        <f t="shared" ref="AN44:AN55" si="59">$M$3+AM44-1</f>
        <v>-1</v>
      </c>
      <c r="AO44" s="108">
        <f t="shared" ref="AO44:AO46" si="60">AN44-AU44</f>
        <v>-46208</v>
      </c>
      <c r="AP44" s="48"/>
      <c r="AQ44" s="110"/>
      <c r="AR44" s="75" t="str">
        <f t="shared" ref="AR44:AR46" si="61">IFERROR(WORKDAY.INTL(AN44,AQ44,11),"")</f>
        <v/>
      </c>
      <c r="AS44" s="108" t="e">
        <f t="shared" ref="AS44:AS46" si="62">AR44-AU44</f>
        <v>#VALUE!</v>
      </c>
      <c r="AT44" s="48"/>
      <c r="AU44" s="114">
        <f t="shared" ref="AU44:AU55" si="63">IF(Y44&gt;0,Y44,IFERROR(MAX(_xlfn.XLOOKUP($AV44,$H$8:$Z$8,$G44:$Y44),$C$6)+(AN44-_xlfn.XLOOKUP($AV44,$H$8:$Z$8,$F44:$X44))*AD44/SUM($H$7:$Y$7),$C$6+SUM(AD44)))</f>
        <v>46207</v>
      </c>
      <c r="AV44" s="120" t="str" cm="1">
        <f t="array" ref="AV44">INDEX($E$8:$Z$8, MATCH(TRUE, (F44:AA44="")+(F44:AA44&gt;$C$6)&gt;0, 0))</f>
        <v>1. Tender Docs &amp; BOQ</v>
      </c>
      <c r="AW44" s="117" t="b">
        <f t="shared" ref="AW44:AW55" si="64">IF(AND(G44&gt;0,G44&lt;$C$6),TRUE,FALSE)</f>
        <v>0</v>
      </c>
      <c r="AX44" s="76" t="b">
        <f t="shared" ref="AX44:AX55" si="65">IF(AND(I44&gt;0,I44&lt;$C$6),TRUE,FALSE)</f>
        <v>0</v>
      </c>
      <c r="AY44" s="76" t="b">
        <f t="shared" ref="AY44:AY55" si="66">IF(AND(K44&gt;0,K44&lt;$C$6),TRUE,FALSE)</f>
        <v>0</v>
      </c>
      <c r="AZ44" s="76" t="b">
        <f t="shared" ref="AZ44:AZ55" si="67">IF(AND(M44&gt;0,M44&lt;$C$6),TRUE,FALSE)</f>
        <v>0</v>
      </c>
      <c r="BA44" s="76" t="b">
        <f t="shared" ref="BA44:BA55" si="68">IF(AND(O44&gt;0,O44&lt;$C$6),TRUE,FALSE)</f>
        <v>0</v>
      </c>
      <c r="BB44" s="76" t="b">
        <f t="shared" ref="BB44:BB55" si="69">IF(AND(Q44&gt;0,Q44&lt;$C$6),TRUE,FALSE)</f>
        <v>0</v>
      </c>
      <c r="BC44" s="76" t="b">
        <f t="shared" ref="BC44:BC55" si="70">IF(AND(S44&gt;0,S44&lt;$C$6),TRUE,FALSE)</f>
        <v>0</v>
      </c>
      <c r="BD44" s="76" t="b">
        <f t="shared" ref="BD44:BD55" si="71">IF(AND(U44&gt;0,U44&lt;$C$6),TRUE,FALSE)</f>
        <v>0</v>
      </c>
      <c r="BE44" s="76" t="b">
        <f t="shared" ref="BE44:BE55" si="72">IF(AND(W44&gt;0,W44&lt;$C$6),TRUE,FALSE)</f>
        <v>0</v>
      </c>
      <c r="BF44" s="76" t="b">
        <f t="shared" ref="BF44:BF55" si="73">IF(AND(Y44&gt;0,Y44&lt;$C$6),TRUE,FALSE)</f>
        <v>0</v>
      </c>
      <c r="BG44" s="90" t="b">
        <f t="shared" ref="BG44:BG55" si="74">IF(AND(AA44&gt;0,AA44&lt;$C$6),TRUE,FALSE)</f>
        <v>0</v>
      </c>
      <c r="BH44" s="48"/>
    </row>
    <row r="45" spans="1:60" ht="26.25" x14ac:dyDescent="0.25">
      <c r="A45" s="56" cm="1">
        <f t="array" ref="A45">SUMPRODUCT(($AV$10:$AV$55&lt;&gt;"")*(ROW($AV$10:$AV$55)&lt;=ROW()))</f>
        <v>29</v>
      </c>
      <c r="B45" s="57"/>
      <c r="C45" s="58"/>
      <c r="D45" s="93"/>
      <c r="E45" s="16"/>
      <c r="F45" s="29">
        <f t="shared" si="45"/>
        <v>-96</v>
      </c>
      <c r="G45" s="42"/>
      <c r="H45" s="29">
        <f t="shared" si="46"/>
        <v>-89</v>
      </c>
      <c r="I45" s="42"/>
      <c r="J45" s="29">
        <f t="shared" si="47"/>
        <v>-83</v>
      </c>
      <c r="K45" s="42"/>
      <c r="L45" s="29">
        <f t="shared" si="48"/>
        <v>-80</v>
      </c>
      <c r="M45" s="42"/>
      <c r="N45" s="29">
        <f t="shared" si="49"/>
        <v>-50</v>
      </c>
      <c r="O45" s="42"/>
      <c r="P45" s="29">
        <f t="shared" si="50"/>
        <v>-40</v>
      </c>
      <c r="Q45" s="42"/>
      <c r="R45" s="29">
        <f t="shared" si="51"/>
        <v>-20</v>
      </c>
      <c r="S45" s="42"/>
      <c r="T45" s="29">
        <f t="shared" si="52"/>
        <v>-13</v>
      </c>
      <c r="U45" s="42"/>
      <c r="V45" s="29">
        <f t="shared" si="53"/>
        <v>-6</v>
      </c>
      <c r="W45" s="42"/>
      <c r="X45" s="29">
        <f t="shared" si="54"/>
        <v>-1</v>
      </c>
      <c r="Y45" s="42"/>
      <c r="Z45" s="30">
        <f t="shared" si="55"/>
        <v>9</v>
      </c>
      <c r="AA45" s="42"/>
      <c r="AB45" s="31">
        <f t="shared" si="56"/>
        <v>-46113</v>
      </c>
      <c r="AC45" s="16"/>
      <c r="AD45" s="131">
        <f t="shared" si="57"/>
        <v>95</v>
      </c>
      <c r="AE45" s="16"/>
      <c r="AF45" s="95"/>
      <c r="AG45" s="67"/>
      <c r="AH45" s="67"/>
      <c r="AI45" s="67"/>
      <c r="AJ45" s="68" t="str">
        <f t="shared" si="58"/>
        <v/>
      </c>
      <c r="AK45" s="102"/>
      <c r="AL45" s="48"/>
      <c r="AM45" s="105"/>
      <c r="AN45" s="69">
        <f t="shared" si="59"/>
        <v>-1</v>
      </c>
      <c r="AO45" s="107">
        <f t="shared" si="60"/>
        <v>-46208</v>
      </c>
      <c r="AP45" s="48"/>
      <c r="AQ45" s="111"/>
      <c r="AR45" s="70" t="str">
        <f t="shared" si="61"/>
        <v/>
      </c>
      <c r="AS45" s="107" t="e">
        <f t="shared" si="62"/>
        <v>#VALUE!</v>
      </c>
      <c r="AT45" s="48"/>
      <c r="AU45" s="113">
        <f t="shared" si="63"/>
        <v>46207</v>
      </c>
      <c r="AV45" s="119" t="str" cm="1">
        <f t="array" ref="AV45">INDEX($E$8:$Z$8, MATCH(TRUE, (F45:AA45="")+(F45:AA45&gt;$C$6)&gt;0, 0))</f>
        <v>1. Tender Docs &amp; BOQ</v>
      </c>
      <c r="AW45" s="116" t="b">
        <f t="shared" si="64"/>
        <v>0</v>
      </c>
      <c r="AX45" s="71" t="b">
        <f t="shared" si="65"/>
        <v>0</v>
      </c>
      <c r="AY45" s="71" t="b">
        <f t="shared" si="66"/>
        <v>0</v>
      </c>
      <c r="AZ45" s="71" t="b">
        <f t="shared" si="67"/>
        <v>0</v>
      </c>
      <c r="BA45" s="71" t="b">
        <f t="shared" si="68"/>
        <v>0</v>
      </c>
      <c r="BB45" s="71" t="b">
        <f t="shared" si="69"/>
        <v>0</v>
      </c>
      <c r="BC45" s="71" t="b">
        <f t="shared" si="70"/>
        <v>0</v>
      </c>
      <c r="BD45" s="71" t="b">
        <f t="shared" si="71"/>
        <v>0</v>
      </c>
      <c r="BE45" s="71" t="b">
        <f t="shared" si="72"/>
        <v>0</v>
      </c>
      <c r="BF45" s="71" t="b">
        <f t="shared" si="73"/>
        <v>0</v>
      </c>
      <c r="BG45" s="89" t="b">
        <f t="shared" si="74"/>
        <v>0</v>
      </c>
      <c r="BH45" s="48"/>
    </row>
    <row r="46" spans="1:60" ht="26.25" x14ac:dyDescent="0.25">
      <c r="A46" s="56" cm="1">
        <f t="array" ref="A46">SUMPRODUCT(($AV$10:$AV$55&lt;&gt;"")*(ROW($AV$10:$AV$55)&lt;=ROW()))</f>
        <v>30</v>
      </c>
      <c r="B46" s="59"/>
      <c r="C46" s="60"/>
      <c r="D46" s="59"/>
      <c r="E46" s="43"/>
      <c r="F46" s="44">
        <f t="shared" si="45"/>
        <v>-96</v>
      </c>
      <c r="G46" s="45"/>
      <c r="H46" s="44">
        <f t="shared" si="46"/>
        <v>-89</v>
      </c>
      <c r="I46" s="45"/>
      <c r="J46" s="44">
        <f t="shared" si="47"/>
        <v>-83</v>
      </c>
      <c r="K46" s="45"/>
      <c r="L46" s="44">
        <f t="shared" si="48"/>
        <v>-80</v>
      </c>
      <c r="M46" s="45"/>
      <c r="N46" s="44">
        <f t="shared" si="49"/>
        <v>-50</v>
      </c>
      <c r="O46" s="45"/>
      <c r="P46" s="44">
        <f t="shared" si="50"/>
        <v>-40</v>
      </c>
      <c r="Q46" s="45"/>
      <c r="R46" s="44">
        <f t="shared" si="51"/>
        <v>-20</v>
      </c>
      <c r="S46" s="45"/>
      <c r="T46" s="44">
        <f t="shared" si="52"/>
        <v>-13</v>
      </c>
      <c r="U46" s="45"/>
      <c r="V46" s="44">
        <f t="shared" si="53"/>
        <v>-6</v>
      </c>
      <c r="W46" s="45"/>
      <c r="X46" s="44">
        <f t="shared" si="54"/>
        <v>-1</v>
      </c>
      <c r="Y46" s="45"/>
      <c r="Z46" s="46">
        <f t="shared" si="55"/>
        <v>9</v>
      </c>
      <c r="AA46" s="45"/>
      <c r="AB46" s="32">
        <f t="shared" si="56"/>
        <v>-46113</v>
      </c>
      <c r="AC46" s="16"/>
      <c r="AD46" s="131">
        <f t="shared" si="57"/>
        <v>95</v>
      </c>
      <c r="AE46" s="16"/>
      <c r="AF46" s="96"/>
      <c r="AG46" s="72"/>
      <c r="AH46" s="72"/>
      <c r="AI46" s="72"/>
      <c r="AJ46" s="73" t="str">
        <f t="shared" si="58"/>
        <v/>
      </c>
      <c r="AK46" s="101"/>
      <c r="AL46" s="48"/>
      <c r="AM46" s="104"/>
      <c r="AN46" s="74">
        <f t="shared" si="59"/>
        <v>-1</v>
      </c>
      <c r="AO46" s="108">
        <f t="shared" si="60"/>
        <v>-46208</v>
      </c>
      <c r="AP46" s="48"/>
      <c r="AQ46" s="110"/>
      <c r="AR46" s="75" t="str">
        <f t="shared" si="61"/>
        <v/>
      </c>
      <c r="AS46" s="108" t="e">
        <f t="shared" si="62"/>
        <v>#VALUE!</v>
      </c>
      <c r="AT46" s="48"/>
      <c r="AU46" s="114">
        <f t="shared" si="63"/>
        <v>46207</v>
      </c>
      <c r="AV46" s="120" t="str" cm="1">
        <f t="array" ref="AV46">INDEX($E$8:$Z$8, MATCH(TRUE, (F46:AA46="")+(F46:AA46&gt;$C$6)&gt;0, 0))</f>
        <v>1. Tender Docs &amp; BOQ</v>
      </c>
      <c r="AW46" s="117" t="b">
        <f t="shared" si="64"/>
        <v>0</v>
      </c>
      <c r="AX46" s="76" t="b">
        <f t="shared" si="65"/>
        <v>0</v>
      </c>
      <c r="AY46" s="76" t="b">
        <f t="shared" si="66"/>
        <v>0</v>
      </c>
      <c r="AZ46" s="76" t="b">
        <f t="shared" si="67"/>
        <v>0</v>
      </c>
      <c r="BA46" s="76" t="b">
        <f t="shared" si="68"/>
        <v>0</v>
      </c>
      <c r="BB46" s="76" t="b">
        <f t="shared" si="69"/>
        <v>0</v>
      </c>
      <c r="BC46" s="76" t="b">
        <f t="shared" si="70"/>
        <v>0</v>
      </c>
      <c r="BD46" s="76" t="b">
        <f t="shared" si="71"/>
        <v>0</v>
      </c>
      <c r="BE46" s="76" t="b">
        <f t="shared" si="72"/>
        <v>0</v>
      </c>
      <c r="BF46" s="76" t="b">
        <f t="shared" si="73"/>
        <v>0</v>
      </c>
      <c r="BG46" s="90" t="b">
        <f t="shared" si="74"/>
        <v>0</v>
      </c>
      <c r="BH46" s="48"/>
    </row>
    <row r="47" spans="1:60" ht="26.25" x14ac:dyDescent="0.25">
      <c r="A47" s="56" cm="1">
        <f t="array" ref="A47">SUMPRODUCT(($AV$10:$AV$55&lt;&gt;"")*(ROW($AV$10:$AV$55)&lt;=ROW()))</f>
        <v>31</v>
      </c>
      <c r="B47" s="57"/>
      <c r="C47" s="58"/>
      <c r="D47" s="93"/>
      <c r="E47" s="16"/>
      <c r="F47" s="29">
        <f t="shared" si="45"/>
        <v>-96</v>
      </c>
      <c r="G47" s="42"/>
      <c r="H47" s="29">
        <f t="shared" si="46"/>
        <v>-89</v>
      </c>
      <c r="I47" s="42"/>
      <c r="J47" s="29">
        <f t="shared" si="47"/>
        <v>-83</v>
      </c>
      <c r="K47" s="42"/>
      <c r="L47" s="29">
        <f t="shared" si="48"/>
        <v>-80</v>
      </c>
      <c r="M47" s="42"/>
      <c r="N47" s="29">
        <f t="shared" si="49"/>
        <v>-50</v>
      </c>
      <c r="O47" s="42"/>
      <c r="P47" s="29">
        <f t="shared" si="50"/>
        <v>-40</v>
      </c>
      <c r="Q47" s="42"/>
      <c r="R47" s="29">
        <f t="shared" si="51"/>
        <v>-20</v>
      </c>
      <c r="S47" s="42"/>
      <c r="T47" s="29">
        <f t="shared" si="52"/>
        <v>-13</v>
      </c>
      <c r="U47" s="42"/>
      <c r="V47" s="29">
        <f t="shared" si="53"/>
        <v>-6</v>
      </c>
      <c r="W47" s="42"/>
      <c r="X47" s="29">
        <f t="shared" si="54"/>
        <v>-1</v>
      </c>
      <c r="Y47" s="42"/>
      <c r="Z47" s="30">
        <f t="shared" si="55"/>
        <v>9</v>
      </c>
      <c r="AA47" s="42"/>
      <c r="AB47" s="31">
        <f t="shared" si="56"/>
        <v>-46113</v>
      </c>
      <c r="AC47" s="16"/>
      <c r="AD47" s="131">
        <f t="shared" si="57"/>
        <v>95</v>
      </c>
      <c r="AE47" s="16"/>
      <c r="AF47" s="95"/>
      <c r="AG47" s="67"/>
      <c r="AH47" s="67"/>
      <c r="AI47" s="67"/>
      <c r="AJ47" s="68" t="str">
        <f t="shared" si="58"/>
        <v/>
      </c>
      <c r="AK47" s="102"/>
      <c r="AL47" s="48"/>
      <c r="AM47" s="105"/>
      <c r="AN47" s="69">
        <f t="shared" si="59"/>
        <v>-1</v>
      </c>
      <c r="AO47" s="107">
        <f>AN47-AU47</f>
        <v>-46208</v>
      </c>
      <c r="AP47" s="48"/>
      <c r="AQ47" s="111"/>
      <c r="AR47" s="70" t="str">
        <f>IFERROR(WORKDAY.INTL(AN47,AQ47,11),"")</f>
        <v/>
      </c>
      <c r="AS47" s="107" t="e">
        <f>AR47-AU47</f>
        <v>#VALUE!</v>
      </c>
      <c r="AT47" s="48"/>
      <c r="AU47" s="113">
        <f t="shared" si="63"/>
        <v>46207</v>
      </c>
      <c r="AV47" s="119" t="str" cm="1">
        <f t="array" ref="AV47">INDEX($E$8:$Z$8, MATCH(TRUE, (F47:AA47="")+(F47:AA47&gt;$C$6)&gt;0, 0))</f>
        <v>1. Tender Docs &amp; BOQ</v>
      </c>
      <c r="AW47" s="116" t="b">
        <f t="shared" si="64"/>
        <v>0</v>
      </c>
      <c r="AX47" s="71" t="b">
        <f t="shared" si="65"/>
        <v>0</v>
      </c>
      <c r="AY47" s="71" t="b">
        <f t="shared" si="66"/>
        <v>0</v>
      </c>
      <c r="AZ47" s="71" t="b">
        <f t="shared" si="67"/>
        <v>0</v>
      </c>
      <c r="BA47" s="71" t="b">
        <f t="shared" si="68"/>
        <v>0</v>
      </c>
      <c r="BB47" s="71" t="b">
        <f t="shared" si="69"/>
        <v>0</v>
      </c>
      <c r="BC47" s="71" t="b">
        <f t="shared" si="70"/>
        <v>0</v>
      </c>
      <c r="BD47" s="71" t="b">
        <f t="shared" si="71"/>
        <v>0</v>
      </c>
      <c r="BE47" s="71" t="b">
        <f t="shared" si="72"/>
        <v>0</v>
      </c>
      <c r="BF47" s="71" t="b">
        <f t="shared" si="73"/>
        <v>0</v>
      </c>
      <c r="BG47" s="89" t="b">
        <f t="shared" si="74"/>
        <v>0</v>
      </c>
      <c r="BH47" s="48"/>
    </row>
    <row r="48" spans="1:60" ht="26.25" x14ac:dyDescent="0.25">
      <c r="A48" s="56" cm="1">
        <f t="array" ref="A48">SUMPRODUCT(($AV$10:$AV$55&lt;&gt;"")*(ROW($AV$10:$AV$55)&lt;=ROW()))</f>
        <v>32</v>
      </c>
      <c r="B48" s="59"/>
      <c r="C48" s="60"/>
      <c r="D48" s="59"/>
      <c r="E48" s="43"/>
      <c r="F48" s="44">
        <f t="shared" si="45"/>
        <v>-96</v>
      </c>
      <c r="G48" s="45"/>
      <c r="H48" s="44">
        <f t="shared" si="46"/>
        <v>-89</v>
      </c>
      <c r="I48" s="45"/>
      <c r="J48" s="44">
        <f t="shared" si="47"/>
        <v>-83</v>
      </c>
      <c r="K48" s="45"/>
      <c r="L48" s="44">
        <f t="shared" si="48"/>
        <v>-80</v>
      </c>
      <c r="M48" s="45"/>
      <c r="N48" s="44">
        <f t="shared" si="49"/>
        <v>-50</v>
      </c>
      <c r="O48" s="45"/>
      <c r="P48" s="44">
        <f t="shared" si="50"/>
        <v>-40</v>
      </c>
      <c r="Q48" s="45"/>
      <c r="R48" s="44">
        <f t="shared" si="51"/>
        <v>-20</v>
      </c>
      <c r="S48" s="45"/>
      <c r="T48" s="44">
        <f t="shared" si="52"/>
        <v>-13</v>
      </c>
      <c r="U48" s="45"/>
      <c r="V48" s="44">
        <f t="shared" si="53"/>
        <v>-6</v>
      </c>
      <c r="W48" s="45"/>
      <c r="X48" s="44">
        <f t="shared" si="54"/>
        <v>-1</v>
      </c>
      <c r="Y48" s="45"/>
      <c r="Z48" s="46">
        <f t="shared" si="55"/>
        <v>9</v>
      </c>
      <c r="AA48" s="45"/>
      <c r="AB48" s="32">
        <f t="shared" si="56"/>
        <v>-46113</v>
      </c>
      <c r="AC48" s="16"/>
      <c r="AD48" s="131">
        <f t="shared" si="57"/>
        <v>95</v>
      </c>
      <c r="AE48" s="16"/>
      <c r="AF48" s="96"/>
      <c r="AG48" s="72"/>
      <c r="AH48" s="72"/>
      <c r="AI48" s="72"/>
      <c r="AJ48" s="73" t="str">
        <f t="shared" si="58"/>
        <v/>
      </c>
      <c r="AK48" s="101"/>
      <c r="AL48" s="48"/>
      <c r="AM48" s="104"/>
      <c r="AN48" s="74">
        <f t="shared" si="59"/>
        <v>-1</v>
      </c>
      <c r="AO48" s="108">
        <f t="shared" ref="AO48:AO55" si="75">AN48-AU48</f>
        <v>-46208</v>
      </c>
      <c r="AP48" s="48"/>
      <c r="AQ48" s="110"/>
      <c r="AR48" s="75" t="str">
        <f t="shared" ref="AR48:AR55" si="76">IFERROR(WORKDAY.INTL(AN48,AQ48,11),"")</f>
        <v/>
      </c>
      <c r="AS48" s="108" t="e">
        <f t="shared" ref="AS48:AS55" si="77">AR48-AU48</f>
        <v>#VALUE!</v>
      </c>
      <c r="AT48" s="48"/>
      <c r="AU48" s="114">
        <f t="shared" si="63"/>
        <v>46207</v>
      </c>
      <c r="AV48" s="120" t="str" cm="1">
        <f t="array" ref="AV48">INDEX($E$8:$Z$8, MATCH(TRUE, (F48:AA48="")+(F48:AA48&gt;$C$6)&gt;0, 0))</f>
        <v>1. Tender Docs &amp; BOQ</v>
      </c>
      <c r="AW48" s="117" t="b">
        <f t="shared" si="64"/>
        <v>0</v>
      </c>
      <c r="AX48" s="76" t="b">
        <f t="shared" si="65"/>
        <v>0</v>
      </c>
      <c r="AY48" s="76" t="b">
        <f t="shared" si="66"/>
        <v>0</v>
      </c>
      <c r="AZ48" s="76" t="b">
        <f t="shared" si="67"/>
        <v>0</v>
      </c>
      <c r="BA48" s="76" t="b">
        <f t="shared" si="68"/>
        <v>0</v>
      </c>
      <c r="BB48" s="76" t="b">
        <f t="shared" si="69"/>
        <v>0</v>
      </c>
      <c r="BC48" s="76" t="b">
        <f t="shared" si="70"/>
        <v>0</v>
      </c>
      <c r="BD48" s="76" t="b">
        <f t="shared" si="71"/>
        <v>0</v>
      </c>
      <c r="BE48" s="76" t="b">
        <f t="shared" si="72"/>
        <v>0</v>
      </c>
      <c r="BF48" s="76" t="b">
        <f t="shared" si="73"/>
        <v>0</v>
      </c>
      <c r="BG48" s="90" t="b">
        <f t="shared" si="74"/>
        <v>0</v>
      </c>
      <c r="BH48" s="48"/>
    </row>
    <row r="49" spans="1:60" ht="26.25" x14ac:dyDescent="0.25">
      <c r="A49" s="56" cm="1">
        <f t="array" ref="A49">SUMPRODUCT(($AV$10:$AV$55&lt;&gt;"")*(ROW($AV$10:$AV$55)&lt;=ROW()))</f>
        <v>33</v>
      </c>
      <c r="B49" s="57"/>
      <c r="C49" s="58"/>
      <c r="D49" s="93"/>
      <c r="E49" s="16"/>
      <c r="F49" s="29">
        <f t="shared" si="45"/>
        <v>-96</v>
      </c>
      <c r="G49" s="42"/>
      <c r="H49" s="29">
        <f t="shared" si="46"/>
        <v>-89</v>
      </c>
      <c r="I49" s="42"/>
      <c r="J49" s="29">
        <f t="shared" si="47"/>
        <v>-83</v>
      </c>
      <c r="K49" s="42"/>
      <c r="L49" s="29">
        <f t="shared" si="48"/>
        <v>-80</v>
      </c>
      <c r="M49" s="42"/>
      <c r="N49" s="29">
        <f t="shared" si="49"/>
        <v>-50</v>
      </c>
      <c r="O49" s="42"/>
      <c r="P49" s="29">
        <f t="shared" si="50"/>
        <v>-40</v>
      </c>
      <c r="Q49" s="42"/>
      <c r="R49" s="29">
        <f t="shared" si="51"/>
        <v>-20</v>
      </c>
      <c r="S49" s="42"/>
      <c r="T49" s="29">
        <f t="shared" si="52"/>
        <v>-13</v>
      </c>
      <c r="U49" s="42"/>
      <c r="V49" s="29">
        <f t="shared" si="53"/>
        <v>-6</v>
      </c>
      <c r="W49" s="42"/>
      <c r="X49" s="29">
        <f t="shared" si="54"/>
        <v>-1</v>
      </c>
      <c r="Y49" s="42"/>
      <c r="Z49" s="30">
        <f t="shared" si="55"/>
        <v>9</v>
      </c>
      <c r="AA49" s="42"/>
      <c r="AB49" s="31">
        <f t="shared" si="56"/>
        <v>-46113</v>
      </c>
      <c r="AC49" s="16"/>
      <c r="AD49" s="131">
        <f t="shared" si="57"/>
        <v>95</v>
      </c>
      <c r="AE49" s="16"/>
      <c r="AF49" s="95"/>
      <c r="AG49" s="67"/>
      <c r="AH49" s="67"/>
      <c r="AI49" s="67"/>
      <c r="AJ49" s="68" t="str">
        <f t="shared" si="58"/>
        <v/>
      </c>
      <c r="AK49" s="102"/>
      <c r="AL49" s="48"/>
      <c r="AM49" s="105"/>
      <c r="AN49" s="69">
        <f t="shared" si="59"/>
        <v>-1</v>
      </c>
      <c r="AO49" s="107">
        <f t="shared" si="75"/>
        <v>-46208</v>
      </c>
      <c r="AP49" s="48"/>
      <c r="AQ49" s="111"/>
      <c r="AR49" s="70" t="str">
        <f t="shared" si="76"/>
        <v/>
      </c>
      <c r="AS49" s="107" t="e">
        <f t="shared" si="77"/>
        <v>#VALUE!</v>
      </c>
      <c r="AT49" s="48"/>
      <c r="AU49" s="113">
        <f t="shared" si="63"/>
        <v>46207</v>
      </c>
      <c r="AV49" s="119" t="str" cm="1">
        <f t="array" ref="AV49">INDEX($E$8:$Z$8, MATCH(TRUE, (F49:AA49="")+(F49:AA49&gt;$C$6)&gt;0, 0))</f>
        <v>1. Tender Docs &amp; BOQ</v>
      </c>
      <c r="AW49" s="116" t="b">
        <f t="shared" si="64"/>
        <v>0</v>
      </c>
      <c r="AX49" s="71" t="b">
        <f t="shared" si="65"/>
        <v>0</v>
      </c>
      <c r="AY49" s="71" t="b">
        <f t="shared" si="66"/>
        <v>0</v>
      </c>
      <c r="AZ49" s="71" t="b">
        <f t="shared" si="67"/>
        <v>0</v>
      </c>
      <c r="BA49" s="71" t="b">
        <f t="shared" si="68"/>
        <v>0</v>
      </c>
      <c r="BB49" s="71" t="b">
        <f t="shared" si="69"/>
        <v>0</v>
      </c>
      <c r="BC49" s="71" t="b">
        <f t="shared" si="70"/>
        <v>0</v>
      </c>
      <c r="BD49" s="71" t="b">
        <f t="shared" si="71"/>
        <v>0</v>
      </c>
      <c r="BE49" s="71" t="b">
        <f t="shared" si="72"/>
        <v>0</v>
      </c>
      <c r="BF49" s="71" t="b">
        <f t="shared" si="73"/>
        <v>0</v>
      </c>
      <c r="BG49" s="89" t="b">
        <f t="shared" si="74"/>
        <v>0</v>
      </c>
      <c r="BH49" s="48"/>
    </row>
    <row r="50" spans="1:60" ht="26.25" x14ac:dyDescent="0.25">
      <c r="A50" s="56" cm="1">
        <f t="array" ref="A50">SUMPRODUCT(($AV$10:$AV$55&lt;&gt;"")*(ROW($AV$10:$AV$55)&lt;=ROW()))</f>
        <v>34</v>
      </c>
      <c r="B50" s="59"/>
      <c r="C50" s="60"/>
      <c r="D50" s="59"/>
      <c r="E50" s="43"/>
      <c r="F50" s="44">
        <f t="shared" si="45"/>
        <v>-96</v>
      </c>
      <c r="G50" s="45"/>
      <c r="H50" s="44">
        <f t="shared" si="46"/>
        <v>-89</v>
      </c>
      <c r="I50" s="45"/>
      <c r="J50" s="44">
        <f t="shared" si="47"/>
        <v>-83</v>
      </c>
      <c r="K50" s="45"/>
      <c r="L50" s="44">
        <f t="shared" si="48"/>
        <v>-80</v>
      </c>
      <c r="M50" s="45"/>
      <c r="N50" s="44">
        <f t="shared" si="49"/>
        <v>-50</v>
      </c>
      <c r="O50" s="45"/>
      <c r="P50" s="44">
        <f t="shared" si="50"/>
        <v>-40</v>
      </c>
      <c r="Q50" s="45"/>
      <c r="R50" s="44">
        <f t="shared" si="51"/>
        <v>-20</v>
      </c>
      <c r="S50" s="45"/>
      <c r="T50" s="44">
        <f t="shared" si="52"/>
        <v>-13</v>
      </c>
      <c r="U50" s="45"/>
      <c r="V50" s="44">
        <f t="shared" si="53"/>
        <v>-6</v>
      </c>
      <c r="W50" s="45"/>
      <c r="X50" s="44">
        <f t="shared" si="54"/>
        <v>-1</v>
      </c>
      <c r="Y50" s="45"/>
      <c r="Z50" s="46">
        <f t="shared" si="55"/>
        <v>9</v>
      </c>
      <c r="AA50" s="45"/>
      <c r="AB50" s="32">
        <f t="shared" si="56"/>
        <v>-46113</v>
      </c>
      <c r="AC50" s="16"/>
      <c r="AD50" s="131">
        <f t="shared" si="57"/>
        <v>95</v>
      </c>
      <c r="AE50" s="16"/>
      <c r="AF50" s="96"/>
      <c r="AG50" s="72"/>
      <c r="AH50" s="72"/>
      <c r="AI50" s="72"/>
      <c r="AJ50" s="73" t="str">
        <f t="shared" si="58"/>
        <v/>
      </c>
      <c r="AK50" s="101"/>
      <c r="AL50" s="48"/>
      <c r="AM50" s="104"/>
      <c r="AN50" s="74">
        <f t="shared" si="59"/>
        <v>-1</v>
      </c>
      <c r="AO50" s="108">
        <f t="shared" si="75"/>
        <v>-46208</v>
      </c>
      <c r="AP50" s="48"/>
      <c r="AQ50" s="110"/>
      <c r="AR50" s="75" t="str">
        <f t="shared" si="76"/>
        <v/>
      </c>
      <c r="AS50" s="108" t="e">
        <f t="shared" si="77"/>
        <v>#VALUE!</v>
      </c>
      <c r="AT50" s="48"/>
      <c r="AU50" s="114">
        <f t="shared" si="63"/>
        <v>46207</v>
      </c>
      <c r="AV50" s="120" t="str" cm="1">
        <f t="array" ref="AV50">INDEX($E$8:$Z$8, MATCH(TRUE, (F50:AA50="")+(F50:AA50&gt;$C$6)&gt;0, 0))</f>
        <v>1. Tender Docs &amp; BOQ</v>
      </c>
      <c r="AW50" s="117" t="b">
        <f t="shared" si="64"/>
        <v>0</v>
      </c>
      <c r="AX50" s="76" t="b">
        <f t="shared" si="65"/>
        <v>0</v>
      </c>
      <c r="AY50" s="76" t="b">
        <f t="shared" si="66"/>
        <v>0</v>
      </c>
      <c r="AZ50" s="76" t="b">
        <f t="shared" si="67"/>
        <v>0</v>
      </c>
      <c r="BA50" s="76" t="b">
        <f t="shared" si="68"/>
        <v>0</v>
      </c>
      <c r="BB50" s="76" t="b">
        <f t="shared" si="69"/>
        <v>0</v>
      </c>
      <c r="BC50" s="76" t="b">
        <f t="shared" si="70"/>
        <v>0</v>
      </c>
      <c r="BD50" s="76" t="b">
        <f t="shared" si="71"/>
        <v>0</v>
      </c>
      <c r="BE50" s="76" t="b">
        <f t="shared" si="72"/>
        <v>0</v>
      </c>
      <c r="BF50" s="76" t="b">
        <f t="shared" si="73"/>
        <v>0</v>
      </c>
      <c r="BG50" s="90" t="b">
        <f t="shared" si="74"/>
        <v>0</v>
      </c>
      <c r="BH50" s="48"/>
    </row>
    <row r="51" spans="1:60" ht="26.25" x14ac:dyDescent="0.25">
      <c r="A51" s="56" cm="1">
        <f t="array" ref="A51">SUMPRODUCT(($AV$10:$AV$55&lt;&gt;"")*(ROW($AV$10:$AV$55)&lt;=ROW()))</f>
        <v>35</v>
      </c>
      <c r="B51" s="57"/>
      <c r="C51" s="58"/>
      <c r="D51" s="93"/>
      <c r="E51" s="16"/>
      <c r="F51" s="29">
        <f t="shared" si="45"/>
        <v>-96</v>
      </c>
      <c r="G51" s="42"/>
      <c r="H51" s="29">
        <f t="shared" si="46"/>
        <v>-89</v>
      </c>
      <c r="I51" s="42"/>
      <c r="J51" s="29">
        <f t="shared" si="47"/>
        <v>-83</v>
      </c>
      <c r="K51" s="42"/>
      <c r="L51" s="29">
        <f t="shared" si="48"/>
        <v>-80</v>
      </c>
      <c r="M51" s="42"/>
      <c r="N51" s="29">
        <f t="shared" si="49"/>
        <v>-50</v>
      </c>
      <c r="O51" s="42"/>
      <c r="P51" s="29">
        <f t="shared" si="50"/>
        <v>-40</v>
      </c>
      <c r="Q51" s="42"/>
      <c r="R51" s="29">
        <f t="shared" si="51"/>
        <v>-20</v>
      </c>
      <c r="S51" s="42"/>
      <c r="T51" s="29">
        <f t="shared" si="52"/>
        <v>-13</v>
      </c>
      <c r="U51" s="42"/>
      <c r="V51" s="29">
        <f t="shared" si="53"/>
        <v>-6</v>
      </c>
      <c r="W51" s="42"/>
      <c r="X51" s="29">
        <f t="shared" si="54"/>
        <v>-1</v>
      </c>
      <c r="Y51" s="42"/>
      <c r="Z51" s="30">
        <f t="shared" si="55"/>
        <v>9</v>
      </c>
      <c r="AA51" s="42"/>
      <c r="AB51" s="31">
        <f t="shared" si="56"/>
        <v>-46113</v>
      </c>
      <c r="AC51" s="16"/>
      <c r="AD51" s="131">
        <f t="shared" si="57"/>
        <v>95</v>
      </c>
      <c r="AE51" s="16"/>
      <c r="AF51" s="97"/>
      <c r="AG51" s="67"/>
      <c r="AH51" s="67"/>
      <c r="AI51" s="67"/>
      <c r="AJ51" s="68" t="str">
        <f t="shared" si="58"/>
        <v/>
      </c>
      <c r="AK51" s="102"/>
      <c r="AL51" s="48"/>
      <c r="AM51" s="105"/>
      <c r="AN51" s="69">
        <f t="shared" si="59"/>
        <v>-1</v>
      </c>
      <c r="AO51" s="107">
        <f t="shared" si="75"/>
        <v>-46208</v>
      </c>
      <c r="AP51" s="48"/>
      <c r="AQ51" s="111"/>
      <c r="AR51" s="70" t="str">
        <f t="shared" si="76"/>
        <v/>
      </c>
      <c r="AS51" s="107" t="e">
        <f t="shared" si="77"/>
        <v>#VALUE!</v>
      </c>
      <c r="AT51" s="48"/>
      <c r="AU51" s="113">
        <f t="shared" si="63"/>
        <v>46207</v>
      </c>
      <c r="AV51" s="119" t="str" cm="1">
        <f t="array" ref="AV51">INDEX($E$8:$Z$8, MATCH(TRUE, (F51:AA51="")+(F51:AA51&gt;$C$6)&gt;0, 0))</f>
        <v>1. Tender Docs &amp; BOQ</v>
      </c>
      <c r="AW51" s="116" t="b">
        <f t="shared" si="64"/>
        <v>0</v>
      </c>
      <c r="AX51" s="71" t="b">
        <f t="shared" si="65"/>
        <v>0</v>
      </c>
      <c r="AY51" s="71" t="b">
        <f t="shared" si="66"/>
        <v>0</v>
      </c>
      <c r="AZ51" s="71" t="b">
        <f t="shared" si="67"/>
        <v>0</v>
      </c>
      <c r="BA51" s="71" t="b">
        <f t="shared" si="68"/>
        <v>0</v>
      </c>
      <c r="BB51" s="71" t="b">
        <f t="shared" si="69"/>
        <v>0</v>
      </c>
      <c r="BC51" s="71" t="b">
        <f t="shared" si="70"/>
        <v>0</v>
      </c>
      <c r="BD51" s="71" t="b">
        <f t="shared" si="71"/>
        <v>0</v>
      </c>
      <c r="BE51" s="71" t="b">
        <f t="shared" si="72"/>
        <v>0</v>
      </c>
      <c r="BF51" s="71" t="b">
        <f t="shared" si="73"/>
        <v>0</v>
      </c>
      <c r="BG51" s="89" t="b">
        <f t="shared" si="74"/>
        <v>0</v>
      </c>
      <c r="BH51" s="48"/>
    </row>
    <row r="52" spans="1:60" ht="26.25" x14ac:dyDescent="0.25">
      <c r="A52" s="56" cm="1">
        <f t="array" ref="A52">SUMPRODUCT(($AV$10:$AV$55&lt;&gt;"")*(ROW($AV$10:$AV$55)&lt;=ROW()))</f>
        <v>36</v>
      </c>
      <c r="B52" s="59"/>
      <c r="C52" s="60"/>
      <c r="D52" s="59"/>
      <c r="E52" s="43"/>
      <c r="F52" s="44">
        <f t="shared" si="45"/>
        <v>-96</v>
      </c>
      <c r="G52" s="45"/>
      <c r="H52" s="44">
        <f t="shared" si="46"/>
        <v>-89</v>
      </c>
      <c r="I52" s="45"/>
      <c r="J52" s="44">
        <f t="shared" si="47"/>
        <v>-83</v>
      </c>
      <c r="K52" s="45"/>
      <c r="L52" s="44">
        <f t="shared" si="48"/>
        <v>-80</v>
      </c>
      <c r="M52" s="45"/>
      <c r="N52" s="44">
        <f t="shared" si="49"/>
        <v>-50</v>
      </c>
      <c r="O52" s="45"/>
      <c r="P52" s="44">
        <f t="shared" si="50"/>
        <v>-40</v>
      </c>
      <c r="Q52" s="45"/>
      <c r="R52" s="44">
        <f t="shared" si="51"/>
        <v>-20</v>
      </c>
      <c r="S52" s="45"/>
      <c r="T52" s="44">
        <f t="shared" si="52"/>
        <v>-13</v>
      </c>
      <c r="U52" s="45"/>
      <c r="V52" s="44">
        <f t="shared" si="53"/>
        <v>-6</v>
      </c>
      <c r="W52" s="45"/>
      <c r="X52" s="44">
        <f t="shared" si="54"/>
        <v>-1</v>
      </c>
      <c r="Y52" s="45"/>
      <c r="Z52" s="46">
        <f t="shared" si="55"/>
        <v>9</v>
      </c>
      <c r="AA52" s="45"/>
      <c r="AB52" s="32">
        <f t="shared" si="56"/>
        <v>-46113</v>
      </c>
      <c r="AC52" s="16"/>
      <c r="AD52" s="131">
        <f t="shared" si="57"/>
        <v>95</v>
      </c>
      <c r="AE52" s="16"/>
      <c r="AF52" s="96"/>
      <c r="AG52" s="72"/>
      <c r="AH52" s="72"/>
      <c r="AI52" s="72"/>
      <c r="AJ52" s="73" t="str">
        <f t="shared" si="58"/>
        <v/>
      </c>
      <c r="AK52" s="101"/>
      <c r="AL52" s="48"/>
      <c r="AM52" s="104"/>
      <c r="AN52" s="74">
        <f t="shared" si="59"/>
        <v>-1</v>
      </c>
      <c r="AO52" s="108">
        <f t="shared" si="75"/>
        <v>-46208</v>
      </c>
      <c r="AP52" s="48"/>
      <c r="AQ52" s="110"/>
      <c r="AR52" s="75" t="str">
        <f t="shared" si="76"/>
        <v/>
      </c>
      <c r="AS52" s="108" t="e">
        <f t="shared" si="77"/>
        <v>#VALUE!</v>
      </c>
      <c r="AT52" s="48"/>
      <c r="AU52" s="114">
        <f t="shared" si="63"/>
        <v>46207</v>
      </c>
      <c r="AV52" s="120" t="str" cm="1">
        <f t="array" ref="AV52">INDEX($E$8:$Z$8, MATCH(TRUE, (F52:AA52="")+(F52:AA52&gt;$C$6)&gt;0, 0))</f>
        <v>1. Tender Docs &amp; BOQ</v>
      </c>
      <c r="AW52" s="117" t="b">
        <f t="shared" si="64"/>
        <v>0</v>
      </c>
      <c r="AX52" s="76" t="b">
        <f t="shared" si="65"/>
        <v>0</v>
      </c>
      <c r="AY52" s="76" t="b">
        <f t="shared" si="66"/>
        <v>0</v>
      </c>
      <c r="AZ52" s="76" t="b">
        <f t="shared" si="67"/>
        <v>0</v>
      </c>
      <c r="BA52" s="76" t="b">
        <f t="shared" si="68"/>
        <v>0</v>
      </c>
      <c r="BB52" s="76" t="b">
        <f t="shared" si="69"/>
        <v>0</v>
      </c>
      <c r="BC52" s="76" t="b">
        <f t="shared" si="70"/>
        <v>0</v>
      </c>
      <c r="BD52" s="76" t="b">
        <f t="shared" si="71"/>
        <v>0</v>
      </c>
      <c r="BE52" s="76" t="b">
        <f t="shared" si="72"/>
        <v>0</v>
      </c>
      <c r="BF52" s="76" t="b">
        <f t="shared" si="73"/>
        <v>0</v>
      </c>
      <c r="BG52" s="90" t="b">
        <f t="shared" si="74"/>
        <v>0</v>
      </c>
      <c r="BH52" s="48"/>
    </row>
    <row r="53" spans="1:60" ht="26.25" x14ac:dyDescent="0.25">
      <c r="A53" s="56" cm="1">
        <f t="array" ref="A53">SUMPRODUCT(($AV$10:$AV$55&lt;&gt;"")*(ROW($AV$10:$AV$55)&lt;=ROW()))</f>
        <v>37</v>
      </c>
      <c r="B53" s="57"/>
      <c r="C53" s="58"/>
      <c r="D53" s="93"/>
      <c r="E53" s="16"/>
      <c r="F53" s="29">
        <f t="shared" si="45"/>
        <v>-96</v>
      </c>
      <c r="G53" s="42"/>
      <c r="H53" s="29">
        <f t="shared" si="46"/>
        <v>-89</v>
      </c>
      <c r="I53" s="42"/>
      <c r="J53" s="29">
        <f t="shared" si="47"/>
        <v>-83</v>
      </c>
      <c r="K53" s="42"/>
      <c r="L53" s="29">
        <f t="shared" si="48"/>
        <v>-80</v>
      </c>
      <c r="M53" s="42"/>
      <c r="N53" s="29">
        <f t="shared" si="49"/>
        <v>-50</v>
      </c>
      <c r="O53" s="42"/>
      <c r="P53" s="29">
        <f t="shared" si="50"/>
        <v>-40</v>
      </c>
      <c r="Q53" s="42"/>
      <c r="R53" s="29">
        <f t="shared" si="51"/>
        <v>-20</v>
      </c>
      <c r="S53" s="42"/>
      <c r="T53" s="29">
        <f t="shared" si="52"/>
        <v>-13</v>
      </c>
      <c r="U53" s="42"/>
      <c r="V53" s="29">
        <f t="shared" si="53"/>
        <v>-6</v>
      </c>
      <c r="W53" s="42"/>
      <c r="X53" s="29">
        <f t="shared" si="54"/>
        <v>-1</v>
      </c>
      <c r="Y53" s="42"/>
      <c r="Z53" s="30">
        <f t="shared" si="55"/>
        <v>9</v>
      </c>
      <c r="AA53" s="42"/>
      <c r="AB53" s="31">
        <f t="shared" si="56"/>
        <v>-46113</v>
      </c>
      <c r="AC53" s="16"/>
      <c r="AD53" s="131">
        <f t="shared" si="57"/>
        <v>95</v>
      </c>
      <c r="AE53" s="16"/>
      <c r="AF53" s="95"/>
      <c r="AG53" s="67"/>
      <c r="AH53" s="67"/>
      <c r="AI53" s="67"/>
      <c r="AJ53" s="68" t="str">
        <f t="shared" si="58"/>
        <v/>
      </c>
      <c r="AK53" s="102"/>
      <c r="AL53" s="48"/>
      <c r="AM53" s="105"/>
      <c r="AN53" s="69">
        <f t="shared" si="59"/>
        <v>-1</v>
      </c>
      <c r="AO53" s="107">
        <f t="shared" si="75"/>
        <v>-46208</v>
      </c>
      <c r="AP53" s="48"/>
      <c r="AQ53" s="111"/>
      <c r="AR53" s="70" t="str">
        <f t="shared" si="76"/>
        <v/>
      </c>
      <c r="AS53" s="107" t="e">
        <f t="shared" si="77"/>
        <v>#VALUE!</v>
      </c>
      <c r="AT53" s="48"/>
      <c r="AU53" s="113">
        <f t="shared" si="63"/>
        <v>46207</v>
      </c>
      <c r="AV53" s="119" t="str" cm="1">
        <f t="array" ref="AV53">INDEX($E$8:$Z$8, MATCH(TRUE, (F53:AA53="")+(F53:AA53&gt;$C$6)&gt;0, 0))</f>
        <v>1. Tender Docs &amp; BOQ</v>
      </c>
      <c r="AW53" s="116" t="b">
        <f t="shared" si="64"/>
        <v>0</v>
      </c>
      <c r="AX53" s="71" t="b">
        <f t="shared" si="65"/>
        <v>0</v>
      </c>
      <c r="AY53" s="71" t="b">
        <f t="shared" si="66"/>
        <v>0</v>
      </c>
      <c r="AZ53" s="71" t="b">
        <f t="shared" si="67"/>
        <v>0</v>
      </c>
      <c r="BA53" s="71" t="b">
        <f t="shared" si="68"/>
        <v>0</v>
      </c>
      <c r="BB53" s="71" t="b">
        <f t="shared" si="69"/>
        <v>0</v>
      </c>
      <c r="BC53" s="71" t="b">
        <f t="shared" si="70"/>
        <v>0</v>
      </c>
      <c r="BD53" s="71" t="b">
        <f t="shared" si="71"/>
        <v>0</v>
      </c>
      <c r="BE53" s="71" t="b">
        <f t="shared" si="72"/>
        <v>0</v>
      </c>
      <c r="BF53" s="71" t="b">
        <f t="shared" si="73"/>
        <v>0</v>
      </c>
      <c r="BG53" s="89" t="b">
        <f t="shared" si="74"/>
        <v>0</v>
      </c>
      <c r="BH53" s="48"/>
    </row>
    <row r="54" spans="1:60" ht="26.25" x14ac:dyDescent="0.25">
      <c r="A54" s="56" cm="1">
        <f t="array" ref="A54">SUMPRODUCT(($AV$10:$AV$55&lt;&gt;"")*(ROW($AV$10:$AV$55)&lt;=ROW()))</f>
        <v>38</v>
      </c>
      <c r="B54" s="59"/>
      <c r="C54" s="60"/>
      <c r="D54" s="59"/>
      <c r="E54" s="43"/>
      <c r="F54" s="44">
        <f t="shared" si="45"/>
        <v>-96</v>
      </c>
      <c r="G54" s="45"/>
      <c r="H54" s="44">
        <f t="shared" si="46"/>
        <v>-89</v>
      </c>
      <c r="I54" s="45"/>
      <c r="J54" s="44">
        <f t="shared" si="47"/>
        <v>-83</v>
      </c>
      <c r="K54" s="45"/>
      <c r="L54" s="44">
        <f t="shared" si="48"/>
        <v>-80</v>
      </c>
      <c r="M54" s="45"/>
      <c r="N54" s="44">
        <f t="shared" si="49"/>
        <v>-50</v>
      </c>
      <c r="O54" s="45"/>
      <c r="P54" s="44">
        <f t="shared" si="50"/>
        <v>-40</v>
      </c>
      <c r="Q54" s="45"/>
      <c r="R54" s="44">
        <f t="shared" si="51"/>
        <v>-20</v>
      </c>
      <c r="S54" s="45"/>
      <c r="T54" s="44">
        <f t="shared" si="52"/>
        <v>-13</v>
      </c>
      <c r="U54" s="45"/>
      <c r="V54" s="44">
        <f t="shared" si="53"/>
        <v>-6</v>
      </c>
      <c r="W54" s="45"/>
      <c r="X54" s="44">
        <f t="shared" si="54"/>
        <v>-1</v>
      </c>
      <c r="Y54" s="45"/>
      <c r="Z54" s="46">
        <f t="shared" si="55"/>
        <v>9</v>
      </c>
      <c r="AA54" s="45"/>
      <c r="AB54" s="32">
        <f t="shared" si="56"/>
        <v>-46113</v>
      </c>
      <c r="AC54" s="16"/>
      <c r="AD54" s="131">
        <f t="shared" si="57"/>
        <v>95</v>
      </c>
      <c r="AE54" s="16"/>
      <c r="AF54" s="96"/>
      <c r="AG54" s="72"/>
      <c r="AH54" s="72"/>
      <c r="AI54" s="72"/>
      <c r="AJ54" s="73" t="str">
        <f t="shared" si="58"/>
        <v/>
      </c>
      <c r="AK54" s="101"/>
      <c r="AL54" s="48"/>
      <c r="AM54" s="104"/>
      <c r="AN54" s="74">
        <f t="shared" si="59"/>
        <v>-1</v>
      </c>
      <c r="AO54" s="108">
        <f t="shared" si="75"/>
        <v>-46208</v>
      </c>
      <c r="AP54" s="48"/>
      <c r="AQ54" s="110"/>
      <c r="AR54" s="75" t="str">
        <f t="shared" si="76"/>
        <v/>
      </c>
      <c r="AS54" s="108" t="e">
        <f t="shared" si="77"/>
        <v>#VALUE!</v>
      </c>
      <c r="AT54" s="48"/>
      <c r="AU54" s="114">
        <f t="shared" si="63"/>
        <v>46207</v>
      </c>
      <c r="AV54" s="120" t="str" cm="1">
        <f t="array" ref="AV54">INDEX($E$8:$Z$8, MATCH(TRUE, (F54:AA54="")+(F54:AA54&gt;$C$6)&gt;0, 0))</f>
        <v>1. Tender Docs &amp; BOQ</v>
      </c>
      <c r="AW54" s="117" t="b">
        <f t="shared" si="64"/>
        <v>0</v>
      </c>
      <c r="AX54" s="76" t="b">
        <f t="shared" si="65"/>
        <v>0</v>
      </c>
      <c r="AY54" s="76" t="b">
        <f t="shared" si="66"/>
        <v>0</v>
      </c>
      <c r="AZ54" s="76" t="b">
        <f t="shared" si="67"/>
        <v>0</v>
      </c>
      <c r="BA54" s="76" t="b">
        <f t="shared" si="68"/>
        <v>0</v>
      </c>
      <c r="BB54" s="76" t="b">
        <f t="shared" si="69"/>
        <v>0</v>
      </c>
      <c r="BC54" s="76" t="b">
        <f t="shared" si="70"/>
        <v>0</v>
      </c>
      <c r="BD54" s="76" t="b">
        <f t="shared" si="71"/>
        <v>0</v>
      </c>
      <c r="BE54" s="76" t="b">
        <f t="shared" si="72"/>
        <v>0</v>
      </c>
      <c r="BF54" s="76" t="b">
        <f t="shared" si="73"/>
        <v>0</v>
      </c>
      <c r="BG54" s="90" t="b">
        <f t="shared" si="74"/>
        <v>0</v>
      </c>
      <c r="BH54" s="48"/>
    </row>
    <row r="55" spans="1:60" ht="26.25" x14ac:dyDescent="0.25">
      <c r="A55" s="62" cm="1">
        <f t="array" ref="A55">SUMPRODUCT(($AV$10:$AV$55&lt;&gt;"")*(ROW($AV$10:$AV$55)&lt;=ROW()))</f>
        <v>39</v>
      </c>
      <c r="B55" s="63"/>
      <c r="C55" s="64"/>
      <c r="D55" s="94"/>
      <c r="E55" s="16"/>
      <c r="F55" s="82">
        <f t="shared" si="45"/>
        <v>-96</v>
      </c>
      <c r="G55" s="83"/>
      <c r="H55" s="82">
        <f t="shared" si="46"/>
        <v>-89</v>
      </c>
      <c r="I55" s="83"/>
      <c r="J55" s="82">
        <f t="shared" si="47"/>
        <v>-83</v>
      </c>
      <c r="K55" s="83"/>
      <c r="L55" s="82">
        <f t="shared" si="48"/>
        <v>-80</v>
      </c>
      <c r="M55" s="83"/>
      <c r="N55" s="82">
        <f t="shared" si="49"/>
        <v>-50</v>
      </c>
      <c r="O55" s="83"/>
      <c r="P55" s="82">
        <f t="shared" si="50"/>
        <v>-40</v>
      </c>
      <c r="Q55" s="83"/>
      <c r="R55" s="82">
        <f t="shared" si="51"/>
        <v>-20</v>
      </c>
      <c r="S55" s="83"/>
      <c r="T55" s="82">
        <f t="shared" si="52"/>
        <v>-13</v>
      </c>
      <c r="U55" s="83"/>
      <c r="V55" s="82">
        <f t="shared" si="53"/>
        <v>-6</v>
      </c>
      <c r="W55" s="83"/>
      <c r="X55" s="82">
        <f t="shared" si="54"/>
        <v>-1</v>
      </c>
      <c r="Y55" s="83"/>
      <c r="Z55" s="84">
        <f t="shared" si="55"/>
        <v>9</v>
      </c>
      <c r="AA55" s="83"/>
      <c r="AB55" s="85">
        <f t="shared" si="56"/>
        <v>-46113</v>
      </c>
      <c r="AC55" s="16"/>
      <c r="AD55" s="133">
        <f t="shared" si="57"/>
        <v>95</v>
      </c>
      <c r="AE55" s="16"/>
      <c r="AF55" s="98"/>
      <c r="AG55" s="77"/>
      <c r="AH55" s="77"/>
      <c r="AI55" s="77"/>
      <c r="AJ55" s="78" t="str">
        <f t="shared" si="58"/>
        <v/>
      </c>
      <c r="AK55" s="103"/>
      <c r="AL55" s="48"/>
      <c r="AM55" s="106"/>
      <c r="AN55" s="79">
        <f t="shared" si="59"/>
        <v>-1</v>
      </c>
      <c r="AO55" s="109">
        <f t="shared" si="75"/>
        <v>-46208</v>
      </c>
      <c r="AP55" s="48"/>
      <c r="AQ55" s="112"/>
      <c r="AR55" s="80" t="str">
        <f t="shared" si="76"/>
        <v/>
      </c>
      <c r="AS55" s="109" t="e">
        <f t="shared" si="77"/>
        <v>#VALUE!</v>
      </c>
      <c r="AT55" s="48"/>
      <c r="AU55" s="115">
        <f t="shared" si="63"/>
        <v>46207</v>
      </c>
      <c r="AV55" s="121" t="str" cm="1">
        <f t="array" ref="AV55">INDEX($E$8:$Z$8, MATCH(TRUE, (F55:AA55="")+(F55:AA55&gt;$C$6)&gt;0, 0))</f>
        <v>1. Tender Docs &amp; BOQ</v>
      </c>
      <c r="AW55" s="118" t="b">
        <f t="shared" si="64"/>
        <v>0</v>
      </c>
      <c r="AX55" s="81" t="b">
        <f t="shared" si="65"/>
        <v>0</v>
      </c>
      <c r="AY55" s="81" t="b">
        <f t="shared" si="66"/>
        <v>0</v>
      </c>
      <c r="AZ55" s="81" t="b">
        <f t="shared" si="67"/>
        <v>0</v>
      </c>
      <c r="BA55" s="81" t="b">
        <f t="shared" si="68"/>
        <v>0</v>
      </c>
      <c r="BB55" s="81" t="b">
        <f t="shared" si="69"/>
        <v>0</v>
      </c>
      <c r="BC55" s="81" t="b">
        <f t="shared" si="70"/>
        <v>0</v>
      </c>
      <c r="BD55" s="81" t="b">
        <f t="shared" si="71"/>
        <v>0</v>
      </c>
      <c r="BE55" s="81" t="b">
        <f t="shared" si="72"/>
        <v>0</v>
      </c>
      <c r="BF55" s="81" t="b">
        <f t="shared" si="73"/>
        <v>0</v>
      </c>
      <c r="BG55" s="91" t="b">
        <f t="shared" si="74"/>
        <v>0</v>
      </c>
      <c r="BH55" s="48"/>
    </row>
    <row r="56" spans="1:60" ht="26.25" x14ac:dyDescent="0.25">
      <c r="A56" s="8"/>
      <c r="B56" s="8"/>
      <c r="C56" s="34" t="s">
        <v>189</v>
      </c>
      <c r="D56" s="100"/>
      <c r="E56" s="16"/>
      <c r="F56" s="123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124"/>
      <c r="AC56" s="16"/>
      <c r="AD56" s="130"/>
      <c r="AE56" s="16"/>
      <c r="AF56" s="99">
        <f>SUM(AF10:AF55)</f>
        <v>0</v>
      </c>
      <c r="AG56" s="10">
        <f>SUM(AG10:AG55)</f>
        <v>0</v>
      </c>
      <c r="AH56" s="10">
        <f>SUM(AH10:AH55)</f>
        <v>0</v>
      </c>
      <c r="AI56" s="10">
        <f>SUM(AI10:AI55)</f>
        <v>0</v>
      </c>
      <c r="AJ56" s="10">
        <f>SUM(AJ10:AJ55)</f>
        <v>0</v>
      </c>
      <c r="AK56" s="9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92"/>
      <c r="BH56" s="48"/>
    </row>
  </sheetData>
  <sheetProtection formatColumns="0" formatRows="0" autoFilter="0"/>
  <mergeCells count="75">
    <mergeCell ref="AU7:AU9"/>
    <mergeCell ref="AG7:AG9"/>
    <mergeCell ref="AH7:AH9"/>
    <mergeCell ref="AI7:AI9"/>
    <mergeCell ref="AJ7:AJ9"/>
    <mergeCell ref="AK7:AK9"/>
    <mergeCell ref="AN7:AN9"/>
    <mergeCell ref="AO7:AO9"/>
    <mergeCell ref="AQ7:AQ9"/>
    <mergeCell ref="AR7:AR9"/>
    <mergeCell ref="AS7:AS9"/>
    <mergeCell ref="AM7:AM9"/>
    <mergeCell ref="BF7:BF9"/>
    <mergeCell ref="BG7:BG9"/>
    <mergeCell ref="AV7:AV9"/>
    <mergeCell ref="AW7:AW9"/>
    <mergeCell ref="AX7:AX9"/>
    <mergeCell ref="AY7:AY9"/>
    <mergeCell ref="AZ7:AZ9"/>
    <mergeCell ref="BA7:BA9"/>
    <mergeCell ref="BB7:BB9"/>
    <mergeCell ref="BC7:BC9"/>
    <mergeCell ref="BD7:BD9"/>
    <mergeCell ref="BE7:BE9"/>
    <mergeCell ref="AF7:AF9"/>
    <mergeCell ref="V8:W8"/>
    <mergeCell ref="X8:Y8"/>
    <mergeCell ref="Z8:AA8"/>
    <mergeCell ref="T7:U7"/>
    <mergeCell ref="V7:W7"/>
    <mergeCell ref="X7:Y7"/>
    <mergeCell ref="Z7:AA7"/>
    <mergeCell ref="AB7:AB9"/>
    <mergeCell ref="AD7:AD9"/>
    <mergeCell ref="A7:A9"/>
    <mergeCell ref="B7:B9"/>
    <mergeCell ref="C7:C9"/>
    <mergeCell ref="D7:D9"/>
    <mergeCell ref="F7:G7"/>
    <mergeCell ref="H7:I7"/>
    <mergeCell ref="F8:G8"/>
    <mergeCell ref="H8:I8"/>
    <mergeCell ref="J7:K7"/>
    <mergeCell ref="L7:M7"/>
    <mergeCell ref="L8:M8"/>
    <mergeCell ref="N7:O7"/>
    <mergeCell ref="P7:Q7"/>
    <mergeCell ref="R7:S7"/>
    <mergeCell ref="T8:U8"/>
    <mergeCell ref="J8:K8"/>
    <mergeCell ref="N8:O8"/>
    <mergeCell ref="P8:Q8"/>
    <mergeCell ref="R8:S8"/>
    <mergeCell ref="H3:H4"/>
    <mergeCell ref="I3:I4"/>
    <mergeCell ref="J3:J4"/>
    <mergeCell ref="K3:K4"/>
    <mergeCell ref="L3:L4"/>
    <mergeCell ref="M3:N4"/>
    <mergeCell ref="I1:I2"/>
    <mergeCell ref="J1:J2"/>
    <mergeCell ref="K1:K2"/>
    <mergeCell ref="L1:L2"/>
    <mergeCell ref="M1:N2"/>
    <mergeCell ref="A3:B4"/>
    <mergeCell ref="C3:C4"/>
    <mergeCell ref="D3:D4"/>
    <mergeCell ref="F3:F4"/>
    <mergeCell ref="G3:G4"/>
    <mergeCell ref="H1:H2"/>
    <mergeCell ref="A1:B2"/>
    <mergeCell ref="C1:C2"/>
    <mergeCell ref="D1:D2"/>
    <mergeCell ref="F1:F2"/>
    <mergeCell ref="G1:G2"/>
  </mergeCells>
  <conditionalFormatting sqref="G11:G13 I11:I13 K11:K13 M11:M13 O11:O13 Q11:Q13 S11:S13 U11:U13 W11:W13 Y11:Y13 AA11:AA13 G16:G20 I16:I20 K16:K20 M16:M20 O16:O20 Q16:Q20 S16:S20 U16:U20 W16:W20 Y16:Y20 AA16:AA20 G22:G25 I22:I25 K22:K25 M22:M25 O22:O25 Q22:Q25 S22:S25 U22:U25 W22:W25 Y22:Y25 AA22:AA25 G27:G39 I27:I39 K27:K39 M27:M39 O27:O39 Q27:Q39 S27:S39 U27:U39 W27:W39 Y27:Y39 AA27:AA39 G41:G42 I41:I42 K41:K42 M41:M42 O41:O42 Q41:Q42 S41:S42 U41:U42 W41:W42 Y41:Y42 AA41:AA42 G44:G55 I44:I55 K44:K55 M44:M55 O44:O55 Q44:Q55 S44:S55 U44:U55 W44:W55 Y44:Y55 AA44:AA55">
    <cfRule type="cellIs" dxfId="10" priority="6" operator="between">
      <formula>1</formula>
      <formula>$C$6</formula>
    </cfRule>
  </conditionalFormatting>
  <conditionalFormatting sqref="AB10:AB56">
    <cfRule type="cellIs" dxfId="9" priority="10" operator="lessThan">
      <formula>0</formula>
    </cfRule>
  </conditionalFormatting>
  <conditionalFormatting sqref="AO11:AO13 AS11:AS13 AO16:AO20 AS16:AS20 AO22:AO25 AS22:AS25 AO27:AO39 AS27:AS39 AO41:AO42 AS41:AS42 AO44:AO55 AS44:AS55">
    <cfRule type="cellIs" dxfId="8" priority="11" operator="lessThan">
      <formula>0</formula>
    </cfRule>
  </conditionalFormatting>
  <conditionalFormatting sqref="AW11:BG13 BB14:BG15 AW16:BG20 BB21:BG21 AW22:BG25 BB26:BG26 AW27:BG39 BB40:BG40 AW41:BG42 BB43:BG43 AW44:BG55 AL56:BG56">
    <cfRule type="cellIs" dxfId="1" priority="7" operator="equal">
      <formula>TRUE</formula>
    </cfRule>
  </conditionalFormatting>
  <conditionalFormatting sqref="BB10:BG10">
    <cfRule type="cellIs" dxfId="0" priority="5" operator="equal">
      <formula>TRUE</formula>
    </cfRule>
  </conditionalFormatting>
  <pageMargins left="3.937007874015748E-2" right="3.937007874015748E-2" top="0.74803149606299213" bottom="0.74803149606299213" header="0.31496062992125984" footer="0.31496062992125984"/>
  <pageSetup paperSize="8" scale="3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C716B835-0DAB-4065-B21D-63EF4B7068D2}">
            <xm:f>AV11=Data!$B$12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8" stopIfTrue="1" id="{716932BF-64AB-45B7-B3B9-D56D5042F02E}">
            <xm:f>AV11=Data!$B$11</xm:f>
            <x14:dxf>
              <fill>
                <patternFill>
                  <bgColor theme="9" tint="0.79998168889431442"/>
                </patternFill>
              </fill>
            </x14:dxf>
          </x14:cfRule>
          <x14:cfRule type="expression" priority="9" id="{34BFAA71-6693-4927-BACB-8D4025753B79}">
            <xm:f>AV11=Data!$B$2</xm:f>
            <x14:dxf>
              <fill>
                <patternFill>
                  <bgColor rgb="FFFFE5E5"/>
                </patternFill>
              </fill>
            </x14:dxf>
          </x14:cfRule>
          <xm:sqref>AU11:AU57</xm:sqref>
        </x14:conditionalFormatting>
        <x14:conditionalFormatting xmlns:xm="http://schemas.microsoft.com/office/excel/2006/main">
          <x14:cfRule type="cellIs" priority="1" operator="equal" id="{C8E47118-14FC-4A2F-B152-30543E2E9F4E}">
            <xm:f>Data!$B$12</xm:f>
            <x14:dxf>
              <fill>
                <patternFill>
                  <bgColor theme="9" tint="0.59996337778862885"/>
                </patternFill>
              </fill>
            </x14:dxf>
          </x14:cfRule>
          <x14:cfRule type="cellIs" priority="2" stopIfTrue="1" operator="equal" id="{9DAE80C2-CF1F-4E62-85E0-5A2CA484E17E}">
            <xm:f>Data!$B$11</xm:f>
            <x14:dxf>
              <fill>
                <patternFill>
                  <bgColor theme="9" tint="0.79998168889431442"/>
                </patternFill>
              </fill>
            </x14:dxf>
          </x14:cfRule>
          <x14:cfRule type="cellIs" priority="3" operator="equal" id="{DDBF20A6-C24A-40AC-8450-647395153CAA}">
            <xm:f>Data!$B$2</xm:f>
            <x14:dxf>
              <fill>
                <patternFill>
                  <bgColor rgb="FFFFE5E5"/>
                </patternFill>
              </fill>
            </x14:dxf>
          </x14:cfRule>
          <xm:sqref>AV11:AV13 AV16:AV20 AV22:AV25 AV27:AV39 AV41:AV42 AV44:AV55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7D2DF0AA-5F3D-4949-97BB-AA59863BA793}">
          <x14:formula1>
            <xm:f>Data!$B$2:$B$13</xm:f>
          </x14:formula1>
          <xm:sqref>AV41:AV42 AV16:AV20 AV11:AV13 AV27:AV39 AV44:AV55 AV22:AV25</xm:sqref>
        </x14:dataValidation>
        <x14:dataValidation type="list" allowBlank="1" showInputMessage="1" showErrorMessage="1" xr:uid="{3C6EB7AA-C726-4961-A88E-2FC89D94B2C0}">
          <x14:formula1>
            <xm:f>Data!$C$2:$C$12</xm:f>
          </x14:formula1>
          <xm:sqref>D11:D13 D16:D20 D22:D25 D27:D39 D41:D42 D44:D55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Data</vt:lpstr>
      <vt:lpstr>Summary</vt:lpstr>
      <vt:lpstr>Grove 3&amp;4</vt:lpstr>
      <vt:lpstr>Nobu</vt:lpstr>
      <vt:lpstr>Grove 6&amp;7</vt:lpstr>
      <vt:lpstr>Mamsha Palm</vt:lpstr>
      <vt:lpstr>Faya (SB45)</vt:lpstr>
      <vt:lpstr>Mamsha Gardens</vt:lpstr>
      <vt:lpstr>Sama Yas</vt:lpstr>
      <vt:lpstr>Waldorf</vt:lpstr>
      <vt:lpstr>Fahid TA1-2</vt:lpstr>
      <vt:lpstr>Fahid TA3-5</vt:lpstr>
      <vt:lpstr>Fahid TA6-8</vt:lpstr>
      <vt:lpstr>Verdes</vt:lpstr>
      <vt:lpstr>Wilds</vt:lpstr>
      <vt:lpstr>Marjan</vt:lpstr>
      <vt:lpstr>Blank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Muath Sawalha</dc:creator>
  <cp:keywords/>
  <dc:description/>
  <cp:lastModifiedBy>Mohammed Ifthiqar</cp:lastModifiedBy>
  <cp:revision/>
  <dcterms:created xsi:type="dcterms:W3CDTF">2026-03-24T04:29:42Z</dcterms:created>
  <dcterms:modified xsi:type="dcterms:W3CDTF">2026-04-21T05:51:31Z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d1599d-e0ea-4a21-b8cf-083bd6eb49ee_Enabled">
    <vt:lpwstr>true</vt:lpwstr>
  </property>
  <property fmtid="{D5CDD505-2E9C-101B-9397-08002B2CF9AE}" pid="3" name="MSIP_Label_93d1599d-e0ea-4a21-b8cf-083bd6eb49ee_SetDate">
    <vt:lpwstr>2026-03-24T04:30:37Z</vt:lpwstr>
  </property>
  <property fmtid="{D5CDD505-2E9C-101B-9397-08002B2CF9AE}" pid="4" name="MSIP_Label_93d1599d-e0ea-4a21-b8cf-083bd6eb49ee_Method">
    <vt:lpwstr>Privileged</vt:lpwstr>
  </property>
  <property fmtid="{D5CDD505-2E9C-101B-9397-08002B2CF9AE}" pid="5" name="MSIP_Label_93d1599d-e0ea-4a21-b8cf-083bd6eb49ee_Name">
    <vt:lpwstr>93d1599d-e0ea-4a21-b8cf-083bd6eb49ee</vt:lpwstr>
  </property>
  <property fmtid="{D5CDD505-2E9C-101B-9397-08002B2CF9AE}" pid="6" name="MSIP_Label_93d1599d-e0ea-4a21-b8cf-083bd6eb49ee_SiteId">
    <vt:lpwstr>ab98858a-ce1a-4fea-a19b-e31ea792a488</vt:lpwstr>
  </property>
  <property fmtid="{D5CDD505-2E9C-101B-9397-08002B2CF9AE}" pid="7" name="MSIP_Label_93d1599d-e0ea-4a21-b8cf-083bd6eb49ee_ActionId">
    <vt:lpwstr>0ace08aa-ed88-4e53-922e-6743d55fd8c9</vt:lpwstr>
  </property>
  <property fmtid="{D5CDD505-2E9C-101B-9397-08002B2CF9AE}" pid="8" name="MSIP_Label_93d1599d-e0ea-4a21-b8cf-083bd6eb49ee_ContentBits">
    <vt:lpwstr>0</vt:lpwstr>
  </property>
  <property fmtid="{D5CDD505-2E9C-101B-9397-08002B2CF9AE}" pid="9" name="MSIP_Label_93d1599d-e0ea-4a21-b8cf-083bd6eb49ee_Tag">
    <vt:lpwstr>10, 0, 1, 1</vt:lpwstr>
  </property>
</Properties>
</file>