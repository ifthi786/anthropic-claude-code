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ldaruae-my.sharepoint.com/personal/aabdelkhalek_aldar_com/Documents/1- PS - Proj/MISC/ARR Traker/"/>
    </mc:Choice>
  </mc:AlternateContent>
  <xr:revisionPtr revIDLastSave="55" documentId="8_{E2222661-DE44-481D-A9E9-C3CA1BC9B133}" xr6:coauthVersionLast="47" xr6:coauthVersionMax="47" xr10:uidLastSave="{29D0D670-CA97-4F7A-A88F-74DE822F5881}"/>
  <bookViews>
    <workbookView xWindow="22932" yWindow="1104" windowWidth="30936" windowHeight="16776" tabRatio="500" firstSheet="1" activeTab="2" xr2:uid="{00000000-000D-0000-FFFF-FFFF00000000}"/>
  </bookViews>
  <sheets>
    <sheet name="Total Summary" sheetId="1" state="hidden" r:id="rId1"/>
    <sheet name="High Levela Summary" sheetId="3" r:id="rId2"/>
    <sheet name="ARR " sheetId="2" r:id="rId3"/>
  </sheets>
  <definedNames>
    <definedName name="_xlnm._FilterDatabase" localSheetId="2" hidden="1">'ARR '!$A$3:$R$177</definedName>
    <definedName name="_xlnm.Print_Area" localSheetId="2">'ARR '!$A$1:$O$179</definedName>
    <definedName name="_xlnm.Print_Area" localSheetId="0">'Total Summary'!$A$1:$H$49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3" i="2" l="1"/>
  <c r="G84" i="2" l="1"/>
  <c r="G83" i="2"/>
  <c r="W33" i="3"/>
  <c r="W34" i="3"/>
  <c r="W35" i="3"/>
  <c r="W36" i="3"/>
  <c r="W37" i="3"/>
  <c r="W38" i="3"/>
  <c r="T33" i="3"/>
  <c r="T34" i="3"/>
  <c r="T35" i="3"/>
  <c r="T36" i="3"/>
  <c r="T38" i="3"/>
  <c r="AB34" i="3"/>
  <c r="K161" i="2"/>
  <c r="K162" i="2"/>
  <c r="K163" i="2"/>
  <c r="K164" i="2"/>
  <c r="K166" i="2"/>
  <c r="K167" i="2"/>
  <c r="K168" i="2"/>
  <c r="K169" i="2"/>
  <c r="K170" i="2"/>
  <c r="K171" i="2"/>
  <c r="B175" i="2"/>
  <c r="B174" i="2"/>
  <c r="B173" i="2"/>
  <c r="B172" i="2"/>
  <c r="B171" i="2"/>
  <c r="B170" i="2"/>
  <c r="B169" i="2"/>
  <c r="B168" i="2"/>
  <c r="B167" i="2"/>
  <c r="K175" i="2"/>
  <c r="I175" i="2"/>
  <c r="K174" i="2"/>
  <c r="I174" i="2"/>
  <c r="K173" i="2"/>
  <c r="I173" i="2"/>
  <c r="K172" i="2"/>
  <c r="I172" i="2"/>
  <c r="K160" i="2"/>
  <c r="I160" i="2"/>
  <c r="B160" i="2"/>
  <c r="K159" i="2"/>
  <c r="I159" i="2"/>
  <c r="B159" i="2"/>
  <c r="K158" i="2"/>
  <c r="I158" i="2"/>
  <c r="B158" i="2"/>
  <c r="K157" i="2"/>
  <c r="I157" i="2"/>
  <c r="B157" i="2"/>
  <c r="K156" i="2"/>
  <c r="I156" i="2"/>
  <c r="B156" i="2"/>
  <c r="K155" i="2"/>
  <c r="I155" i="2"/>
  <c r="H154" i="2"/>
  <c r="G154" i="2"/>
  <c r="K153" i="2"/>
  <c r="I153" i="2"/>
  <c r="B153" i="2"/>
  <c r="K152" i="2"/>
  <c r="I152" i="2"/>
  <c r="B152" i="2"/>
  <c r="K151" i="2"/>
  <c r="I151" i="2"/>
  <c r="B151" i="2"/>
  <c r="K150" i="2"/>
  <c r="I150" i="2"/>
  <c r="B150" i="2"/>
  <c r="K149" i="2"/>
  <c r="I149" i="2"/>
  <c r="B149" i="2"/>
  <c r="K148" i="2"/>
  <c r="I148" i="2"/>
  <c r="B148" i="2"/>
  <c r="K147" i="2"/>
  <c r="I147" i="2"/>
  <c r="B147" i="2"/>
  <c r="K146" i="2"/>
  <c r="I146" i="2"/>
  <c r="B146" i="2"/>
  <c r="K145" i="2"/>
  <c r="I145" i="2"/>
  <c r="H144" i="2"/>
  <c r="G144" i="2"/>
  <c r="K143" i="2"/>
  <c r="I143" i="2"/>
  <c r="B143" i="2"/>
  <c r="K142" i="2"/>
  <c r="I142" i="2"/>
  <c r="B142" i="2"/>
  <c r="K141" i="2"/>
  <c r="I141" i="2"/>
  <c r="B141" i="2"/>
  <c r="K140" i="2"/>
  <c r="I140" i="2"/>
  <c r="B140" i="2"/>
  <c r="K139" i="2"/>
  <c r="I139" i="2"/>
  <c r="B139" i="2"/>
  <c r="K138" i="2"/>
  <c r="I138" i="2"/>
  <c r="B138" i="2"/>
  <c r="K137" i="2"/>
  <c r="I137" i="2"/>
  <c r="B137" i="2"/>
  <c r="K136" i="2"/>
  <c r="I136" i="2"/>
  <c r="B136" i="2"/>
  <c r="K135" i="2"/>
  <c r="I135" i="2"/>
  <c r="B135" i="2"/>
  <c r="K134" i="2"/>
  <c r="I134" i="2"/>
  <c r="B134" i="2"/>
  <c r="K133" i="2"/>
  <c r="I133" i="2"/>
  <c r="B133" i="2"/>
  <c r="K132" i="2"/>
  <c r="I132" i="2"/>
  <c r="H131" i="2"/>
  <c r="G131" i="2"/>
  <c r="K130" i="2"/>
  <c r="I130" i="2"/>
  <c r="B130" i="2"/>
  <c r="K129" i="2"/>
  <c r="I129" i="2"/>
  <c r="B129" i="2"/>
  <c r="K128" i="2"/>
  <c r="I128" i="2"/>
  <c r="B128" i="2"/>
  <c r="K127" i="2"/>
  <c r="I127" i="2"/>
  <c r="B127" i="2"/>
  <c r="K126" i="2"/>
  <c r="I126" i="2"/>
  <c r="B126" i="2"/>
  <c r="K125" i="2"/>
  <c r="I125" i="2"/>
  <c r="B125" i="2"/>
  <c r="K124" i="2"/>
  <c r="I124" i="2"/>
  <c r="B124" i="2"/>
  <c r="K123" i="2"/>
  <c r="I123" i="2"/>
  <c r="B123" i="2"/>
  <c r="K122" i="2"/>
  <c r="I122" i="2"/>
  <c r="H121" i="2"/>
  <c r="G121" i="2"/>
  <c r="K120" i="2"/>
  <c r="I120" i="2"/>
  <c r="B120" i="2"/>
  <c r="K119" i="2"/>
  <c r="I119" i="2"/>
  <c r="B119" i="2"/>
  <c r="K118" i="2"/>
  <c r="I118" i="2"/>
  <c r="B118" i="2"/>
  <c r="K117" i="2"/>
  <c r="I117" i="2"/>
  <c r="B117" i="2"/>
  <c r="K116" i="2"/>
  <c r="I116" i="2"/>
  <c r="B116" i="2"/>
  <c r="K115" i="2"/>
  <c r="I115" i="2"/>
  <c r="K114" i="2"/>
  <c r="I114" i="2"/>
  <c r="K113" i="2"/>
  <c r="I113" i="2"/>
  <c r="H112" i="2"/>
  <c r="G112" i="2"/>
  <c r="K111" i="2"/>
  <c r="I111" i="2"/>
  <c r="K110" i="2"/>
  <c r="I110" i="2"/>
  <c r="B110" i="2"/>
  <c r="K109" i="2"/>
  <c r="I109" i="2"/>
  <c r="B109" i="2"/>
  <c r="K108" i="2"/>
  <c r="I108" i="2"/>
  <c r="B108" i="2"/>
  <c r="K107" i="2"/>
  <c r="I107" i="2"/>
  <c r="B107" i="2"/>
  <c r="K106" i="2"/>
  <c r="I106" i="2"/>
  <c r="B106" i="2"/>
  <c r="K105" i="2"/>
  <c r="I105" i="2"/>
  <c r="B105" i="2"/>
  <c r="K104" i="2"/>
  <c r="I104" i="2"/>
  <c r="B104" i="2"/>
  <c r="K103" i="2"/>
  <c r="I103" i="2"/>
  <c r="B103" i="2"/>
  <c r="K102" i="2"/>
  <c r="I102" i="2"/>
  <c r="B102" i="2"/>
  <c r="K101" i="2"/>
  <c r="I101" i="2"/>
  <c r="H100" i="2"/>
  <c r="G100" i="2"/>
  <c r="K99" i="2"/>
  <c r="I99" i="2"/>
  <c r="B99" i="2"/>
  <c r="K98" i="2"/>
  <c r="I98" i="2"/>
  <c r="B98" i="2"/>
  <c r="K97" i="2"/>
  <c r="I97" i="2"/>
  <c r="B97" i="2"/>
  <c r="K96" i="2"/>
  <c r="I96" i="2"/>
  <c r="B96" i="2"/>
  <c r="K95" i="2"/>
  <c r="I95" i="2"/>
  <c r="B95" i="2"/>
  <c r="K94" i="2"/>
  <c r="I94" i="2"/>
  <c r="B94" i="2"/>
  <c r="K93" i="2"/>
  <c r="I93" i="2"/>
  <c r="K92" i="2"/>
  <c r="I92" i="2"/>
  <c r="H91" i="2"/>
  <c r="G91" i="2"/>
  <c r="K90" i="2"/>
  <c r="I90" i="2"/>
  <c r="B90" i="2"/>
  <c r="K89" i="2"/>
  <c r="I89" i="2"/>
  <c r="B89" i="2"/>
  <c r="K88" i="2"/>
  <c r="I88" i="2"/>
  <c r="B88" i="2"/>
  <c r="K87" i="2"/>
  <c r="I87" i="2"/>
  <c r="B87" i="2"/>
  <c r="K86" i="2"/>
  <c r="I86" i="2"/>
  <c r="B86" i="2"/>
  <c r="K85" i="2"/>
  <c r="I85" i="2"/>
  <c r="K84" i="2"/>
  <c r="I84" i="2"/>
  <c r="K83" i="2"/>
  <c r="I83" i="2"/>
  <c r="B83" i="2"/>
  <c r="K82" i="2"/>
  <c r="I82" i="2"/>
  <c r="G82" i="2"/>
  <c r="G81" i="2" s="1"/>
  <c r="H81" i="2"/>
  <c r="K80" i="2"/>
  <c r="I80" i="2"/>
  <c r="K79" i="2"/>
  <c r="I79" i="2"/>
  <c r="B79" i="2"/>
  <c r="K78" i="2"/>
  <c r="I78" i="2"/>
  <c r="B78" i="2"/>
  <c r="K77" i="2"/>
  <c r="I77" i="2"/>
  <c r="B77" i="2"/>
  <c r="K76" i="2"/>
  <c r="I76" i="2"/>
  <c r="B76" i="2"/>
  <c r="K75" i="2"/>
  <c r="I75" i="2"/>
  <c r="B75" i="2"/>
  <c r="K74" i="2"/>
  <c r="I74" i="2"/>
  <c r="B74" i="2"/>
  <c r="K73" i="2"/>
  <c r="I73" i="2"/>
  <c r="G73" i="2"/>
  <c r="G69" i="2" s="1"/>
  <c r="K72" i="2"/>
  <c r="I72" i="2"/>
  <c r="K71" i="2"/>
  <c r="I71" i="2"/>
  <c r="I69" i="2" s="1"/>
  <c r="B71" i="2"/>
  <c r="K70" i="2"/>
  <c r="I70" i="2"/>
  <c r="H69" i="2"/>
  <c r="K68" i="2"/>
  <c r="I68" i="2"/>
  <c r="K67" i="2"/>
  <c r="I67" i="2"/>
  <c r="B67" i="2"/>
  <c r="K66" i="2"/>
  <c r="I66" i="2"/>
  <c r="B66" i="2"/>
  <c r="K65" i="2"/>
  <c r="I65" i="2"/>
  <c r="B65" i="2"/>
  <c r="K64" i="2"/>
  <c r="I64" i="2"/>
  <c r="K63" i="2"/>
  <c r="I63" i="2"/>
  <c r="K62" i="2"/>
  <c r="I62" i="2"/>
  <c r="K61" i="2"/>
  <c r="H61" i="2"/>
  <c r="K60" i="2"/>
  <c r="I60" i="2"/>
  <c r="K59" i="2"/>
  <c r="I59" i="2"/>
  <c r="K58" i="2"/>
  <c r="H58" i="2"/>
  <c r="F13" i="1" s="1"/>
  <c r="G58" i="2"/>
  <c r="E13" i="1" s="1"/>
  <c r="K57" i="2"/>
  <c r="I57" i="2"/>
  <c r="K56" i="2"/>
  <c r="I56" i="2"/>
  <c r="K55" i="2"/>
  <c r="I55" i="2"/>
  <c r="B55" i="2"/>
  <c r="K54" i="2"/>
  <c r="I54" i="2"/>
  <c r="K52" i="2"/>
  <c r="I52" i="2"/>
  <c r="K48" i="2"/>
  <c r="I48" i="2"/>
  <c r="K47" i="2"/>
  <c r="I47" i="2"/>
  <c r="I40" i="2" s="1"/>
  <c r="K46" i="2"/>
  <c r="I46" i="2"/>
  <c r="K45" i="2"/>
  <c r="I45" i="2"/>
  <c r="K44" i="2"/>
  <c r="I44" i="2"/>
  <c r="G44" i="2"/>
  <c r="K43" i="2"/>
  <c r="I43" i="2"/>
  <c r="K42" i="2"/>
  <c r="I42" i="2"/>
  <c r="B42" i="2"/>
  <c r="K41" i="2"/>
  <c r="I41" i="2"/>
  <c r="H40" i="2"/>
  <c r="G40" i="2"/>
  <c r="K39" i="2"/>
  <c r="I39" i="2"/>
  <c r="K38" i="2"/>
  <c r="I38" i="2"/>
  <c r="B38" i="2"/>
  <c r="K37" i="2"/>
  <c r="I37" i="2"/>
  <c r="B37" i="2"/>
  <c r="K36" i="2"/>
  <c r="I36" i="2"/>
  <c r="B36" i="2"/>
  <c r="K35" i="2"/>
  <c r="I35" i="2"/>
  <c r="I30" i="2" s="1"/>
  <c r="B35" i="2"/>
  <c r="K34" i="2"/>
  <c r="I34" i="2"/>
  <c r="B34" i="2"/>
  <c r="K33" i="2"/>
  <c r="I33" i="2"/>
  <c r="B33" i="2"/>
  <c r="K32" i="2"/>
  <c r="I32" i="2"/>
  <c r="B32" i="2"/>
  <c r="K31" i="2"/>
  <c r="I31" i="2"/>
  <c r="H30" i="2"/>
  <c r="G30" i="2"/>
  <c r="K29" i="2"/>
  <c r="I29" i="2"/>
  <c r="K28" i="2"/>
  <c r="I28" i="2"/>
  <c r="B28" i="2"/>
  <c r="K27" i="2"/>
  <c r="I27" i="2"/>
  <c r="B27" i="2"/>
  <c r="K26" i="2"/>
  <c r="I26" i="2"/>
  <c r="K25" i="2"/>
  <c r="I25" i="2"/>
  <c r="K24" i="2"/>
  <c r="I24" i="2"/>
  <c r="B24" i="2"/>
  <c r="K23" i="2"/>
  <c r="I23" i="2"/>
  <c r="G8" i="1" s="1"/>
  <c r="H22" i="2"/>
  <c r="G22" i="2"/>
  <c r="K21" i="2"/>
  <c r="I21" i="2"/>
  <c r="K20" i="2"/>
  <c r="I20" i="2"/>
  <c r="B20" i="2"/>
  <c r="K19" i="2"/>
  <c r="I19" i="2"/>
  <c r="B19" i="2"/>
  <c r="K18" i="2"/>
  <c r="I18" i="2"/>
  <c r="K17" i="2"/>
  <c r="I17" i="2"/>
  <c r="B17" i="2"/>
  <c r="K16" i="2"/>
  <c r="I16" i="2"/>
  <c r="G23" i="1" s="1"/>
  <c r="H15" i="2"/>
  <c r="G15" i="2"/>
  <c r="K14" i="2"/>
  <c r="I14" i="2"/>
  <c r="K13" i="2"/>
  <c r="I13" i="2"/>
  <c r="B13" i="2"/>
  <c r="K12" i="2"/>
  <c r="I12" i="2"/>
  <c r="K11" i="2"/>
  <c r="I11" i="2"/>
  <c r="K10" i="2"/>
  <c r="I10" i="2"/>
  <c r="G28" i="1" s="1"/>
  <c r="K9" i="2"/>
  <c r="I9" i="2"/>
  <c r="K8" i="2"/>
  <c r="F35" i="1" s="1"/>
  <c r="T27" i="3" s="1"/>
  <c r="I8" i="2"/>
  <c r="G22" i="1" s="1"/>
  <c r="K7" i="2"/>
  <c r="I7" i="2"/>
  <c r="B7" i="2"/>
  <c r="K6" i="2"/>
  <c r="I6" i="2"/>
  <c r="H5" i="2"/>
  <c r="G5" i="2"/>
  <c r="F28" i="1"/>
  <c r="E28" i="1"/>
  <c r="E27" i="1"/>
  <c r="G26" i="1"/>
  <c r="F26" i="1"/>
  <c r="E26" i="1"/>
  <c r="G25" i="1"/>
  <c r="F25" i="1"/>
  <c r="E25" i="1"/>
  <c r="G24" i="1"/>
  <c r="F24" i="1"/>
  <c r="E24" i="1"/>
  <c r="F23" i="1"/>
  <c r="E23" i="1"/>
  <c r="F22" i="1"/>
  <c r="E22" i="1"/>
  <c r="G21" i="1"/>
  <c r="F21" i="1"/>
  <c r="E21" i="1"/>
  <c r="G20" i="1"/>
  <c r="F20" i="1"/>
  <c r="E20" i="1"/>
  <c r="F14" i="1"/>
  <c r="F8" i="1"/>
  <c r="E8" i="1"/>
  <c r="F7" i="1"/>
  <c r="E7" i="1"/>
  <c r="F6" i="1"/>
  <c r="E6" i="1"/>
  <c r="G14" i="1" l="1"/>
  <c r="J13" i="3" s="1"/>
  <c r="I100" i="2"/>
  <c r="B84" i="2"/>
  <c r="B85" i="2" s="1"/>
  <c r="J25" i="3"/>
  <c r="J26" i="3"/>
  <c r="J27" i="3"/>
  <c r="J28" i="3"/>
  <c r="J29" i="3"/>
  <c r="J30" i="3"/>
  <c r="J32" i="3"/>
  <c r="J24" i="3"/>
  <c r="G25" i="3"/>
  <c r="G26" i="3"/>
  <c r="G27" i="3"/>
  <c r="G28" i="3"/>
  <c r="G29" i="3"/>
  <c r="G30" i="3"/>
  <c r="G32" i="3"/>
  <c r="G13" i="3"/>
  <c r="G24" i="3"/>
  <c r="D32" i="3"/>
  <c r="D31" i="3"/>
  <c r="D30" i="3"/>
  <c r="D29" i="3"/>
  <c r="D28" i="3"/>
  <c r="D27" i="3"/>
  <c r="D26" i="3"/>
  <c r="D25" i="3"/>
  <c r="D24" i="3"/>
  <c r="D34" i="3" s="1"/>
  <c r="Z13" i="3"/>
  <c r="W14" i="3"/>
  <c r="W13" i="3"/>
  <c r="W12" i="3"/>
  <c r="T14" i="3"/>
  <c r="T13" i="3"/>
  <c r="T12" i="3"/>
  <c r="G12" i="3"/>
  <c r="D12" i="3"/>
  <c r="F27" i="1"/>
  <c r="G31" i="3" s="1"/>
  <c r="G7" i="1"/>
  <c r="Z14" i="3" s="1"/>
  <c r="G53" i="2"/>
  <c r="G177" i="2" s="1"/>
  <c r="F34" i="1"/>
  <c r="T24" i="3" s="1"/>
  <c r="H53" i="2"/>
  <c r="H177" i="2" s="1"/>
  <c r="E14" i="1"/>
  <c r="I154" i="2"/>
  <c r="F38" i="1"/>
  <c r="T30" i="3" s="1"/>
  <c r="I144" i="2"/>
  <c r="I22" i="2"/>
  <c r="I15" i="2"/>
  <c r="F39" i="1"/>
  <c r="T31" i="3" s="1"/>
  <c r="F37" i="1"/>
  <c r="T29" i="3" s="1"/>
  <c r="F36" i="1"/>
  <c r="T28" i="3" s="1"/>
  <c r="F40" i="1"/>
  <c r="T32" i="3" s="1"/>
  <c r="I121" i="2"/>
  <c r="B18" i="2"/>
  <c r="B8" i="2"/>
  <c r="B9" i="2" s="1"/>
  <c r="B10" i="2" s="1"/>
  <c r="I131" i="2"/>
  <c r="F15" i="1"/>
  <c r="I112" i="2"/>
  <c r="F9" i="1"/>
  <c r="I91" i="2"/>
  <c r="E30" i="1"/>
  <c r="E9" i="1"/>
  <c r="I81" i="2"/>
  <c r="I61" i="2"/>
  <c r="B43" i="2"/>
  <c r="B44" i="2" s="1"/>
  <c r="B45" i="2" s="1"/>
  <c r="B46" i="2" s="1"/>
  <c r="B47" i="2" s="1"/>
  <c r="B48" i="2" s="1"/>
  <c r="B25" i="2"/>
  <c r="B26" i="2" s="1"/>
  <c r="I5" i="2"/>
  <c r="B72" i="2"/>
  <c r="B73" i="2" s="1"/>
  <c r="I58" i="2"/>
  <c r="B56" i="2"/>
  <c r="B57" i="2" s="1"/>
  <c r="B58" i="2" s="1"/>
  <c r="B59" i="2" s="1"/>
  <c r="B60" i="2" s="1"/>
  <c r="B61" i="2" s="1"/>
  <c r="B62" i="2" s="1"/>
  <c r="B63" i="2" s="1"/>
  <c r="B64" i="2" s="1"/>
  <c r="AC34" i="3" l="1"/>
  <c r="W16" i="3"/>
  <c r="G34" i="3"/>
  <c r="T16" i="3"/>
  <c r="F30" i="1"/>
  <c r="G16" i="3"/>
  <c r="E15" i="1"/>
  <c r="D13" i="3"/>
  <c r="D16" i="3" s="1"/>
  <c r="H26" i="1"/>
  <c r="H24" i="1"/>
  <c r="H20" i="1"/>
  <c r="H7" i="1"/>
  <c r="AC14" i="3" s="1"/>
  <c r="F49" i="1"/>
  <c r="G6" i="1"/>
  <c r="G13" i="1"/>
  <c r="G27" i="1"/>
  <c r="I53" i="2"/>
  <c r="H23" i="1"/>
  <c r="H27" i="1"/>
  <c r="H25" i="1"/>
  <c r="H22" i="1"/>
  <c r="H8" i="1"/>
  <c r="AC13" i="3" s="1"/>
  <c r="H6" i="1"/>
  <c r="AC12" i="3" s="1"/>
  <c r="B11" i="2"/>
  <c r="B12" i="2" s="1"/>
  <c r="H28" i="1"/>
  <c r="H21" i="1"/>
  <c r="G9" i="1" l="1"/>
  <c r="Z12" i="3"/>
  <c r="Z16" i="3" s="1"/>
  <c r="G15" i="1"/>
  <c r="J12" i="3"/>
  <c r="J16" i="3" s="1"/>
  <c r="G30" i="1"/>
  <c r="J31" i="3"/>
  <c r="J34" i="3" s="1"/>
  <c r="H35" i="1"/>
  <c r="W27" i="3" s="1"/>
  <c r="H38" i="1"/>
  <c r="W30" i="3" s="1"/>
  <c r="H9" i="1"/>
  <c r="H34" i="1"/>
  <c r="W24" i="3" s="1"/>
  <c r="H40" i="1"/>
  <c r="W32" i="3" s="1"/>
  <c r="H37" i="1"/>
  <c r="W29" i="3" s="1"/>
  <c r="H39" i="1"/>
  <c r="W31" i="3" s="1"/>
  <c r="H36" i="1"/>
  <c r="W28" i="3" s="1"/>
  <c r="I177" i="2"/>
  <c r="J177" i="2" s="1"/>
  <c r="H4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Anil Dsouza</author>
  </authors>
  <commentList>
    <comment ref="G83" authorId="0" shapeId="0" xr:uid="{84791B8D-F644-4A2A-A0D3-DE0292FC9CBA}">
      <text>
        <r>
          <rPr>
            <b/>
            <sz val="9"/>
            <color indexed="81"/>
            <rFont val="Tahoma"/>
            <family val="2"/>
          </rPr>
          <t>Anil Dsouza:</t>
        </r>
        <r>
          <rPr>
            <sz val="9"/>
            <color indexed="81"/>
            <rFont val="Tahoma"/>
            <family val="2"/>
          </rPr>
          <t xml:space="preserve">
Included with All External Finishes including GRC, Tiles, Stones, Cement Board, Paint and Primary and secondary steel for GRC and stone work except plaster)</t>
        </r>
      </text>
    </comment>
    <comment ref="G114" authorId="0" shapeId="0" xr:uid="{FBE82807-39DE-4F46-ABA9-95F72EFA3E52}">
      <text>
        <r>
          <rPr>
            <b/>
            <sz val="9"/>
            <color indexed="81"/>
            <rFont val="Tahoma"/>
            <family val="2"/>
          </rPr>
          <t>Anil Dsouza:</t>
        </r>
        <r>
          <rPr>
            <sz val="9"/>
            <color indexed="81"/>
            <rFont val="Tahoma"/>
            <family val="2"/>
          </rPr>
          <t xml:space="preserve">
Tentative Amount, PS Allocation is not splitted</t>
        </r>
      </text>
    </comment>
    <comment ref="G115" authorId="0" shapeId="0" xr:uid="{1123D71A-5333-437B-A5B4-42315567A505}">
      <text>
        <r>
          <rPr>
            <b/>
            <sz val="9"/>
            <color indexed="81"/>
            <rFont val="Tahoma"/>
            <family val="2"/>
          </rPr>
          <t>Anil Dsouza:</t>
        </r>
        <r>
          <rPr>
            <sz val="9"/>
            <color indexed="81"/>
            <rFont val="Tahoma"/>
            <family val="2"/>
          </rPr>
          <t xml:space="preserve">
Tentative Amount, PS allocation has not splitted</t>
        </r>
      </text>
    </comment>
  </commentList>
</comments>
</file>

<file path=xl/sharedStrings.xml><?xml version="1.0" encoding="utf-8"?>
<sst xmlns="http://schemas.openxmlformats.org/spreadsheetml/2006/main" count="517" uniqueCount="167">
  <si>
    <t>ARR Summary</t>
  </si>
  <si>
    <t>A</t>
  </si>
  <si>
    <t xml:space="preserve">Total ARR Awarded Based on Location </t>
  </si>
  <si>
    <t>PS Budget incl OH&amp;P</t>
  </si>
  <si>
    <t>PS Awarded</t>
  </si>
  <si>
    <t>Saving</t>
  </si>
  <si>
    <t>% of Awarded</t>
  </si>
  <si>
    <t>Total For</t>
  </si>
  <si>
    <t>Abu Dhabi</t>
  </si>
  <si>
    <t xml:space="preserve">Total For </t>
  </si>
  <si>
    <t>Dubai</t>
  </si>
  <si>
    <t>RAK</t>
  </si>
  <si>
    <t>Overall total</t>
  </si>
  <si>
    <t>B</t>
  </si>
  <si>
    <t>Awarded / Ongoing</t>
  </si>
  <si>
    <t xml:space="preserve">Total for </t>
  </si>
  <si>
    <t>Awarded</t>
  </si>
  <si>
    <t>Ongoing</t>
  </si>
  <si>
    <t>C</t>
  </si>
  <si>
    <t>Total Awarded based on Staff</t>
  </si>
  <si>
    <t xml:space="preserve">No of Packages </t>
  </si>
  <si>
    <t>Total Awarded</t>
  </si>
  <si>
    <t>Total Saving</t>
  </si>
  <si>
    <t>%</t>
  </si>
  <si>
    <t xml:space="preserve">Anil </t>
  </si>
  <si>
    <t>Prabhu</t>
  </si>
  <si>
    <t>Manoj</t>
  </si>
  <si>
    <t>Iftikhar</t>
  </si>
  <si>
    <t>Alber</t>
  </si>
  <si>
    <t>Abeer</t>
  </si>
  <si>
    <t>Suhail</t>
  </si>
  <si>
    <t>Reyoon</t>
  </si>
  <si>
    <t>Frameworks Agreement</t>
  </si>
  <si>
    <t>D</t>
  </si>
  <si>
    <t>Total Awarded base on  Months</t>
  </si>
  <si>
    <t>Description</t>
  </si>
  <si>
    <t>Month</t>
  </si>
  <si>
    <t>Toral Awarded</t>
  </si>
  <si>
    <t>Total Awarded on</t>
  </si>
  <si>
    <t>Apr 2026</t>
  </si>
  <si>
    <t>May 2026</t>
  </si>
  <si>
    <t>ARR updated Status</t>
  </si>
  <si>
    <t>#</t>
  </si>
  <si>
    <t xml:space="preserve">Project name </t>
  </si>
  <si>
    <t>Package Name</t>
  </si>
  <si>
    <t xml:space="preserve">Type of works </t>
  </si>
  <si>
    <t>Subcontractor</t>
  </si>
  <si>
    <t>PS Amount Incl OH&amp;P</t>
  </si>
  <si>
    <t>Awarded Amount  Include OH&amp;P</t>
  </si>
  <si>
    <t>Saving/Loss</t>
  </si>
  <si>
    <t xml:space="preserve">Date </t>
  </si>
  <si>
    <t xml:space="preserve">PM </t>
  </si>
  <si>
    <t>Location</t>
  </si>
  <si>
    <t>Status</t>
  </si>
  <si>
    <t>Remarks</t>
  </si>
  <si>
    <t>Nobu</t>
  </si>
  <si>
    <t xml:space="preserve">Parking Accessories </t>
  </si>
  <si>
    <t>Supply &amp; Install</t>
  </si>
  <si>
    <t xml:space="preserve">Ocean Rubber Fcatory </t>
  </si>
  <si>
    <t>11% OH&amp;P</t>
  </si>
  <si>
    <t xml:space="preserve">Kitchen and Wardrobes </t>
  </si>
  <si>
    <t xml:space="preserve">Molteni ( Italy) </t>
  </si>
  <si>
    <t>Light Fittings</t>
  </si>
  <si>
    <t>Supply only</t>
  </si>
  <si>
    <t>Istanboul Group</t>
  </si>
  <si>
    <t>Sauna &amp; Steam</t>
  </si>
  <si>
    <t xml:space="preserve">Sports Line </t>
  </si>
  <si>
    <t>White Goods Package</t>
  </si>
  <si>
    <t>Miele</t>
  </si>
  <si>
    <t>Signage</t>
  </si>
  <si>
    <t>Metal Works (Parking)</t>
  </si>
  <si>
    <t>Verdes</t>
  </si>
  <si>
    <t>3% OH&amp;P</t>
  </si>
  <si>
    <t>Sanitaryware</t>
  </si>
  <si>
    <t>SARA Group
Innovo</t>
  </si>
  <si>
    <t xml:space="preserve">Tile PC rate </t>
  </si>
  <si>
    <t xml:space="preserve">Al Marjan </t>
  </si>
  <si>
    <t>GRC</t>
  </si>
  <si>
    <t>Extraco</t>
  </si>
  <si>
    <t xml:space="preserve">Joinery Works </t>
  </si>
  <si>
    <t>AL SHAYA TRADING
INNOVO SOLUTIONS</t>
  </si>
  <si>
    <t>Al Hasimya
Sarieddine</t>
  </si>
  <si>
    <t>11% OH&amp;P 
Changes in quantities &amp; design selection</t>
  </si>
  <si>
    <t>Finishes</t>
  </si>
  <si>
    <t>TBC</t>
  </si>
  <si>
    <t>Sama Yas</t>
  </si>
  <si>
    <t xml:space="preserve">Joinery works </t>
  </si>
  <si>
    <t>INNOVO SOLUTIONS</t>
  </si>
  <si>
    <t>Al Hashimya
Sanitary Material</t>
  </si>
  <si>
    <t>11% OH&amp;P
Changes in quantities &amp; design selection</t>
  </si>
  <si>
    <t>Mamsha Palm</t>
  </si>
  <si>
    <t>MEP works</t>
  </si>
  <si>
    <t>OXYPRO</t>
  </si>
  <si>
    <t>12% OH&amp;P</t>
  </si>
  <si>
    <t>BMU</t>
  </si>
  <si>
    <t>Garbage Chute</t>
  </si>
  <si>
    <t>Lift</t>
  </si>
  <si>
    <t>Landscaping</t>
  </si>
  <si>
    <t>Swimming Pool</t>
  </si>
  <si>
    <t>Grove 03 &amp; 04</t>
  </si>
  <si>
    <t>Metal Skirting</t>
  </si>
  <si>
    <t>Vertex</t>
  </si>
  <si>
    <t>Parking Accessories</t>
  </si>
  <si>
    <t>Carpets &amp; Entrance Mats </t>
  </si>
  <si>
    <t>Floor &amp; More</t>
  </si>
  <si>
    <t>Wallpaper &amp; Coverings</t>
  </si>
  <si>
    <t>NGC Middle East</t>
  </si>
  <si>
    <t>Drywall Partiton &amp; Ceilings</t>
  </si>
  <si>
    <t>Obeid Al Abdi</t>
  </si>
  <si>
    <t xml:space="preserve">White Goods </t>
  </si>
  <si>
    <t>MVP Appliances LLC</t>
  </si>
  <si>
    <t>Apartments only excluding Penthouses, BOH &amp; Public Area</t>
  </si>
  <si>
    <t>Rubber &amp; Vinyl Flooring</t>
  </si>
  <si>
    <t>Acoustic Floor underlay</t>
  </si>
  <si>
    <t>FatenCO</t>
  </si>
  <si>
    <t>Mirrors</t>
  </si>
  <si>
    <t xml:space="preserve">Al Sabi </t>
  </si>
  <si>
    <t>Loose Furniture</t>
  </si>
  <si>
    <t xml:space="preserve">Stone works (Add01) </t>
  </si>
  <si>
    <t>Valencia</t>
  </si>
  <si>
    <t>Grove 06 &amp; 07</t>
  </si>
  <si>
    <t>Alumimum and Glazing</t>
  </si>
  <si>
    <t>Fahid 01 &amp; 2</t>
  </si>
  <si>
    <t>Fahid 03 &amp; 05</t>
  </si>
  <si>
    <t>Fahid 06 &amp; 08</t>
  </si>
  <si>
    <t>SB45 &amp; 46</t>
  </si>
  <si>
    <t>The Wilds</t>
  </si>
  <si>
    <t>Mamsha Graden</t>
  </si>
  <si>
    <t>Fountain View</t>
  </si>
  <si>
    <t>Grove Plot 5, Saadiyat Island</t>
  </si>
  <si>
    <t>Saving  %</t>
  </si>
  <si>
    <t>Woldorf</t>
  </si>
  <si>
    <t xml:space="preserve">Strategic Sourcing - Provisional Sum Department </t>
  </si>
  <si>
    <t>Strategic Sourcing - Provisional Sum Department</t>
  </si>
  <si>
    <t>Awarded PS</t>
  </si>
  <si>
    <t>Savings</t>
  </si>
  <si>
    <t>% Awarded</t>
  </si>
  <si>
    <t>Location-wise split</t>
  </si>
  <si>
    <t>Overall Status</t>
  </si>
  <si>
    <t>Total</t>
  </si>
  <si>
    <t>All values are in AED</t>
  </si>
  <si>
    <t>No. of Packages</t>
  </si>
  <si>
    <t>% Savings</t>
  </si>
  <si>
    <t>Staff Performance</t>
  </si>
  <si>
    <t>Month-wise Split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</si>
  <si>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</si>
  <si>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</si>
  <si>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</si>
  <si>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</si>
  <si>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</si>
  <si>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</si>
  <si>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</si>
  <si>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</si>
  <si>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</si>
  <si>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</si>
  <si>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</si>
  <si>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</si>
  <si>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FW Pkg</t>
  </si>
  <si>
    <t>Finishes include Plaster and Screed</t>
  </si>
  <si>
    <t>Anil</t>
  </si>
  <si>
    <t>10% OH&amp;P</t>
  </si>
  <si>
    <t>Wardrobe &amp; Kitchens</t>
  </si>
  <si>
    <t>Structural Steel</t>
  </si>
  <si>
    <t xml:space="preserve">GRC </t>
  </si>
  <si>
    <t>Included Above with BMU</t>
  </si>
  <si>
    <t>Kone</t>
  </si>
  <si>
    <t>MEP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</si>
</sst>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(* #,##0_);_(* \(#,##0\);_(* \-??_);_(@_)"/>
    <numFmt numFmtId="166" formatCode="0.0%"/>
    <numFmt numFmtId="167" formatCode="_(* #,##0.0_);_(* \(#,##0.0\);_(* \-??_);_(@_)"/>
  </numFmts>
  <fonts count="38" x14ac:knownFonts="1">
    <font>
      <sz val="11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4"/>
      <color rgb="FFFFFFFF"/>
      <name val="Arial"/>
      <family val="2"/>
    </font>
    <font>
      <b/>
      <sz val="14"/>
      <color theme="1"/>
      <name val="Aptos Narrow"/>
      <family val="2"/>
      <charset val="1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1F3864"/>
      <name val="Arial"/>
      <family val="2"/>
    </font>
    <font>
      <sz val="14"/>
      <color theme="1"/>
      <name val="Aptos Narrow"/>
      <family val="2"/>
      <charset val="1"/>
    </font>
    <font>
      <sz val="14"/>
      <color theme="0" tint="-4.9989318521683403E-2"/>
      <name val="Aptos Narrow"/>
      <family val="2"/>
      <charset val="1"/>
    </font>
    <font>
      <sz val="11"/>
      <color theme="0" tint="-4.9989318521683403E-2"/>
      <name val="Aptos Narrow"/>
      <family val="2"/>
      <charset val="1"/>
    </font>
    <font>
      <b/>
      <sz val="12"/>
      <color rgb="FF0000FF"/>
      <name val="Aptos Narrow"/>
      <family val="2"/>
      <charset val="1"/>
    </font>
    <font>
      <sz val="16"/>
      <color theme="1"/>
      <name val="Aptos Narrow"/>
      <family val="2"/>
      <charset val="1"/>
    </font>
    <font>
      <sz val="16"/>
      <color theme="0" tint="-4.9989318521683403E-2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4"/>
      <color rgb="FF0000FF"/>
      <name val="Aptos Narrow"/>
      <family val="2"/>
      <charset val="1"/>
    </font>
    <font>
      <sz val="11"/>
      <color theme="1"/>
      <name val="Aptos Narrow"/>
      <family val="2"/>
      <charset val="1"/>
    </font>
    <font>
      <b/>
      <sz val="14"/>
      <color theme="1"/>
      <name val="Aptos Narrow"/>
      <family val="2"/>
    </font>
    <font>
      <sz val="11"/>
      <color theme="1"/>
      <name val="Poppins"/>
    </font>
    <font>
      <b/>
      <sz val="15"/>
      <color theme="1"/>
      <name val="Poppins"/>
    </font>
    <font>
      <b/>
      <sz val="11"/>
      <color theme="1"/>
      <name val="Poppins"/>
    </font>
    <font>
      <b/>
      <sz val="20"/>
      <color theme="0"/>
      <name val="Poppins"/>
    </font>
    <font>
      <b/>
      <sz val="11"/>
      <color theme="0"/>
      <name val="Poppins"/>
    </font>
    <font>
      <b/>
      <sz val="12"/>
      <color theme="1"/>
      <name val="Poppins"/>
    </font>
    <font>
      <i/>
      <sz val="10"/>
      <color theme="1"/>
      <name val="Poppins"/>
    </font>
    <font>
      <sz val="9"/>
      <color theme="1"/>
      <name val="Poppins"/>
    </font>
    <font>
      <b/>
      <sz val="9"/>
      <name val="Poppins"/>
    </font>
    <font>
      <b/>
      <sz val="9"/>
      <color theme="0"/>
      <name val="Poppins"/>
    </font>
    <font>
      <b/>
      <sz val="9"/>
      <color theme="1"/>
      <name val="Poppins"/>
    </font>
    <font>
      <b/>
      <sz val="9"/>
      <color rgb="FF0000FF"/>
      <name val="Poppins"/>
    </font>
    <font>
      <sz val="9"/>
      <color theme="0" tint="-4.9989318521683403E-2"/>
      <name val="Poppins"/>
    </font>
    <font>
      <sz val="9"/>
      <color theme="0" tint="-0.14999847407452621"/>
      <name val="Poppins"/>
    </font>
    <font>
      <sz val="8"/>
      <name val="Aptos Narrow"/>
      <family val="2"/>
      <charset val="1"/>
    </font>
    <font>
      <b/>
      <sz val="11"/>
      <color rgb="FF0000FF"/>
      <name val="Aptos Narrow"/>
      <family val="2"/>
    </font>
    <font>
      <sz val="11"/>
      <color rgb="FF0000FF"/>
      <name val="Poppins"/>
    </font>
    <font>
      <b/>
      <sz val="12"/>
      <color rgb="FF0000FF"/>
      <name val="Aptos Narrow"/>
      <family val="2"/>
    </font>
    <font>
      <b/>
      <sz val="11"/>
      <color rgb="FF0000FF"/>
      <name val="Poppins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DEEAF1"/>
        <bgColor rgb="FFE0E0E0"/>
      </patternFill>
    </fill>
    <fill>
      <patternFill patternType="solid">
        <fgColor rgb="FFFFFFFF"/>
        <bgColor rgb="FFFFFFE5"/>
      </patternFill>
    </fill>
    <fill>
      <patternFill patternType="solid">
        <fgColor rgb="FFE0E0E0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499984740745262"/>
        <bgColor rgb="FFFF99CC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3" tint="0.24994659260841701"/>
      </left>
      <right/>
      <top style="thin">
        <color theme="3" tint="0.24994659260841701"/>
      </top>
      <bottom style="thin">
        <color theme="3" tint="0.24994659260841701"/>
      </bottom>
      <diagonal/>
    </border>
    <border>
      <left/>
      <right/>
      <top style="thin">
        <color theme="3" tint="0.24994659260841701"/>
      </top>
      <bottom style="thin">
        <color theme="3" tint="0.24994659260841701"/>
      </bottom>
      <diagonal/>
    </border>
    <border>
      <left/>
      <right style="thin">
        <color theme="3" tint="0.24994659260841701"/>
      </right>
      <top style="thin">
        <color theme="3" tint="0.24994659260841701"/>
      </top>
      <bottom style="thin">
        <color theme="3" tint="0.24994659260841701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dashed">
        <color auto="1"/>
      </top>
      <bottom style="dotted">
        <color auto="1"/>
      </bottom>
      <diagonal/>
    </border>
  </borders>
  <cellStyleXfs count="3">
    <xf numFmtId="0" fontId="0" fillId="0" borderId="0"/>
    <xf numFmtId="164" fontId="15" fillId="0" borderId="0"/>
    <xf numFmtId="9" fontId="15" fillId="0" borderId="0"/>
  </cellStyleXfs>
  <cellXfs count="193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6" fillId="5" borderId="1" xfId="0" applyFont="1" applyFill="1" applyBorder="1" applyAlignment="1">
      <alignment horizontal="left" vertical="center"/>
    </xf>
    <xf numFmtId="3" fontId="6" fillId="5" borderId="1" xfId="1" applyNumberFormat="1" applyFont="1" applyFill="1" applyBorder="1" applyAlignment="1">
      <alignment horizontal="right" vertical="center"/>
    </xf>
    <xf numFmtId="166" fontId="6" fillId="5" borderId="1" xfId="2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top"/>
    </xf>
    <xf numFmtId="0" fontId="8" fillId="0" borderId="0" xfId="0" applyFont="1"/>
    <xf numFmtId="0" fontId="7" fillId="0" borderId="0" xfId="0" applyFont="1" applyAlignment="1">
      <alignment vertical="top" wrapText="1"/>
    </xf>
    <xf numFmtId="0" fontId="7" fillId="0" borderId="0" xfId="0" applyFont="1"/>
    <xf numFmtId="0" fontId="6" fillId="6" borderId="1" xfId="0" applyFont="1" applyFill="1" applyBorder="1" applyAlignment="1">
      <alignment horizontal="left" vertical="center"/>
    </xf>
    <xf numFmtId="3" fontId="6" fillId="6" borderId="1" xfId="1" applyNumberFormat="1" applyFont="1" applyFill="1" applyBorder="1" applyAlignment="1">
      <alignment horizontal="right" vertical="center"/>
    </xf>
    <xf numFmtId="166" fontId="6" fillId="6" borderId="1" xfId="2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3" fontId="4" fillId="2" borderId="1" xfId="1" applyNumberFormat="1" applyFont="1" applyFill="1" applyBorder="1" applyAlignment="1">
      <alignment horizontal="right" vertical="center"/>
    </xf>
    <xf numFmtId="166" fontId="4" fillId="2" borderId="1" xfId="0" applyNumberFormat="1" applyFont="1" applyFill="1" applyBorder="1" applyAlignment="1">
      <alignment horizontal="right" vertical="center"/>
    </xf>
    <xf numFmtId="0" fontId="9" fillId="0" borderId="0" xfId="0" applyFont="1"/>
    <xf numFmtId="165" fontId="10" fillId="0" borderId="0" xfId="1" applyNumberFormat="1" applyFont="1" applyAlignment="1">
      <alignment wrapText="1"/>
    </xf>
    <xf numFmtId="9" fontId="0" fillId="0" borderId="0" xfId="0" applyNumberFormat="1" applyAlignment="1">
      <alignment horizontal="center"/>
    </xf>
    <xf numFmtId="165" fontId="4" fillId="3" borderId="1" xfId="1" applyNumberFormat="1" applyFont="1" applyFill="1" applyBorder="1" applyAlignment="1">
      <alignment horizontal="left" vertical="center"/>
    </xf>
    <xf numFmtId="164" fontId="4" fillId="3" borderId="1" xfId="1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165" fontId="15" fillId="0" borderId="3" xfId="1" applyNumberFormat="1" applyBorder="1" applyAlignment="1">
      <alignment wrapText="1"/>
    </xf>
    <xf numFmtId="165" fontId="15" fillId="0" borderId="3" xfId="1" applyNumberFormat="1" applyBorder="1"/>
    <xf numFmtId="164" fontId="15" fillId="0" borderId="4" xfId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165" fontId="15" fillId="0" borderId="0" xfId="1" applyNumberFormat="1"/>
    <xf numFmtId="164" fontId="15" fillId="0" borderId="0" xfId="1"/>
    <xf numFmtId="0" fontId="9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/>
    <xf numFmtId="165" fontId="7" fillId="0" borderId="6" xfId="1" applyNumberFormat="1" applyFont="1" applyBorder="1" applyAlignment="1">
      <alignment horizontal="right" vertical="center"/>
    </xf>
    <xf numFmtId="164" fontId="7" fillId="0" borderId="7" xfId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3" fillId="0" borderId="0" xfId="0" applyFont="1" applyAlignment="1">
      <alignment horizontal="center"/>
    </xf>
    <xf numFmtId="165" fontId="15" fillId="0" borderId="0" xfId="1" applyNumberFormat="1" applyAlignment="1">
      <alignment horizontal="center" wrapText="1"/>
    </xf>
    <xf numFmtId="165" fontId="14" fillId="0" borderId="0" xfId="1" applyNumberFormat="1" applyFont="1"/>
    <xf numFmtId="164" fontId="5" fillId="4" borderId="1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17" fontId="6" fillId="5" borderId="1" xfId="0" applyNumberFormat="1" applyFont="1" applyFill="1" applyBorder="1" applyAlignment="1">
      <alignment horizontal="left" vertical="center"/>
    </xf>
    <xf numFmtId="165" fontId="6" fillId="5" borderId="1" xfId="1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top"/>
    </xf>
    <xf numFmtId="17" fontId="6" fillId="6" borderId="1" xfId="0" applyNumberFormat="1" applyFont="1" applyFill="1" applyBorder="1" applyAlignment="1">
      <alignment horizontal="left" vertical="center"/>
    </xf>
    <xf numFmtId="165" fontId="6" fillId="6" borderId="1" xfId="1" applyNumberFormat="1" applyFont="1" applyFill="1" applyBorder="1" applyAlignment="1">
      <alignment horizontal="right" vertical="center"/>
    </xf>
    <xf numFmtId="166" fontId="6" fillId="6" borderId="1" xfId="1" applyNumberFormat="1" applyFont="1" applyFill="1" applyBorder="1" applyAlignment="1">
      <alignment horizontal="right" vertical="center"/>
    </xf>
    <xf numFmtId="166" fontId="6" fillId="5" borderId="1" xfId="1" applyNumberFormat="1" applyFont="1" applyFill="1" applyBorder="1" applyAlignment="1">
      <alignment horizontal="right" vertical="center"/>
    </xf>
    <xf numFmtId="165" fontId="4" fillId="2" borderId="1" xfId="1" applyNumberFormat="1" applyFont="1" applyFill="1" applyBorder="1" applyAlignment="1">
      <alignment horizontal="right" vertical="center"/>
    </xf>
    <xf numFmtId="166" fontId="4" fillId="2" borderId="1" xfId="1" applyNumberFormat="1" applyFont="1" applyFill="1" applyBorder="1" applyAlignment="1">
      <alignment horizontal="right" vertical="center"/>
    </xf>
    <xf numFmtId="0" fontId="0" fillId="2" borderId="13" xfId="0" applyFill="1" applyBorder="1"/>
    <xf numFmtId="0" fontId="4" fillId="3" borderId="13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left" vertical="center"/>
    </xf>
    <xf numFmtId="0" fontId="6" fillId="6" borderId="13" xfId="0" applyFont="1" applyFill="1" applyBorder="1" applyAlignment="1">
      <alignment horizontal="left" vertical="center"/>
    </xf>
    <xf numFmtId="165" fontId="4" fillId="2" borderId="13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top"/>
    </xf>
    <xf numFmtId="0" fontId="4" fillId="2" borderId="13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2" fillId="10" borderId="15" xfId="0" applyFont="1" applyFill="1" applyBorder="1" applyAlignment="1">
      <alignment horizontal="center" vertical="center" wrapText="1"/>
    </xf>
    <xf numFmtId="0" fontId="22" fillId="10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64" fontId="19" fillId="10" borderId="16" xfId="1" applyFont="1" applyFill="1" applyBorder="1"/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165" fontId="24" fillId="0" borderId="0" xfId="1" applyNumberFormat="1" applyFont="1" applyAlignment="1">
      <alignment horizontal="left" vertical="center" wrapText="1"/>
    </xf>
    <xf numFmtId="165" fontId="24" fillId="0" borderId="0" xfId="1" applyNumberFormat="1" applyFont="1" applyAlignment="1">
      <alignment horizontal="left" vertical="center"/>
    </xf>
    <xf numFmtId="164" fontId="24" fillId="0" borderId="0" xfId="1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26" fillId="13" borderId="8" xfId="0" applyFont="1" applyFill="1" applyBorder="1" applyAlignment="1">
      <alignment horizontal="center" vertical="center"/>
    </xf>
    <xf numFmtId="0" fontId="26" fillId="13" borderId="9" xfId="0" applyFont="1" applyFill="1" applyBorder="1" applyAlignment="1">
      <alignment horizontal="center" vertical="center"/>
    </xf>
    <xf numFmtId="165" fontId="26" fillId="13" borderId="9" xfId="1" applyNumberFormat="1" applyFont="1" applyFill="1" applyBorder="1" applyAlignment="1">
      <alignment horizontal="center" vertical="center" wrapText="1"/>
    </xf>
    <xf numFmtId="40" fontId="26" fillId="13" borderId="9" xfId="1" applyNumberFormat="1" applyFont="1" applyFill="1" applyBorder="1" applyAlignment="1">
      <alignment horizontal="center" vertical="center"/>
    </xf>
    <xf numFmtId="0" fontId="26" fillId="13" borderId="10" xfId="0" applyFont="1" applyFill="1" applyBorder="1" applyAlignment="1">
      <alignment horizontal="center" vertical="center" wrapText="1"/>
    </xf>
    <xf numFmtId="9" fontId="24" fillId="0" borderId="0" xfId="0" applyNumberFormat="1" applyFont="1" applyAlignment="1">
      <alignment horizontal="left" vertical="center"/>
    </xf>
    <xf numFmtId="0" fontId="24" fillId="7" borderId="0" xfId="0" applyFont="1" applyFill="1" applyAlignment="1">
      <alignment horizontal="left" vertical="center"/>
    </xf>
    <xf numFmtId="164" fontId="24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165" fontId="28" fillId="7" borderId="11" xfId="1" applyNumberFormat="1" applyFont="1" applyFill="1" applyBorder="1" applyAlignment="1">
      <alignment horizontal="left" vertical="center" wrapText="1"/>
    </xf>
    <xf numFmtId="9" fontId="27" fillId="0" borderId="0" xfId="2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165" fontId="27" fillId="0" borderId="0" xfId="1" applyNumberFormat="1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30" fillId="0" borderId="12" xfId="0" applyFont="1" applyBorder="1" applyAlignment="1">
      <alignment horizontal="left" vertical="center"/>
    </xf>
    <xf numFmtId="0" fontId="30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27" fillId="7" borderId="27" xfId="0" applyFont="1" applyFill="1" applyBorder="1" applyAlignment="1">
      <alignment horizontal="center" vertical="center"/>
    </xf>
    <xf numFmtId="0" fontId="27" fillId="7" borderId="28" xfId="0" applyFont="1" applyFill="1" applyBorder="1" applyAlignment="1">
      <alignment horizontal="left" vertical="center"/>
    </xf>
    <xf numFmtId="0" fontId="24" fillId="7" borderId="28" xfId="0" applyFont="1" applyFill="1" applyBorder="1" applyAlignment="1">
      <alignment horizontal="left" vertical="center" wrapText="1"/>
    </xf>
    <xf numFmtId="165" fontId="27" fillId="7" borderId="28" xfId="1" applyNumberFormat="1" applyFont="1" applyFill="1" applyBorder="1" applyAlignment="1">
      <alignment horizontal="left" vertical="center"/>
    </xf>
    <xf numFmtId="38" fontId="27" fillId="7" borderId="28" xfId="1" applyNumberFormat="1" applyFont="1" applyFill="1" applyBorder="1" applyAlignment="1">
      <alignment horizontal="left" vertical="center"/>
    </xf>
    <xf numFmtId="15" fontId="24" fillId="7" borderId="28" xfId="0" applyNumberFormat="1" applyFont="1" applyFill="1" applyBorder="1" applyAlignment="1">
      <alignment horizontal="left" vertical="center"/>
    </xf>
    <xf numFmtId="0" fontId="24" fillId="7" borderId="28" xfId="0" applyFont="1" applyFill="1" applyBorder="1" applyAlignment="1">
      <alignment horizontal="left" vertical="center"/>
    </xf>
    <xf numFmtId="0" fontId="24" fillId="7" borderId="29" xfId="0" applyFont="1" applyFill="1" applyBorder="1" applyAlignment="1">
      <alignment horizontal="left" vertical="center" wrapText="1"/>
    </xf>
    <xf numFmtId="0" fontId="27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left" vertical="center"/>
    </xf>
    <xf numFmtId="0" fontId="24" fillId="0" borderId="28" xfId="0" applyFont="1" applyBorder="1" applyAlignment="1">
      <alignment horizontal="left" vertical="center" wrapText="1"/>
    </xf>
    <xf numFmtId="165" fontId="27" fillId="0" borderId="28" xfId="1" applyNumberFormat="1" applyFont="1" applyBorder="1" applyAlignment="1">
      <alignment horizontal="left" vertical="center" wrapText="1"/>
    </xf>
    <xf numFmtId="165" fontId="27" fillId="0" borderId="28" xfId="1" applyNumberFormat="1" applyFont="1" applyBorder="1" applyAlignment="1">
      <alignment horizontal="left" vertical="center"/>
    </xf>
    <xf numFmtId="38" fontId="27" fillId="0" borderId="28" xfId="1" applyNumberFormat="1" applyFont="1" applyBorder="1" applyAlignment="1">
      <alignment horizontal="left" vertical="center"/>
    </xf>
    <xf numFmtId="15" fontId="24" fillId="0" borderId="28" xfId="0" applyNumberFormat="1" applyFont="1" applyBorder="1" applyAlignment="1">
      <alignment horizontal="left" vertical="center"/>
    </xf>
    <xf numFmtId="0" fontId="24" fillId="0" borderId="29" xfId="0" applyFont="1" applyBorder="1" applyAlignment="1">
      <alignment horizontal="left" vertical="center" wrapText="1"/>
    </xf>
    <xf numFmtId="0" fontId="24" fillId="0" borderId="27" xfId="0" applyFont="1" applyBorder="1" applyAlignment="1">
      <alignment horizontal="center" vertical="center"/>
    </xf>
    <xf numFmtId="165" fontId="24" fillId="0" borderId="28" xfId="1" applyNumberFormat="1" applyFont="1" applyBorder="1" applyAlignment="1">
      <alignment horizontal="left" vertical="center"/>
    </xf>
    <xf numFmtId="167" fontId="24" fillId="0" borderId="28" xfId="1" applyNumberFormat="1" applyFont="1" applyBorder="1" applyAlignment="1">
      <alignment horizontal="left" vertical="center"/>
    </xf>
    <xf numFmtId="167" fontId="27" fillId="7" borderId="28" xfId="1" applyNumberFormat="1" applyFont="1" applyFill="1" applyBorder="1" applyAlignment="1">
      <alignment horizontal="left" vertical="center"/>
    </xf>
    <xf numFmtId="167" fontId="27" fillId="0" borderId="28" xfId="1" applyNumberFormat="1" applyFont="1" applyBorder="1" applyAlignment="1">
      <alignment horizontal="left" vertical="center"/>
    </xf>
    <xf numFmtId="0" fontId="27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left" vertical="center"/>
    </xf>
    <xf numFmtId="0" fontId="24" fillId="0" borderId="31" xfId="0" applyFont="1" applyBorder="1" applyAlignment="1">
      <alignment horizontal="left" vertical="center" wrapText="1"/>
    </xf>
    <xf numFmtId="165" fontId="27" fillId="0" borderId="31" xfId="1" applyNumberFormat="1" applyFont="1" applyBorder="1" applyAlignment="1">
      <alignment horizontal="left" vertical="center" wrapText="1"/>
    </xf>
    <xf numFmtId="165" fontId="27" fillId="0" borderId="31" xfId="1" applyNumberFormat="1" applyFont="1" applyBorder="1" applyAlignment="1">
      <alignment horizontal="left" vertical="center"/>
    </xf>
    <xf numFmtId="38" fontId="27" fillId="0" borderId="31" xfId="1" applyNumberFormat="1" applyFont="1" applyBorder="1" applyAlignment="1">
      <alignment horizontal="left" vertical="center"/>
    </xf>
    <xf numFmtId="0" fontId="24" fillId="0" borderId="32" xfId="0" applyFont="1" applyBorder="1" applyAlignment="1">
      <alignment horizontal="left" vertical="center" wrapText="1"/>
    </xf>
    <xf numFmtId="0" fontId="27" fillId="0" borderId="33" xfId="0" applyFont="1" applyBorder="1" applyAlignment="1">
      <alignment horizontal="center" vertical="center"/>
    </xf>
    <xf numFmtId="0" fontId="24" fillId="0" borderId="34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 wrapText="1"/>
    </xf>
    <xf numFmtId="165" fontId="24" fillId="0" borderId="34" xfId="1" applyNumberFormat="1" applyFont="1" applyBorder="1" applyAlignment="1">
      <alignment horizontal="left" vertical="center" wrapText="1"/>
    </xf>
    <xf numFmtId="165" fontId="24" fillId="0" borderId="34" xfId="1" applyNumberFormat="1" applyFont="1" applyBorder="1" applyAlignment="1">
      <alignment horizontal="left" vertical="center"/>
    </xf>
    <xf numFmtId="38" fontId="24" fillId="0" borderId="34" xfId="1" applyNumberFormat="1" applyFont="1" applyBorder="1" applyAlignment="1">
      <alignment horizontal="left" vertical="center"/>
    </xf>
    <xf numFmtId="0" fontId="24" fillId="0" borderId="35" xfId="0" applyFont="1" applyBorder="1" applyAlignment="1">
      <alignment horizontal="left" vertical="center" wrapText="1"/>
    </xf>
    <xf numFmtId="164" fontId="33" fillId="0" borderId="20" xfId="1" applyFont="1" applyBorder="1"/>
    <xf numFmtId="165" fontId="35" fillId="0" borderId="20" xfId="0" applyNumberFormat="1" applyFont="1" applyBorder="1" applyAlignment="1">
      <alignment horizontal="center" vertical="center" wrapText="1"/>
    </xf>
    <xf numFmtId="165" fontId="22" fillId="10" borderId="1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17" fillId="0" borderId="20" xfId="1" applyNumberFormat="1" applyFont="1" applyBorder="1" applyAlignment="1">
      <alignment horizontal="center"/>
    </xf>
    <xf numFmtId="164" fontId="17" fillId="0" borderId="20" xfId="1" applyFont="1" applyBorder="1"/>
    <xf numFmtId="0" fontId="17" fillId="0" borderId="20" xfId="0" applyFont="1" applyBorder="1" applyAlignment="1">
      <alignment horizontal="center" vertical="center" wrapText="1"/>
    </xf>
    <xf numFmtId="164" fontId="19" fillId="10" borderId="16" xfId="1" applyFont="1" applyFill="1" applyBorder="1"/>
    <xf numFmtId="0" fontId="22" fillId="10" borderId="15" xfId="0" applyFont="1" applyFill="1" applyBorder="1" applyAlignment="1">
      <alignment horizontal="center" vertical="center" wrapText="1"/>
    </xf>
    <xf numFmtId="0" fontId="22" fillId="10" borderId="16" xfId="0" applyFont="1" applyFill="1" applyBorder="1" applyAlignment="1">
      <alignment horizontal="center" vertical="center" wrapText="1"/>
    </xf>
    <xf numFmtId="0" fontId="22" fillId="10" borderId="17" xfId="0" applyFont="1" applyFill="1" applyBorder="1" applyAlignment="1">
      <alignment horizontal="center" vertical="center" wrapText="1"/>
    </xf>
    <xf numFmtId="10" fontId="15" fillId="0" borderId="0" xfId="2" applyNumberFormat="1"/>
    <xf numFmtId="165" fontId="35" fillId="0" borderId="21" xfId="1" applyNumberFormat="1" applyFont="1" applyBorder="1"/>
    <xf numFmtId="9" fontId="19" fillId="10" borderId="16" xfId="2" applyFont="1" applyFill="1" applyBorder="1" applyAlignment="1">
      <alignment horizontal="center" vertical="center"/>
    </xf>
    <xf numFmtId="9" fontId="19" fillId="10" borderId="17" xfId="2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 wrapText="1"/>
    </xf>
    <xf numFmtId="0" fontId="19" fillId="8" borderId="19" xfId="0" applyFont="1" applyFill="1" applyBorder="1" applyAlignment="1">
      <alignment horizontal="center" vertical="center" wrapText="1"/>
    </xf>
    <xf numFmtId="165" fontId="35" fillId="0" borderId="14" xfId="1" applyNumberFormat="1" applyFont="1" applyBorder="1"/>
    <xf numFmtId="0" fontId="21" fillId="11" borderId="23" xfId="0" applyFont="1" applyFill="1" applyBorder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 wrapText="1"/>
    </xf>
    <xf numFmtId="165" fontId="19" fillId="10" borderId="16" xfId="1" applyNumberFormat="1" applyFont="1" applyFill="1" applyBorder="1"/>
    <xf numFmtId="165" fontId="35" fillId="0" borderId="20" xfId="1" applyNumberFormat="1" applyFont="1" applyBorder="1"/>
    <xf numFmtId="164" fontId="33" fillId="0" borderId="20" xfId="1" applyFont="1" applyBorder="1"/>
    <xf numFmtId="165" fontId="34" fillId="0" borderId="36" xfId="1" applyNumberFormat="1" applyFont="1" applyBorder="1"/>
    <xf numFmtId="0" fontId="20" fillId="12" borderId="23" xfId="0" applyFont="1" applyFill="1" applyBorder="1" applyAlignment="1">
      <alignment horizontal="center" vertical="center" wrapText="1"/>
    </xf>
    <xf numFmtId="0" fontId="20" fillId="12" borderId="0" xfId="0" applyFont="1" applyFill="1" applyAlignment="1">
      <alignment horizontal="center" vertical="center" wrapText="1"/>
    </xf>
    <xf numFmtId="0" fontId="20" fillId="12" borderId="24" xfId="0" applyFont="1" applyFill="1" applyBorder="1" applyAlignment="1">
      <alignment horizontal="center" vertical="center" wrapText="1"/>
    </xf>
    <xf numFmtId="0" fontId="18" fillId="9" borderId="23" xfId="0" applyFont="1" applyFill="1" applyBorder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8" fillId="9" borderId="24" xfId="0" applyFont="1" applyFill="1" applyBorder="1" applyAlignment="1">
      <alignment horizontal="center" vertical="center" wrapText="1"/>
    </xf>
    <xf numFmtId="10" fontId="32" fillId="0" borderId="0" xfId="2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46"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  <dxf>
      <fill>
        <patternFill>
          <bgColor rgb="FFFFFFE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AE98"/>
      <rgbColor rgb="FF808080"/>
      <rgbColor rgb="FF9999FF"/>
      <rgbColor rgb="FF993366"/>
      <rgbColor rgb="FFFFFFE5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0E0E0"/>
      <rgbColor rgb="FFFFFF99"/>
      <rgbColor rgb="FF99CCFF"/>
      <rgbColor rgb="FFFF99CC"/>
      <rgbColor rgb="FFCC99FF"/>
      <rgbColor rgb="FFD9D9D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579809</xdr:colOff>
      <xdr:row>0</xdr:row>
      <xdr:rowOff>93809</xdr:rowOff>
    </xdr:from>
    <xdr:to>
      <xdr:col>30</xdr:col>
      <xdr:colOff>515925</xdr:colOff>
      <xdr:row>2</xdr:row>
      <xdr:rowOff>151026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764997-0056-A7B0-A99E-FC34F6D82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0784" y="93809"/>
          <a:ext cx="600326" cy="609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P65"/>
  <sheetViews>
    <sheetView view="pageBreakPreview" topLeftCell="A17" zoomScaleNormal="100" zoomScaleSheetLayoutView="100" zoomScalePageLayoutView="70" workbookViewId="0">
      <selection activeCell="F49" sqref="F49"/>
    </sheetView>
  </sheetViews>
  <sheetFormatPr defaultColWidth="8.54296875" defaultRowHeight="16" x14ac:dyDescent="0.4"/>
  <cols>
    <col min="1" max="1" width="4" style="1" customWidth="1"/>
    <col min="2" max="3" width="22" customWidth="1"/>
    <col min="4" max="4" width="5" customWidth="1"/>
    <col min="5" max="7" width="20" customWidth="1"/>
    <col min="8" max="8" width="14" customWidth="1"/>
    <col min="9" max="9" width="12.1796875" customWidth="1"/>
  </cols>
  <sheetData>
    <row r="1" spans="1:16" ht="18.5" x14ac:dyDescent="0.45">
      <c r="B1" s="76" t="s">
        <v>132</v>
      </c>
    </row>
    <row r="2" spans="1:16" ht="30" customHeight="1" x14ac:dyDescent="0.45">
      <c r="A2" s="2"/>
      <c r="B2" s="3" t="s">
        <v>0</v>
      </c>
      <c r="C2" s="4"/>
      <c r="D2" s="4"/>
      <c r="E2" s="4"/>
      <c r="F2" s="4"/>
      <c r="G2" s="4"/>
      <c r="H2" s="4"/>
      <c r="I2" s="68"/>
    </row>
    <row r="4" spans="1:16" ht="19.5" customHeight="1" x14ac:dyDescent="0.35">
      <c r="A4" s="5" t="s">
        <v>1</v>
      </c>
      <c r="B4" s="5" t="s">
        <v>2</v>
      </c>
      <c r="C4" s="5"/>
      <c r="D4" s="5"/>
      <c r="E4" s="5"/>
      <c r="F4" s="5"/>
      <c r="G4" s="5"/>
      <c r="H4" s="5"/>
      <c r="I4" s="69"/>
    </row>
    <row r="5" spans="1:16" s="8" customFormat="1" ht="18" customHeight="1" x14ac:dyDescent="0.35">
      <c r="A5" s="6"/>
      <c r="B5" s="6"/>
      <c r="C5" s="6"/>
      <c r="D5" s="6"/>
      <c r="E5" s="7" t="s">
        <v>3</v>
      </c>
      <c r="F5" s="7" t="s">
        <v>4</v>
      </c>
      <c r="G5" s="7" t="s">
        <v>5</v>
      </c>
      <c r="H5" s="7" t="s">
        <v>6</v>
      </c>
      <c r="I5" s="70"/>
      <c r="M5" s="9"/>
    </row>
    <row r="6" spans="1:16" s="13" customFormat="1" ht="15.75" customHeight="1" x14ac:dyDescent="0.45">
      <c r="A6" s="10"/>
      <c r="B6" s="10" t="s">
        <v>7</v>
      </c>
      <c r="C6" s="10" t="s">
        <v>8</v>
      </c>
      <c r="D6" s="10"/>
      <c r="E6" s="11">
        <f>SUMIFS('ARR '!$G$4:$G$176,'ARR '!$M$4:$M$176,$C6,'ARR '!$N$4:$N$176,$C$13)</f>
        <v>160492128.61000001</v>
      </c>
      <c r="F6" s="11">
        <f>SUMIFS('ARR '!$H$4:$H$176,'ARR '!$M$4:$M$176,$C6,'ARR '!$N$4:$N$176,$C$13)</f>
        <v>149812729.13</v>
      </c>
      <c r="G6" s="11">
        <f>SUMIFS('ARR '!$I$4:$I$176,'ARR '!$M$4:$M$176,'Total Summary'!$C6,'ARR '!$N$4:$N$176,'Total Summary'!$C$13)</f>
        <v>10679399.480000004</v>
      </c>
      <c r="H6" s="12">
        <f>F6/'ARR '!H177</f>
        <v>0.41331059405439435</v>
      </c>
      <c r="I6" s="71"/>
      <c r="L6" s="14"/>
      <c r="M6" s="15"/>
      <c r="O6" s="16"/>
      <c r="P6" s="16"/>
    </row>
    <row r="7" spans="1:16" s="16" customFormat="1" ht="15.75" customHeight="1" x14ac:dyDescent="0.45">
      <c r="A7" s="17"/>
      <c r="B7" s="17" t="s">
        <v>9</v>
      </c>
      <c r="C7" s="17" t="s">
        <v>10</v>
      </c>
      <c r="D7" s="17"/>
      <c r="E7" s="18">
        <f>SUMIFS('ARR '!$G$4:$G$176,'ARR '!$M$4:$M$176,$C7,'ARR '!$N$4:$N$176,$C$13)</f>
        <v>39004168</v>
      </c>
      <c r="F7" s="18">
        <f>SUMIFS('ARR '!$H$4:$H$176,'ARR '!$M$4:$M$176,$C7,'ARR '!$N$4:$N$176,$C$13)</f>
        <v>21936231.079999998</v>
      </c>
      <c r="G7" s="18">
        <f>SUMIFS('ARR '!$I$4:$I$176,'ARR '!$M$4:$M$176,'Total Summary'!$C7,'ARR '!$N$4:$N$176,'Total Summary'!$C$13)</f>
        <v>17067936.920000002</v>
      </c>
      <c r="H7" s="19">
        <f>F7/'ARR '!H177</f>
        <v>6.0518733966336287E-2</v>
      </c>
      <c r="I7" s="72"/>
      <c r="L7" s="14"/>
      <c r="M7" s="15"/>
      <c r="N7" s="13"/>
    </row>
    <row r="8" spans="1:16" s="16" customFormat="1" ht="15.75" customHeight="1" x14ac:dyDescent="0.45">
      <c r="A8" s="10"/>
      <c r="B8" s="10" t="s">
        <v>9</v>
      </c>
      <c r="C8" s="10" t="s">
        <v>11</v>
      </c>
      <c r="D8" s="10"/>
      <c r="E8" s="11">
        <f>SUMIFS('ARR '!$G$4:$G$176,'ARR '!$M$4:$M$176,$C8,'ARR '!$N$4:$N$176,$C$13)</f>
        <v>242800000</v>
      </c>
      <c r="F8" s="11">
        <f>SUMIFS('ARR '!$H$4:$H$176,'ARR '!$M$4:$M$176,$C8,'ARR '!$N$4:$N$176,$C$13)</f>
        <v>173583841.98000002</v>
      </c>
      <c r="G8" s="11">
        <f>SUMIFS('ARR '!$I$4:$I$176,'ARR '!$M$4:$M$176,'Total Summary'!$C8,'ARR '!$N$4:$N$176,'Total Summary'!$C$13)</f>
        <v>69216158.019999996</v>
      </c>
      <c r="H8" s="12">
        <f>F8/'ARR '!H177</f>
        <v>0.47889148848454682</v>
      </c>
      <c r="I8" s="71"/>
      <c r="L8" s="14"/>
      <c r="M8" s="15"/>
      <c r="N8" s="13"/>
    </row>
    <row r="9" spans="1:16" ht="18" customHeight="1" x14ac:dyDescent="0.35">
      <c r="A9" s="20"/>
      <c r="B9" s="21"/>
      <c r="C9" s="21" t="s">
        <v>12</v>
      </c>
      <c r="D9" s="20"/>
      <c r="E9" s="22">
        <f>SUM(E6:E8)</f>
        <v>442296296.61000001</v>
      </c>
      <c r="F9" s="22">
        <f>SUM(F6:F8)</f>
        <v>345332802.19</v>
      </c>
      <c r="G9" s="22">
        <f>SUM(G6:G8)</f>
        <v>96963494.420000002</v>
      </c>
      <c r="H9" s="23">
        <f>SUM(H6:H8)</f>
        <v>0.9527208165052774</v>
      </c>
      <c r="I9" s="73"/>
      <c r="L9" s="24"/>
      <c r="M9" s="9"/>
      <c r="N9" s="8"/>
    </row>
    <row r="10" spans="1:16" x14ac:dyDescent="0.4">
      <c r="E10" s="25"/>
      <c r="F10" s="25"/>
      <c r="G10" s="25"/>
      <c r="H10" s="26"/>
      <c r="I10" s="74"/>
      <c r="L10" s="24"/>
      <c r="M10" s="9"/>
      <c r="N10" s="8"/>
    </row>
    <row r="11" spans="1:16" s="16" customFormat="1" ht="19.5" customHeight="1" x14ac:dyDescent="0.45">
      <c r="A11" s="5" t="s">
        <v>13</v>
      </c>
      <c r="B11" s="5" t="s">
        <v>14</v>
      </c>
      <c r="C11" s="5"/>
      <c r="D11" s="5"/>
      <c r="E11" s="27"/>
      <c r="F11" s="27"/>
      <c r="G11" s="28"/>
      <c r="H11" s="5"/>
      <c r="I11" s="69"/>
      <c r="L11" s="14"/>
      <c r="M11" s="15"/>
      <c r="N11" s="13"/>
    </row>
    <row r="12" spans="1:16" ht="15.75" customHeight="1" x14ac:dyDescent="0.4">
      <c r="B12" s="29"/>
      <c r="C12" s="30"/>
      <c r="D12" s="30"/>
      <c r="E12" s="31"/>
      <c r="F12" s="32"/>
      <c r="G12" s="33"/>
      <c r="H12" s="34"/>
      <c r="I12" s="35"/>
      <c r="L12" s="24"/>
      <c r="M12" s="9"/>
      <c r="N12" s="8"/>
    </row>
    <row r="13" spans="1:16" s="16" customFormat="1" ht="15.75" customHeight="1" x14ac:dyDescent="0.45">
      <c r="A13" s="10"/>
      <c r="B13" s="10" t="s">
        <v>15</v>
      </c>
      <c r="C13" s="10" t="s">
        <v>16</v>
      </c>
      <c r="D13" s="10"/>
      <c r="E13" s="11">
        <f>SUMIF('ARR '!$N$4:$N$176,C13,'ARR '!$G$4:$G$176)</f>
        <v>442296296.60999995</v>
      </c>
      <c r="F13" s="11">
        <f>SUMIF('ARR '!$N$4:$N$176,C13,'ARR '!$H$4:$H$176)</f>
        <v>345332802.19</v>
      </c>
      <c r="G13" s="11">
        <f>SUMIF('ARR '!$N$4:$N$176,C13,'ARR '!$I$4:$I$176)</f>
        <v>96963494.419999987</v>
      </c>
      <c r="H13" s="36"/>
      <c r="I13" s="71"/>
      <c r="M13" s="15"/>
      <c r="N13" s="13"/>
    </row>
    <row r="14" spans="1:16" s="16" customFormat="1" ht="15.75" customHeight="1" x14ac:dyDescent="0.45">
      <c r="A14" s="17"/>
      <c r="B14" s="17" t="s">
        <v>15</v>
      </c>
      <c r="C14" s="17" t="s">
        <v>17</v>
      </c>
      <c r="D14" s="17"/>
      <c r="E14" s="18">
        <f>SUMIF('ARR '!$N$4:$N$176,C14,'ARR '!$G$4:$G$176)</f>
        <v>546756552.70000005</v>
      </c>
      <c r="F14" s="18">
        <f>SUMIF('ARR '!$N$4:$N$176,C14,'ARR '!$H$4:$H$176)</f>
        <v>17137290</v>
      </c>
      <c r="G14" s="18">
        <f>SUMIF('ARR '!$N$4:$N$176,C14,'ARR '!$I$4:$I$176)</f>
        <v>-2692194</v>
      </c>
      <c r="H14" s="37"/>
      <c r="I14" s="72"/>
      <c r="L14" s="14"/>
      <c r="M14" s="15"/>
      <c r="N14" s="13"/>
    </row>
    <row r="15" spans="1:16" ht="18" customHeight="1" x14ac:dyDescent="0.35">
      <c r="A15" s="20"/>
      <c r="B15" s="21"/>
      <c r="C15" s="21" t="s">
        <v>12</v>
      </c>
      <c r="D15" s="20"/>
      <c r="E15" s="22">
        <f>SUM(E13:E14)</f>
        <v>989052849.30999994</v>
      </c>
      <c r="F15" s="22">
        <f>SUM(F13:F14)</f>
        <v>362470092.19</v>
      </c>
      <c r="G15" s="22">
        <f>SUM(G13:G14)</f>
        <v>94271300.419999987</v>
      </c>
      <c r="H15" s="38"/>
      <c r="I15" s="75"/>
      <c r="L15" s="24"/>
      <c r="M15" s="9"/>
      <c r="N15" s="8"/>
    </row>
    <row r="16" spans="1:16" x14ac:dyDescent="0.4">
      <c r="F16" s="39"/>
      <c r="G16" s="40"/>
      <c r="H16" s="34"/>
      <c r="I16" s="35"/>
      <c r="J16" s="24"/>
      <c r="K16" s="24"/>
      <c r="L16" s="24"/>
      <c r="M16" s="9"/>
      <c r="N16" s="8"/>
    </row>
    <row r="17" spans="1:14" x14ac:dyDescent="0.4">
      <c r="F17" s="39"/>
      <c r="G17" s="40"/>
      <c r="H17" s="34"/>
      <c r="I17" s="35"/>
      <c r="J17" s="24"/>
      <c r="K17" s="24"/>
      <c r="L17" s="24"/>
      <c r="M17" s="9"/>
      <c r="N17" s="8"/>
    </row>
    <row r="18" spans="1:14" ht="19.5" customHeight="1" x14ac:dyDescent="0.35">
      <c r="A18" s="5" t="s">
        <v>18</v>
      </c>
      <c r="B18" s="5" t="s">
        <v>19</v>
      </c>
      <c r="C18" s="5"/>
      <c r="D18" s="5"/>
      <c r="E18" s="27"/>
      <c r="F18" s="27"/>
      <c r="G18" s="28"/>
      <c r="H18" s="5"/>
      <c r="I18" s="69"/>
      <c r="J18" s="24"/>
      <c r="K18" s="24"/>
      <c r="L18" s="24"/>
      <c r="M18" s="9"/>
      <c r="N18" s="8"/>
    </row>
    <row r="19" spans="1:14" s="43" customFormat="1" ht="18" customHeight="1" x14ac:dyDescent="0.35">
      <c r="A19" s="6"/>
      <c r="B19" s="6"/>
      <c r="C19" s="6"/>
      <c r="D19" s="6"/>
      <c r="E19" s="7" t="s">
        <v>20</v>
      </c>
      <c r="F19" s="7" t="s">
        <v>21</v>
      </c>
      <c r="G19" s="7" t="s">
        <v>22</v>
      </c>
      <c r="H19" s="6" t="s">
        <v>23</v>
      </c>
      <c r="I19" s="70"/>
      <c r="J19" s="41"/>
      <c r="K19" s="41"/>
      <c r="L19" s="41"/>
      <c r="M19" s="42"/>
    </row>
    <row r="20" spans="1:14" ht="15.75" customHeight="1" x14ac:dyDescent="0.35">
      <c r="A20" s="10"/>
      <c r="B20" s="10"/>
      <c r="C20" s="10" t="s">
        <v>24</v>
      </c>
      <c r="D20" s="10"/>
      <c r="E20" s="11">
        <f>COUNTIFS('ARR '!$L$4:$L$176,'Total Summary'!$C20,'ARR '!$N$4:$N$176,'Total Summary'!$C$13)</f>
        <v>0</v>
      </c>
      <c r="F20" s="11">
        <f>SUMIFS('ARR '!$H$4:$H$176,'ARR '!$L$4:$L$176,'Total Summary'!$C20,'ARR '!$N$4:$N$176,'Total Summary'!$C$13)</f>
        <v>0</v>
      </c>
      <c r="G20" s="11">
        <f>SUMIFS('ARR '!$I$4:$I$176,'ARR '!$L$4:$L$176,'Total Summary'!$C20,'ARR '!$N$4:$N$176,'Total Summary'!$C$13)</f>
        <v>0</v>
      </c>
      <c r="H20" s="12">
        <f t="shared" ref="H20:H28" si="0">E20/$E$30</f>
        <v>0</v>
      </c>
      <c r="I20" s="71"/>
      <c r="J20" s="24"/>
      <c r="K20" s="24"/>
      <c r="L20" s="24"/>
      <c r="M20" s="9"/>
      <c r="N20" s="8"/>
    </row>
    <row r="21" spans="1:14" ht="15.75" customHeight="1" x14ac:dyDescent="0.35">
      <c r="A21" s="17"/>
      <c r="B21" s="17"/>
      <c r="C21" s="17" t="s">
        <v>25</v>
      </c>
      <c r="D21" s="17"/>
      <c r="E21" s="18">
        <f>COUNTIFS('ARR '!$L$4:$L$176,'Total Summary'!$C21,'ARR '!$N$4:$N$176,'Total Summary'!$C$13)</f>
        <v>3</v>
      </c>
      <c r="F21" s="18">
        <f>SUMIFS('ARR '!$H$4:$H$176,'ARR '!$L$4:$L$176,'Total Summary'!$C21,'ARR '!$N$4:$N$176,'Total Summary'!$C$13)</f>
        <v>28533905</v>
      </c>
      <c r="G21" s="18">
        <f>SUMIFS('ARR '!$I$4:$I$176,'ARR '!$L$4:$L$176,'Total Summary'!$C21,'ARR '!$N$4:$N$176,'Total Summary'!$C$13)</f>
        <v>-2173246</v>
      </c>
      <c r="H21" s="19">
        <f t="shared" si="0"/>
        <v>0.125</v>
      </c>
      <c r="I21" s="72"/>
      <c r="J21" s="24"/>
      <c r="K21" s="24"/>
      <c r="L21" s="24"/>
      <c r="M21" s="9"/>
      <c r="N21" s="8"/>
    </row>
    <row r="22" spans="1:14" ht="15.75" customHeight="1" x14ac:dyDescent="0.35">
      <c r="A22" s="10"/>
      <c r="B22" s="10"/>
      <c r="C22" s="10" t="s">
        <v>26</v>
      </c>
      <c r="D22" s="10"/>
      <c r="E22" s="11">
        <f>COUNTIFS('ARR '!$L$4:$L$176,'Total Summary'!$C22,'ARR '!$N$4:$N$176,'Total Summary'!$C$13)</f>
        <v>3</v>
      </c>
      <c r="F22" s="11">
        <f>SUMIFS('ARR '!$H$4:$H$176,'ARR '!$L$4:$L$176,'Total Summary'!$C22,'ARR '!$N$4:$N$176,'Total Summary'!$C$13)</f>
        <v>50841356</v>
      </c>
      <c r="G22" s="11">
        <f>SUMIFS('ARR '!$I$4:$I$176,'ARR '!$L$4:$L$176,'Total Summary'!$C22,'ARR '!$N$4:$N$176,'Total Summary'!$C$13)</f>
        <v>3656010.2100000009</v>
      </c>
      <c r="H22" s="12">
        <f t="shared" si="0"/>
        <v>0.125</v>
      </c>
      <c r="I22" s="71"/>
      <c r="J22" s="24"/>
      <c r="K22" s="24"/>
      <c r="L22" s="24"/>
      <c r="M22" s="9"/>
      <c r="N22" s="8"/>
    </row>
    <row r="23" spans="1:14" ht="15.75" customHeight="1" x14ac:dyDescent="0.35">
      <c r="A23" s="17"/>
      <c r="B23" s="17"/>
      <c r="C23" s="17" t="s">
        <v>27</v>
      </c>
      <c r="D23" s="17"/>
      <c r="E23" s="18">
        <f>COUNTIFS('ARR '!$L$4:$L$176,'Total Summary'!$C23,'ARR '!$N$4:$N$176,'Total Summary'!$C$13)</f>
        <v>4</v>
      </c>
      <c r="F23" s="18">
        <f>SUMIFS('ARR '!$H$4:$H$176,'ARR '!$L$4:$L$176,'Total Summary'!$C23,'ARR '!$N$4:$N$176,'Total Summary'!$C$13)</f>
        <v>47288743.079999998</v>
      </c>
      <c r="G23" s="18">
        <f>SUMIFS('ARR '!$I$4:$I$176,'ARR '!$L$4:$L$176,'Total Summary'!$C23,'ARR '!$N$4:$N$176,'Total Summary'!$C$13)</f>
        <v>29224256.920000002</v>
      </c>
      <c r="H23" s="19">
        <f t="shared" si="0"/>
        <v>0.16666666666666666</v>
      </c>
      <c r="I23" s="72"/>
      <c r="J23" s="24"/>
      <c r="K23" s="24"/>
      <c r="L23" s="24"/>
      <c r="M23" s="9"/>
      <c r="N23" s="8"/>
    </row>
    <row r="24" spans="1:14" ht="15.75" customHeight="1" x14ac:dyDescent="0.35">
      <c r="A24" s="10"/>
      <c r="B24" s="10"/>
      <c r="C24" s="10" t="s">
        <v>28</v>
      </c>
      <c r="D24" s="10"/>
      <c r="E24" s="11">
        <f>COUNTIFS('ARR '!$L$4:$L$176,'Total Summary'!$C24,'ARR '!$N$4:$N$176,'Total Summary'!$C$13)</f>
        <v>3</v>
      </c>
      <c r="F24" s="11">
        <f>SUMIFS('ARR '!$H$4:$H$176,'ARR '!$L$4:$L$176,'Total Summary'!$C24,'ARR '!$N$4:$N$176,'Total Summary'!$C$13)</f>
        <v>6670883</v>
      </c>
      <c r="G24" s="11">
        <f>SUMIFS('ARR '!$I$4:$I$176,'ARR '!$L$4:$L$176,'Total Summary'!$C24,'ARR '!$N$4:$N$176,'Total Summary'!$C$13)</f>
        <v>2132940</v>
      </c>
      <c r="H24" s="12">
        <f t="shared" si="0"/>
        <v>0.125</v>
      </c>
      <c r="I24" s="71"/>
      <c r="J24" s="24"/>
      <c r="K24" s="24"/>
      <c r="L24" s="24"/>
      <c r="M24" s="9"/>
      <c r="N24" s="8"/>
    </row>
    <row r="25" spans="1:14" ht="15.75" customHeight="1" x14ac:dyDescent="0.35">
      <c r="A25" s="17"/>
      <c r="B25" s="17"/>
      <c r="C25" s="17" t="s">
        <v>29</v>
      </c>
      <c r="D25" s="17"/>
      <c r="E25" s="18">
        <f>COUNTIFS('ARR '!$L$4:$L$176,'Total Summary'!$C25,'ARR '!$N$4:$N$176,'Total Summary'!$C$13)</f>
        <v>0</v>
      </c>
      <c r="F25" s="18">
        <f>SUMIFS('ARR '!$H$4:$H$176,'ARR '!$L$4:$L$176,'Total Summary'!$C25,'ARR '!$N$4:$N$176,'Total Summary'!$C$13)</f>
        <v>0</v>
      </c>
      <c r="G25" s="18">
        <f>SUMIFS('ARR '!$I$4:$I$176,'ARR '!$L$4:$L$176,'Total Summary'!$C25,'ARR '!$N$4:$N$176,'Total Summary'!$C$13)</f>
        <v>0</v>
      </c>
      <c r="H25" s="19">
        <f t="shared" si="0"/>
        <v>0</v>
      </c>
      <c r="I25" s="72"/>
      <c r="K25" s="24"/>
      <c r="L25" s="24"/>
      <c r="M25" s="9"/>
      <c r="N25" s="8"/>
    </row>
    <row r="26" spans="1:14" ht="15.75" customHeight="1" x14ac:dyDescent="0.35">
      <c r="A26" s="10"/>
      <c r="B26" s="10"/>
      <c r="C26" s="10" t="s">
        <v>30</v>
      </c>
      <c r="D26" s="10"/>
      <c r="E26" s="11">
        <f>COUNTIFS('ARR '!$L$4:$L$176,'Total Summary'!$C26,'ARR '!$N$4:$N$176,'Total Summary'!$C$13)</f>
        <v>3</v>
      </c>
      <c r="F26" s="11">
        <f>SUMIFS('ARR '!$H$4:$H$176,'ARR '!$L$4:$L$176,'Total Summary'!$C26,'ARR '!$N$4:$N$176,'Total Summary'!$C$13)</f>
        <v>178625460.90000001</v>
      </c>
      <c r="G26" s="11">
        <f>SUMIFS('ARR '!$I$4:$I$176,'ARR '!$L$4:$L$176,'Total Summary'!$C26,'ARR '!$N$4:$N$176,'Total Summary'!$C$13)</f>
        <v>62326070.100000001</v>
      </c>
      <c r="H26" s="12">
        <f t="shared" si="0"/>
        <v>0.125</v>
      </c>
      <c r="I26" s="71"/>
      <c r="K26" s="24"/>
      <c r="L26" s="24"/>
      <c r="M26" s="9"/>
      <c r="N26" s="8"/>
    </row>
    <row r="27" spans="1:14" ht="15.75" customHeight="1" x14ac:dyDescent="0.35">
      <c r="A27" s="17"/>
      <c r="B27" s="17"/>
      <c r="C27" s="17" t="s">
        <v>31</v>
      </c>
      <c r="D27" s="17"/>
      <c r="E27" s="18">
        <f>COUNTIFS('ARR '!$L$4:$L$176,'Total Summary'!$C27,'ARR '!$N$4:$N$176,'Total Summary'!$C$13)</f>
        <v>6</v>
      </c>
      <c r="F27" s="18">
        <f>SUMIFS('ARR '!$H$4:$H$176,'ARR '!$L$4:$L$176,'Total Summary'!$C27,'ARR '!$N$4:$N$176,'Total Summary'!$C$13)</f>
        <v>28112521.629999999</v>
      </c>
      <c r="G27" s="18">
        <f>SUMIFS('ARR '!$I$4:$I$176,'ARR '!$L$4:$L$176,'Total Summary'!$C27,'ARR '!$N$4:$N$176,'Total Summary'!$C$13)</f>
        <v>2448906.2100000009</v>
      </c>
      <c r="H27" s="19">
        <f t="shared" si="0"/>
        <v>0.25</v>
      </c>
      <c r="I27" s="72"/>
      <c r="K27" s="24"/>
      <c r="L27" s="24"/>
      <c r="M27" s="9"/>
      <c r="N27" s="8"/>
    </row>
    <row r="28" spans="1:14" ht="15.75" customHeight="1" x14ac:dyDescent="0.35">
      <c r="A28" s="10"/>
      <c r="B28" s="10"/>
      <c r="C28" s="10" t="s">
        <v>32</v>
      </c>
      <c r="D28" s="10"/>
      <c r="E28" s="11">
        <f>COUNTIFS('ARR '!$L$4:$L$176,'Total Summary'!$C28,'ARR '!$N$4:$N$176,'Total Summary'!$C$13)</f>
        <v>2</v>
      </c>
      <c r="F28" s="11">
        <f>SUMIFS('ARR '!$H$4:$H$176,'ARR '!$L$4:$L$176,'Total Summary'!$C28,'ARR '!$N$4:$N$176,'Total Summary'!$C$13)</f>
        <v>5259932.58</v>
      </c>
      <c r="G28" s="11">
        <f>SUMIFS('ARR '!$I$4:$I$176,'ARR '!$L$4:$L$176,'Total Summary'!$C28,'ARR '!$N$4:$N$176,'Total Summary'!$C$13)</f>
        <v>-651443.02000000048</v>
      </c>
      <c r="H28" s="12">
        <f t="shared" si="0"/>
        <v>8.3333333333333329E-2</v>
      </c>
      <c r="I28" s="71"/>
      <c r="K28" s="24"/>
      <c r="L28" s="24"/>
      <c r="M28" s="9"/>
      <c r="N28" s="8"/>
    </row>
    <row r="29" spans="1:14" ht="18" customHeight="1" x14ac:dyDescent="0.45">
      <c r="B29" s="44"/>
      <c r="C29" s="45"/>
      <c r="D29" s="46"/>
      <c r="E29" s="47"/>
      <c r="F29" s="47"/>
      <c r="G29" s="48"/>
      <c r="H29" s="49"/>
      <c r="I29" s="35"/>
      <c r="K29" s="24"/>
      <c r="L29" s="24"/>
      <c r="M29" s="9"/>
      <c r="N29" s="8"/>
    </row>
    <row r="30" spans="1:14" s="50" customFormat="1" ht="18" customHeight="1" x14ac:dyDescent="0.5">
      <c r="A30" s="20"/>
      <c r="B30" s="21"/>
      <c r="C30" s="21" t="s">
        <v>12</v>
      </c>
      <c r="D30" s="20"/>
      <c r="E30" s="22">
        <f>SUM(E20:E29)</f>
        <v>24</v>
      </c>
      <c r="F30" s="22">
        <f>SUM(F20:F29)</f>
        <v>345332802.19</v>
      </c>
      <c r="G30" s="22">
        <f>SUM(G20:G29)</f>
        <v>96963494.420000002</v>
      </c>
      <c r="H30" s="38"/>
      <c r="I30" s="75"/>
      <c r="L30" s="51"/>
      <c r="M30" s="52"/>
      <c r="N30" s="53"/>
    </row>
    <row r="31" spans="1:14" ht="18" customHeight="1" x14ac:dyDescent="0.45">
      <c r="C31" s="54"/>
      <c r="E31" s="55"/>
      <c r="F31" s="56"/>
      <c r="G31" s="56"/>
      <c r="H31" s="34"/>
      <c r="I31" s="35"/>
      <c r="K31" s="24"/>
      <c r="L31" s="24"/>
      <c r="M31" s="9"/>
      <c r="N31" s="8"/>
    </row>
    <row r="32" spans="1:14" ht="19.5" customHeight="1" x14ac:dyDescent="0.35">
      <c r="A32" s="5" t="s">
        <v>33</v>
      </c>
      <c r="B32" s="5" t="s">
        <v>34</v>
      </c>
      <c r="C32" s="5"/>
      <c r="D32" s="5"/>
      <c r="E32" s="27"/>
      <c r="F32" s="27"/>
      <c r="G32" s="28"/>
      <c r="H32" s="5"/>
      <c r="I32" s="69"/>
      <c r="K32" s="24"/>
      <c r="L32" s="24"/>
      <c r="M32" s="9"/>
      <c r="N32" s="8"/>
    </row>
    <row r="33" spans="1:15" s="50" customFormat="1" ht="18" customHeight="1" x14ac:dyDescent="0.5">
      <c r="A33" s="6"/>
      <c r="B33" s="6" t="s">
        <v>35</v>
      </c>
      <c r="C33" s="6" t="s">
        <v>36</v>
      </c>
      <c r="D33" s="6"/>
      <c r="E33" s="7"/>
      <c r="F33" s="7" t="s">
        <v>37</v>
      </c>
      <c r="G33" s="7"/>
      <c r="H33" s="57" t="s">
        <v>23</v>
      </c>
      <c r="I33" s="70"/>
      <c r="J33" s="58"/>
      <c r="L33" s="51"/>
      <c r="M33" s="51"/>
      <c r="N33" s="52"/>
      <c r="O33" s="53"/>
    </row>
    <row r="34" spans="1:15" s="16" customFormat="1" ht="15.75" customHeight="1" x14ac:dyDescent="0.45">
      <c r="A34" s="10"/>
      <c r="B34" s="10" t="s">
        <v>38</v>
      </c>
      <c r="C34" s="59">
        <v>45992</v>
      </c>
      <c r="D34" s="10"/>
      <c r="E34" s="60"/>
      <c r="F34" s="11">
        <f>SUMIF('ARR '!$K$4:$K$176,C34,'ARR '!$H$4:$H$176)</f>
        <v>4355584</v>
      </c>
      <c r="G34" s="60"/>
      <c r="H34" s="12">
        <f t="shared" ref="H34:H40" si="1">F34/$F$49</f>
        <v>1.2016395542275207E-2</v>
      </c>
      <c r="I34" s="71"/>
      <c r="J34" s="61"/>
      <c r="M34" s="14"/>
      <c r="N34" s="15"/>
      <c r="O34" s="13"/>
    </row>
    <row r="35" spans="1:15" s="16" customFormat="1" ht="15.75" customHeight="1" x14ac:dyDescent="0.45">
      <c r="A35" s="17"/>
      <c r="B35" s="17" t="s">
        <v>38</v>
      </c>
      <c r="C35" s="62">
        <v>46023</v>
      </c>
      <c r="D35" s="17"/>
      <c r="E35" s="63"/>
      <c r="F35" s="18">
        <f>SUMIF('ARR '!$K$4:$K$176,C35,'ARR '!$H$4:$H$176)</f>
        <v>26978980</v>
      </c>
      <c r="G35" s="63"/>
      <c r="H35" s="19">
        <f t="shared" si="1"/>
        <v>7.4430913284448647E-2</v>
      </c>
      <c r="I35" s="72"/>
      <c r="J35" s="61"/>
      <c r="M35" s="14"/>
      <c r="N35" s="15"/>
      <c r="O35" s="13"/>
    </row>
    <row r="36" spans="1:15" s="16" customFormat="1" ht="15.75" customHeight="1" x14ac:dyDescent="0.45">
      <c r="A36" s="10"/>
      <c r="B36" s="10" t="s">
        <v>38</v>
      </c>
      <c r="C36" s="59">
        <v>46054</v>
      </c>
      <c r="D36" s="10"/>
      <c r="E36" s="60"/>
      <c r="F36" s="11">
        <f>SUMIF('ARR '!$K$4:$K$176,C36,'ARR '!$H$4:$H$176)</f>
        <v>1969878.1500000001</v>
      </c>
      <c r="G36" s="60"/>
      <c r="H36" s="12">
        <f t="shared" si="1"/>
        <v>5.4345949981645016E-3</v>
      </c>
      <c r="I36" s="71"/>
      <c r="J36" s="61"/>
      <c r="M36" s="14"/>
      <c r="N36" s="15"/>
      <c r="O36" s="13"/>
    </row>
    <row r="37" spans="1:15" s="16" customFormat="1" ht="15.75" customHeight="1" x14ac:dyDescent="0.45">
      <c r="A37" s="17"/>
      <c r="B37" s="17" t="s">
        <v>38</v>
      </c>
      <c r="C37" s="62">
        <v>46082</v>
      </c>
      <c r="D37" s="17"/>
      <c r="E37" s="63"/>
      <c r="F37" s="18">
        <f>SUMIF('ARR '!$K$4:$K$176,C37,'ARR '!$H$4:$H$176)</f>
        <v>10704455.48</v>
      </c>
      <c r="G37" s="63"/>
      <c r="H37" s="19">
        <f t="shared" si="1"/>
        <v>2.9531968873142023E-2</v>
      </c>
      <c r="I37" s="72"/>
      <c r="J37" s="61"/>
      <c r="M37" s="14"/>
      <c r="N37" s="15"/>
      <c r="O37" s="13"/>
    </row>
    <row r="38" spans="1:15" s="16" customFormat="1" ht="15.75" customHeight="1" x14ac:dyDescent="0.45">
      <c r="A38" s="10"/>
      <c r="B38" s="10" t="s">
        <v>38</v>
      </c>
      <c r="C38" s="10" t="s">
        <v>39</v>
      </c>
      <c r="D38" s="10"/>
      <c r="E38" s="60"/>
      <c r="F38" s="11">
        <f>SUMIF('ARR '!$K$4:$K$176,C38,'ARR '!$H$4:$H$176)</f>
        <v>160779306.98000002</v>
      </c>
      <c r="G38" s="60"/>
      <c r="H38" s="12">
        <f t="shared" si="1"/>
        <v>0.44356571878411005</v>
      </c>
      <c r="I38" s="71"/>
      <c r="J38" s="61"/>
      <c r="L38" s="14"/>
      <c r="M38" s="14"/>
      <c r="N38" s="15"/>
      <c r="O38" s="13"/>
    </row>
    <row r="39" spans="1:15" s="16" customFormat="1" ht="15.75" customHeight="1" x14ac:dyDescent="0.45">
      <c r="A39" s="17"/>
      <c r="B39" s="17" t="s">
        <v>38</v>
      </c>
      <c r="C39" s="17" t="s">
        <v>40</v>
      </c>
      <c r="D39" s="17"/>
      <c r="E39" s="63"/>
      <c r="F39" s="18">
        <f>SUMIF('ARR '!$K$4:$K$176,C39,'ARR '!$H$4:$H$176)</f>
        <v>115750090.58000001</v>
      </c>
      <c r="G39" s="63"/>
      <c r="H39" s="19">
        <f t="shared" si="1"/>
        <v>0.31933694137536173</v>
      </c>
      <c r="I39" s="72"/>
      <c r="J39" s="61"/>
      <c r="M39" s="14"/>
      <c r="N39" s="15"/>
      <c r="O39" s="13"/>
    </row>
    <row r="40" spans="1:15" s="16" customFormat="1" ht="15.75" customHeight="1" x14ac:dyDescent="0.45">
      <c r="A40" s="10"/>
      <c r="B40" s="10" t="s">
        <v>38</v>
      </c>
      <c r="C40" s="59">
        <v>46174</v>
      </c>
      <c r="D40" s="10"/>
      <c r="E40" s="60"/>
      <c r="F40" s="11">
        <f>SUMIF('ARR '!$K$4:$K$176,C40,'ARR '!$H$4:$H$176)</f>
        <v>41931797</v>
      </c>
      <c r="G40" s="60"/>
      <c r="H40" s="12">
        <f t="shared" si="1"/>
        <v>0.11568346714249775</v>
      </c>
      <c r="I40" s="71"/>
      <c r="J40" s="61"/>
      <c r="M40" s="14"/>
      <c r="N40" s="15"/>
      <c r="O40" s="13"/>
    </row>
    <row r="41" spans="1:15" s="16" customFormat="1" ht="15.75" customHeight="1" x14ac:dyDescent="0.45">
      <c r="A41" s="17"/>
      <c r="B41" s="17" t="s">
        <v>38</v>
      </c>
      <c r="C41" s="17">
        <v>46204</v>
      </c>
      <c r="D41" s="17"/>
      <c r="E41" s="63"/>
      <c r="F41" s="18"/>
      <c r="G41" s="63"/>
      <c r="H41" s="19"/>
      <c r="I41" s="72"/>
      <c r="J41" s="61"/>
      <c r="M41" s="14"/>
      <c r="N41" s="15"/>
      <c r="O41" s="13"/>
    </row>
    <row r="42" spans="1:15" s="16" customFormat="1" ht="15.75" customHeight="1" x14ac:dyDescent="0.45">
      <c r="A42" s="10"/>
      <c r="B42" s="10" t="s">
        <v>38</v>
      </c>
      <c r="C42" s="59">
        <v>46235</v>
      </c>
      <c r="D42" s="10"/>
      <c r="E42" s="60"/>
      <c r="F42" s="11"/>
      <c r="G42" s="60"/>
      <c r="H42" s="65"/>
      <c r="I42" s="71"/>
      <c r="J42" s="61"/>
      <c r="M42" s="14"/>
      <c r="N42" s="15"/>
      <c r="O42" s="13"/>
    </row>
    <row r="43" spans="1:15" s="16" customFormat="1" ht="15.75" customHeight="1" x14ac:dyDescent="0.45">
      <c r="A43" s="17"/>
      <c r="B43" s="17" t="s">
        <v>38</v>
      </c>
      <c r="C43" s="17">
        <v>46266</v>
      </c>
      <c r="D43" s="17"/>
      <c r="E43" s="63"/>
      <c r="F43" s="18"/>
      <c r="G43" s="63"/>
      <c r="H43" s="19"/>
      <c r="I43" s="72"/>
      <c r="J43" s="61"/>
      <c r="M43" s="14"/>
      <c r="N43" s="15"/>
      <c r="O43" s="13"/>
    </row>
    <row r="44" spans="1:15" s="16" customFormat="1" ht="15.75" customHeight="1" x14ac:dyDescent="0.45">
      <c r="A44" s="10"/>
      <c r="B44" s="10" t="s">
        <v>38</v>
      </c>
      <c r="C44" s="59">
        <v>46296</v>
      </c>
      <c r="D44" s="10"/>
      <c r="E44" s="60"/>
      <c r="F44" s="11"/>
      <c r="G44" s="60"/>
      <c r="H44" s="65"/>
      <c r="I44" s="71"/>
      <c r="J44" s="61"/>
      <c r="M44" s="14"/>
      <c r="N44" s="15"/>
      <c r="O44" s="13"/>
    </row>
    <row r="45" spans="1:15" s="16" customFormat="1" ht="15.75" customHeight="1" x14ac:dyDescent="0.45">
      <c r="A45" s="17"/>
      <c r="B45" s="17" t="s">
        <v>38</v>
      </c>
      <c r="C45" s="62">
        <v>46327</v>
      </c>
      <c r="D45" s="17"/>
      <c r="E45" s="63"/>
      <c r="F45" s="18"/>
      <c r="G45" s="63"/>
      <c r="H45" s="19"/>
      <c r="I45" s="72"/>
      <c r="J45" s="61"/>
      <c r="M45" s="14"/>
      <c r="N45" s="15"/>
      <c r="O45" s="13"/>
    </row>
    <row r="46" spans="1:15" s="16" customFormat="1" ht="15.75" customHeight="1" x14ac:dyDescent="0.45">
      <c r="A46" s="10"/>
      <c r="B46" s="10" t="s">
        <v>38</v>
      </c>
      <c r="C46" s="59">
        <v>46357</v>
      </c>
      <c r="D46" s="10"/>
      <c r="E46" s="60"/>
      <c r="F46" s="11"/>
      <c r="G46" s="60"/>
      <c r="H46" s="65"/>
      <c r="I46" s="71"/>
      <c r="J46" s="61"/>
      <c r="M46" s="14"/>
      <c r="N46" s="15"/>
      <c r="O46" s="13"/>
    </row>
    <row r="47" spans="1:15" s="16" customFormat="1" ht="15.75" customHeight="1" x14ac:dyDescent="0.45">
      <c r="A47" s="17"/>
      <c r="B47" s="17" t="s">
        <v>38</v>
      </c>
      <c r="C47" s="17"/>
      <c r="D47" s="17"/>
      <c r="E47" s="63"/>
      <c r="F47" s="18"/>
      <c r="G47" s="63"/>
      <c r="H47" s="19"/>
      <c r="I47" s="72"/>
      <c r="J47" s="61"/>
      <c r="M47" s="14"/>
      <c r="N47" s="15"/>
      <c r="O47" s="13"/>
    </row>
    <row r="48" spans="1:15" s="16" customFormat="1" ht="15.75" customHeight="1" x14ac:dyDescent="0.45">
      <c r="A48" s="17"/>
      <c r="B48" s="17"/>
      <c r="C48" s="17"/>
      <c r="D48" s="17"/>
      <c r="E48" s="63"/>
      <c r="F48" s="18"/>
      <c r="G48" s="63"/>
      <c r="H48" s="64"/>
      <c r="I48" s="72"/>
      <c r="J48" s="61"/>
      <c r="M48" s="14"/>
      <c r="N48" s="15"/>
      <c r="O48" s="13"/>
    </row>
    <row r="49" spans="1:15" s="50" customFormat="1" ht="18" customHeight="1" x14ac:dyDescent="0.5">
      <c r="A49" s="20"/>
      <c r="B49" s="21"/>
      <c r="C49" s="21"/>
      <c r="D49" s="20"/>
      <c r="E49" s="66"/>
      <c r="F49" s="22">
        <f>SUM(F34:F48)</f>
        <v>362470092.19000006</v>
      </c>
      <c r="G49" s="66"/>
      <c r="H49" s="67">
        <f>SUM(H34:H48)</f>
        <v>0.99999999999999989</v>
      </c>
      <c r="I49" s="75"/>
      <c r="J49" s="58"/>
      <c r="M49" s="51"/>
      <c r="N49" s="52"/>
      <c r="O49" s="53"/>
    </row>
    <row r="65" spans="7:7" ht="21" x14ac:dyDescent="0.5">
      <c r="G65" s="51"/>
    </row>
  </sheetData>
  <conditionalFormatting sqref="H20:H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C6" xr:uid="{00000000-0002-0000-0000-000000000000}">
      <formula1>$K$181:$K$223</formula1>
      <formula2>0</formula2>
    </dataValidation>
  </dataValidations>
  <pageMargins left="0.7" right="0.7" top="0.75" bottom="0.75" header="0.511811023622047" footer="0.511811023622047"/>
  <pageSetup paperSize="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5156-4F56-4C7D-BA17-0BEF1F82414C}">
  <sheetPr>
    <tabColor rgb="FF0070C0"/>
    <pageSetUpPr fitToPage="1"/>
  </sheetPr>
  <dimension ref="A1:AE41"/>
  <sheetViews>
    <sheetView showGridLines="0" zoomScale="80" zoomScaleNormal="80" zoomScaleSheetLayoutView="80" workbookViewId="0">
      <selection activeCell="D16" sqref="D16:E16"/>
    </sheetView>
  </sheetViews>
  <sheetFormatPr defaultRowHeight="21.5" x14ac:dyDescent="0.35"/>
  <cols>
    <col min="1" max="1" width="8.7265625" style="77"/>
    <col min="2" max="2" width="13.81640625" style="77" customWidth="1"/>
    <col min="3" max="3" width="2.90625" style="77" customWidth="1"/>
    <col min="4" max="5" width="9.453125" style="77" customWidth="1"/>
    <col min="6" max="6" width="2.453125" style="77" customWidth="1"/>
    <col min="7" max="8" width="9.453125" style="77" customWidth="1"/>
    <col min="9" max="9" width="2.453125" style="77" customWidth="1"/>
    <col min="10" max="11" width="9.453125" style="77" customWidth="1"/>
    <col min="12" max="12" width="2.453125" style="77" customWidth="1"/>
    <col min="13" max="14" width="9.453125" style="77" customWidth="1"/>
    <col min="15" max="15" width="8.7265625" style="77"/>
    <col min="16" max="16" width="3.36328125" style="77" customWidth="1"/>
    <col min="17" max="17" width="8.7265625" style="77"/>
    <col min="18" max="18" width="13.81640625" style="77" customWidth="1"/>
    <col min="19" max="19" width="2.453125" style="77" customWidth="1"/>
    <col min="20" max="21" width="9.453125" style="77" customWidth="1"/>
    <col min="22" max="22" width="2.453125" style="77" customWidth="1"/>
    <col min="23" max="24" width="9.453125" style="77" customWidth="1"/>
    <col min="25" max="25" width="2.453125" style="77" customWidth="1"/>
    <col min="26" max="27" width="9.453125" style="77" customWidth="1"/>
    <col min="28" max="28" width="2.453125" style="77" customWidth="1"/>
    <col min="29" max="30" width="9.453125" style="77" customWidth="1"/>
    <col min="31" max="16384" width="8.7265625" style="77"/>
  </cols>
  <sheetData>
    <row r="1" spans="1:31" x14ac:dyDescent="0.35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6"/>
    </row>
    <row r="2" spans="1:31" x14ac:dyDescent="0.35">
      <c r="A2" s="117"/>
      <c r="AE2" s="118"/>
    </row>
    <row r="3" spans="1:31" x14ac:dyDescent="0.35">
      <c r="A3" s="117"/>
      <c r="AE3" s="118"/>
    </row>
    <row r="4" spans="1:31" ht="38" customHeight="1" x14ac:dyDescent="0.35">
      <c r="A4" s="186" t="s">
        <v>133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8"/>
    </row>
    <row r="5" spans="1:31" x14ac:dyDescent="0.35">
      <c r="A5" s="117"/>
      <c r="AE5" s="118"/>
    </row>
    <row r="6" spans="1:31" ht="29" customHeight="1" x14ac:dyDescent="0.35">
      <c r="A6" s="189" t="s">
        <v>0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1"/>
    </row>
    <row r="7" spans="1:31" x14ac:dyDescent="0.35">
      <c r="A7" s="117"/>
      <c r="AE7" s="118"/>
    </row>
    <row r="8" spans="1:31" ht="21.5" customHeight="1" x14ac:dyDescent="0.35">
      <c r="A8" s="179" t="s">
        <v>138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Q8" s="180" t="s">
        <v>137</v>
      </c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1"/>
    </row>
    <row r="9" spans="1:31" x14ac:dyDescent="0.35">
      <c r="A9" s="119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E9" s="118"/>
    </row>
    <row r="10" spans="1:31" s="78" customFormat="1" ht="42.5" customHeight="1" x14ac:dyDescent="0.35">
      <c r="A10" s="119"/>
      <c r="D10" s="176" t="s">
        <v>3</v>
      </c>
      <c r="E10" s="177"/>
      <c r="G10" s="176" t="s">
        <v>134</v>
      </c>
      <c r="H10" s="177"/>
      <c r="J10" s="176" t="s">
        <v>135</v>
      </c>
      <c r="K10" s="177"/>
      <c r="M10" s="111"/>
      <c r="N10" s="111"/>
      <c r="T10" s="176" t="s">
        <v>3</v>
      </c>
      <c r="U10" s="177"/>
      <c r="W10" s="176" t="s">
        <v>134</v>
      </c>
      <c r="X10" s="177"/>
      <c r="Z10" s="176" t="s">
        <v>135</v>
      </c>
      <c r="AA10" s="177"/>
      <c r="AC10" s="176" t="s">
        <v>136</v>
      </c>
      <c r="AD10" s="177"/>
      <c r="AE10" s="120"/>
    </row>
    <row r="11" spans="1:31" s="78" customFormat="1" x14ac:dyDescent="0.35">
      <c r="A11" s="119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120"/>
    </row>
    <row r="12" spans="1:31" x14ac:dyDescent="0.9">
      <c r="A12" s="117"/>
      <c r="B12" s="81" t="s">
        <v>16</v>
      </c>
      <c r="C12" s="82"/>
      <c r="D12" s="185">
        <f>'Total Summary'!E13</f>
        <v>442296296.60999995</v>
      </c>
      <c r="E12" s="185"/>
      <c r="F12" s="161"/>
      <c r="G12" s="183">
        <f>'Total Summary'!F13</f>
        <v>345332802.19</v>
      </c>
      <c r="H12" s="183"/>
      <c r="I12" s="161"/>
      <c r="J12" s="184">
        <f>'Total Summary'!G13</f>
        <v>96963494.419999987</v>
      </c>
      <c r="K12" s="184"/>
      <c r="M12" s="109"/>
      <c r="N12" s="109"/>
      <c r="R12" s="81" t="s">
        <v>8</v>
      </c>
      <c r="S12" s="82"/>
      <c r="T12" s="183">
        <f>'Total Summary'!E6</f>
        <v>160492128.61000001</v>
      </c>
      <c r="U12" s="183"/>
      <c r="V12" s="162"/>
      <c r="W12" s="183">
        <f>'Total Summary'!F6</f>
        <v>149812729.13</v>
      </c>
      <c r="X12" s="183"/>
      <c r="Y12" s="162"/>
      <c r="Z12" s="183">
        <f>'Total Summary'!G6</f>
        <v>10679399.480000004</v>
      </c>
      <c r="AA12" s="183"/>
      <c r="AB12" s="162"/>
      <c r="AC12" s="192">
        <f>'Total Summary'!H6</f>
        <v>0.41331059405439435</v>
      </c>
      <c r="AD12" s="192"/>
      <c r="AE12" s="118"/>
    </row>
    <row r="13" spans="1:31" x14ac:dyDescent="0.9">
      <c r="A13" s="117"/>
      <c r="B13" s="81" t="s">
        <v>17</v>
      </c>
      <c r="C13" s="82"/>
      <c r="D13" s="185">
        <f>'Total Summary'!E14</f>
        <v>546756552.70000005</v>
      </c>
      <c r="E13" s="185"/>
      <c r="F13" s="161"/>
      <c r="G13" s="184">
        <f>'Total Summary'!F14</f>
        <v>17137290</v>
      </c>
      <c r="H13" s="184"/>
      <c r="I13" s="161"/>
      <c r="J13" s="184">
        <f>'Total Summary'!G14</f>
        <v>-2692194</v>
      </c>
      <c r="K13" s="184"/>
      <c r="M13" s="109"/>
      <c r="N13" s="109"/>
      <c r="R13" s="81" t="s">
        <v>11</v>
      </c>
      <c r="S13" s="82"/>
      <c r="T13" s="183">
        <f>'Total Summary'!E8</f>
        <v>242800000</v>
      </c>
      <c r="U13" s="183"/>
      <c r="V13" s="162"/>
      <c r="W13" s="183">
        <f>'Total Summary'!F8</f>
        <v>173583841.98000002</v>
      </c>
      <c r="X13" s="183"/>
      <c r="Y13" s="162"/>
      <c r="Z13" s="183">
        <f>'Total Summary'!G8</f>
        <v>69216158.019999996</v>
      </c>
      <c r="AA13" s="183"/>
      <c r="AB13" s="162"/>
      <c r="AC13" s="192">
        <f>'Total Summary'!H8</f>
        <v>0.47889148848454682</v>
      </c>
      <c r="AD13" s="192"/>
      <c r="AE13" s="118"/>
    </row>
    <row r="14" spans="1:31" x14ac:dyDescent="0.9">
      <c r="A14" s="117"/>
      <c r="B14" s="78"/>
      <c r="M14" s="109"/>
      <c r="N14" s="109"/>
      <c r="R14" s="81" t="s">
        <v>10</v>
      </c>
      <c r="S14" s="82"/>
      <c r="T14" s="183">
        <f>'Total Summary'!E7</f>
        <v>39004168</v>
      </c>
      <c r="U14" s="183"/>
      <c r="V14" s="162"/>
      <c r="W14" s="183">
        <f>'Total Summary'!F7</f>
        <v>21936231.079999998</v>
      </c>
      <c r="X14" s="183"/>
      <c r="Y14" s="162"/>
      <c r="Z14" s="183">
        <f>'Total Summary'!G7</f>
        <v>17067936.920000002</v>
      </c>
      <c r="AA14" s="183"/>
      <c r="AB14" s="162"/>
      <c r="AC14" s="192">
        <f>'Total Summary'!H7</f>
        <v>6.0518733966336287E-2</v>
      </c>
      <c r="AD14" s="192"/>
      <c r="AE14" s="118"/>
    </row>
    <row r="15" spans="1:31" x14ac:dyDescent="0.35">
      <c r="A15" s="117"/>
      <c r="R15" s="78"/>
      <c r="AE15" s="118"/>
    </row>
    <row r="16" spans="1:31" ht="23" x14ac:dyDescent="0.9">
      <c r="A16" s="117"/>
      <c r="B16" s="79" t="s">
        <v>139</v>
      </c>
      <c r="C16" s="80"/>
      <c r="D16" s="182">
        <f>D13+D12</f>
        <v>989052849.30999994</v>
      </c>
      <c r="E16" s="182"/>
      <c r="F16" s="84"/>
      <c r="G16" s="182">
        <f>G13+G12</f>
        <v>362470092.19</v>
      </c>
      <c r="H16" s="182"/>
      <c r="I16" s="84"/>
      <c r="J16" s="182">
        <f>J13+J12</f>
        <v>94271300.419999987</v>
      </c>
      <c r="K16" s="182"/>
      <c r="L16" s="83"/>
      <c r="M16" s="110"/>
      <c r="N16" s="110"/>
      <c r="R16" s="79" t="s">
        <v>139</v>
      </c>
      <c r="S16" s="80"/>
      <c r="T16" s="182">
        <f>SUM(T12:U15)</f>
        <v>442296296.61000001</v>
      </c>
      <c r="U16" s="182"/>
      <c r="V16" s="163"/>
      <c r="W16" s="182">
        <f>SUM(W12:X15)</f>
        <v>345332802.19</v>
      </c>
      <c r="X16" s="182"/>
      <c r="Y16" s="163"/>
      <c r="Z16" s="182">
        <f>SUM(Z12:AA15)</f>
        <v>96963494.420000002</v>
      </c>
      <c r="AA16" s="182"/>
      <c r="AB16" s="80"/>
      <c r="AC16" s="170" t="s">
        <v>23</v>
      </c>
      <c r="AD16" s="171"/>
      <c r="AE16" s="118"/>
    </row>
    <row r="17" spans="1:31" ht="21.5" customHeight="1" x14ac:dyDescent="0.35">
      <c r="A17" s="117"/>
      <c r="L17" s="121"/>
      <c r="M17" s="121"/>
      <c r="N17" s="121"/>
      <c r="AE17" s="118"/>
    </row>
    <row r="18" spans="1:31" x14ac:dyDescent="0.35">
      <c r="A18" s="117"/>
      <c r="B18" s="164" t="s">
        <v>140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21"/>
      <c r="M18" s="121"/>
      <c r="N18" s="121"/>
      <c r="R18" s="164" t="s">
        <v>140</v>
      </c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18"/>
    </row>
    <row r="19" spans="1:31" x14ac:dyDescent="0.35">
      <c r="A19" s="117"/>
      <c r="AE19" s="118"/>
    </row>
    <row r="20" spans="1:31" x14ac:dyDescent="0.35">
      <c r="A20" s="179" t="s">
        <v>143</v>
      </c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Q20" s="180" t="s">
        <v>144</v>
      </c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1"/>
    </row>
    <row r="21" spans="1:31" x14ac:dyDescent="0.35">
      <c r="A21" s="117"/>
      <c r="AE21" s="118"/>
    </row>
    <row r="22" spans="1:31" ht="42" customHeight="1" x14ac:dyDescent="0.35">
      <c r="A22" s="117"/>
      <c r="C22" s="78"/>
      <c r="D22" s="176" t="s">
        <v>141</v>
      </c>
      <c r="E22" s="177"/>
      <c r="F22" s="78"/>
      <c r="G22" s="176" t="s">
        <v>16</v>
      </c>
      <c r="H22" s="177"/>
      <c r="I22" s="78"/>
      <c r="J22" s="176" t="s">
        <v>135</v>
      </c>
      <c r="K22" s="177"/>
      <c r="M22" s="176" t="s">
        <v>142</v>
      </c>
      <c r="N22" s="177"/>
      <c r="S22" s="78"/>
      <c r="T22" s="176" t="s">
        <v>16</v>
      </c>
      <c r="U22" s="177"/>
      <c r="V22" s="78"/>
      <c r="W22" s="176" t="s">
        <v>142</v>
      </c>
      <c r="X22" s="177"/>
      <c r="AE22" s="118"/>
    </row>
    <row r="23" spans="1:31" x14ac:dyDescent="0.35">
      <c r="A23" s="117"/>
      <c r="R23" s="78">
        <v>2025</v>
      </c>
      <c r="AE23" s="118"/>
    </row>
    <row r="24" spans="1:31" x14ac:dyDescent="0.9">
      <c r="A24" s="117"/>
      <c r="B24" s="81" t="s">
        <v>24</v>
      </c>
      <c r="C24" s="82"/>
      <c r="D24" s="165">
        <f>'Total Summary'!E20</f>
        <v>0</v>
      </c>
      <c r="E24" s="165"/>
      <c r="F24" s="82"/>
      <c r="G24" s="166">
        <f>'Total Summary'!F20</f>
        <v>0</v>
      </c>
      <c r="H24" s="166"/>
      <c r="I24" s="82"/>
      <c r="J24" s="166">
        <f>'Total Summary'!G20</f>
        <v>0</v>
      </c>
      <c r="K24" s="166"/>
      <c r="L24" s="82"/>
      <c r="M24" s="167" t="s">
        <v>23</v>
      </c>
      <c r="N24" s="167"/>
      <c r="R24" s="112" t="s">
        <v>145</v>
      </c>
      <c r="S24" s="112"/>
      <c r="T24" s="178">
        <f>'Total Summary'!F34</f>
        <v>4355584</v>
      </c>
      <c r="U24" s="178"/>
      <c r="V24" s="112"/>
      <c r="W24" s="172">
        <f>'Total Summary'!H34</f>
        <v>1.2016395542275207E-2</v>
      </c>
      <c r="X24" s="172"/>
      <c r="AE24" s="118"/>
    </row>
    <row r="25" spans="1:31" x14ac:dyDescent="0.9">
      <c r="A25" s="117"/>
      <c r="B25" s="81" t="s">
        <v>25</v>
      </c>
      <c r="C25" s="82"/>
      <c r="D25" s="165">
        <f>'Total Summary'!E21</f>
        <v>3</v>
      </c>
      <c r="E25" s="165"/>
      <c r="F25" s="82"/>
      <c r="G25" s="166">
        <f>'Total Summary'!F21</f>
        <v>28533905</v>
      </c>
      <c r="H25" s="166"/>
      <c r="I25" s="82"/>
      <c r="J25" s="166">
        <f>'Total Summary'!G21</f>
        <v>-2173246</v>
      </c>
      <c r="K25" s="166"/>
      <c r="L25" s="82"/>
      <c r="M25" s="167" t="s">
        <v>23</v>
      </c>
      <c r="N25" s="167"/>
      <c r="R25" s="113"/>
      <c r="S25" s="113"/>
      <c r="T25" s="113"/>
      <c r="U25" s="113"/>
      <c r="V25" s="113"/>
      <c r="W25" s="113"/>
      <c r="X25" s="113"/>
      <c r="AE25" s="118"/>
    </row>
    <row r="26" spans="1:31" x14ac:dyDescent="0.9">
      <c r="A26" s="117"/>
      <c r="B26" s="81" t="s">
        <v>26</v>
      </c>
      <c r="C26" s="82"/>
      <c r="D26" s="165">
        <f>'Total Summary'!E22</f>
        <v>3</v>
      </c>
      <c r="E26" s="165"/>
      <c r="F26" s="82"/>
      <c r="G26" s="166">
        <f>'Total Summary'!F22</f>
        <v>50841356</v>
      </c>
      <c r="H26" s="166"/>
      <c r="I26" s="82"/>
      <c r="J26" s="166">
        <f>'Total Summary'!G22</f>
        <v>3656010.2100000009</v>
      </c>
      <c r="K26" s="166"/>
      <c r="L26" s="82"/>
      <c r="M26" s="167" t="s">
        <v>23</v>
      </c>
      <c r="N26" s="167"/>
      <c r="R26" s="78">
        <v>2026</v>
      </c>
      <c r="AE26" s="118"/>
    </row>
    <row r="27" spans="1:31" x14ac:dyDescent="0.9">
      <c r="A27" s="117"/>
      <c r="B27" s="81" t="s">
        <v>27</v>
      </c>
      <c r="C27" s="82"/>
      <c r="D27" s="165">
        <f>'Total Summary'!E23</f>
        <v>4</v>
      </c>
      <c r="E27" s="165"/>
      <c r="F27" s="82"/>
      <c r="G27" s="166">
        <f>'Total Summary'!F23</f>
        <v>47288743.079999998</v>
      </c>
      <c r="H27" s="166"/>
      <c r="I27" s="82"/>
      <c r="J27" s="166">
        <f>'Total Summary'!G23</f>
        <v>29224256.920000002</v>
      </c>
      <c r="K27" s="166"/>
      <c r="L27" s="82"/>
      <c r="M27" s="167" t="s">
        <v>23</v>
      </c>
      <c r="N27" s="167"/>
      <c r="R27" s="125" t="s">
        <v>146</v>
      </c>
      <c r="S27" s="125"/>
      <c r="T27" s="173">
        <f>'Total Summary'!F35</f>
        <v>26978980</v>
      </c>
      <c r="U27" s="173"/>
      <c r="V27" s="125"/>
      <c r="W27" s="172">
        <f>'Total Summary'!H35</f>
        <v>7.4430913284448647E-2</v>
      </c>
      <c r="X27" s="172"/>
      <c r="AE27" s="118"/>
    </row>
    <row r="28" spans="1:31" x14ac:dyDescent="0.9">
      <c r="A28" s="117"/>
      <c r="B28" s="81" t="s">
        <v>28</v>
      </c>
      <c r="C28" s="82"/>
      <c r="D28" s="165">
        <f>'Total Summary'!E24</f>
        <v>3</v>
      </c>
      <c r="E28" s="165"/>
      <c r="F28" s="82"/>
      <c r="G28" s="166">
        <f>'Total Summary'!F24</f>
        <v>6670883</v>
      </c>
      <c r="H28" s="166"/>
      <c r="I28" s="82"/>
      <c r="J28" s="166">
        <f>'Total Summary'!G24</f>
        <v>2132940</v>
      </c>
      <c r="K28" s="166"/>
      <c r="L28" s="82"/>
      <c r="M28" s="167" t="s">
        <v>23</v>
      </c>
      <c r="N28" s="167"/>
      <c r="R28" s="82" t="s">
        <v>147</v>
      </c>
      <c r="S28" s="82"/>
      <c r="T28" s="173">
        <f>'Total Summary'!F36</f>
        <v>1969878.1500000001</v>
      </c>
      <c r="U28" s="173"/>
      <c r="V28" s="82"/>
      <c r="W28" s="172">
        <f>'Total Summary'!H36</f>
        <v>5.4345949981645016E-3</v>
      </c>
      <c r="X28" s="172"/>
      <c r="AE28" s="118"/>
    </row>
    <row r="29" spans="1:31" x14ac:dyDescent="0.9">
      <c r="A29" s="117"/>
      <c r="B29" s="81" t="s">
        <v>29</v>
      </c>
      <c r="C29" s="82"/>
      <c r="D29" s="165">
        <f>'Total Summary'!E25</f>
        <v>0</v>
      </c>
      <c r="E29" s="165"/>
      <c r="F29" s="82"/>
      <c r="G29" s="166">
        <f>'Total Summary'!F25</f>
        <v>0</v>
      </c>
      <c r="H29" s="166"/>
      <c r="I29" s="82"/>
      <c r="J29" s="166">
        <f>'Total Summary'!G25</f>
        <v>0</v>
      </c>
      <c r="K29" s="166"/>
      <c r="L29" s="82"/>
      <c r="M29" s="167" t="s">
        <v>23</v>
      </c>
      <c r="N29" s="167"/>
      <c r="R29" s="82" t="s">
        <v>148</v>
      </c>
      <c r="S29" s="82"/>
      <c r="T29" s="173">
        <f>'Total Summary'!F37</f>
        <v>10704455.48</v>
      </c>
      <c r="U29" s="173"/>
      <c r="V29" s="82"/>
      <c r="W29" s="172">
        <f>'Total Summary'!H37</f>
        <v>2.9531968873142023E-2</v>
      </c>
      <c r="X29" s="172"/>
      <c r="AE29" s="118"/>
    </row>
    <row r="30" spans="1:31" x14ac:dyDescent="0.9">
      <c r="A30" s="117"/>
      <c r="B30" s="81" t="s">
        <v>30</v>
      </c>
      <c r="C30" s="82"/>
      <c r="D30" s="165">
        <f>'Total Summary'!E26</f>
        <v>3</v>
      </c>
      <c r="E30" s="165"/>
      <c r="F30" s="82"/>
      <c r="G30" s="166">
        <f>'Total Summary'!F26</f>
        <v>178625460.90000001</v>
      </c>
      <c r="H30" s="166"/>
      <c r="I30" s="82"/>
      <c r="J30" s="166">
        <f>'Total Summary'!G26</f>
        <v>62326070.100000001</v>
      </c>
      <c r="K30" s="166"/>
      <c r="L30" s="82"/>
      <c r="M30" s="167" t="s">
        <v>23</v>
      </c>
      <c r="N30" s="167"/>
      <c r="R30" s="82" t="s">
        <v>149</v>
      </c>
      <c r="S30" s="82"/>
      <c r="T30" s="173">
        <f>'Total Summary'!F38</f>
        <v>160779306.98000002</v>
      </c>
      <c r="U30" s="173"/>
      <c r="V30" s="82"/>
      <c r="W30" s="172">
        <f>'Total Summary'!H38</f>
        <v>0.44356571878411005</v>
      </c>
      <c r="X30" s="172"/>
      <c r="AE30" s="118"/>
    </row>
    <row r="31" spans="1:31" x14ac:dyDescent="0.9">
      <c r="A31" s="117"/>
      <c r="B31" s="81" t="s">
        <v>31</v>
      </c>
      <c r="C31" s="82"/>
      <c r="D31" s="165">
        <f>'Total Summary'!E27</f>
        <v>6</v>
      </c>
      <c r="E31" s="165"/>
      <c r="F31" s="82"/>
      <c r="G31" s="166">
        <f>'Total Summary'!F27</f>
        <v>28112521.629999999</v>
      </c>
      <c r="H31" s="166"/>
      <c r="I31" s="82"/>
      <c r="J31" s="166">
        <f>'Total Summary'!G27</f>
        <v>2448906.2100000009</v>
      </c>
      <c r="K31" s="166"/>
      <c r="L31" s="82"/>
      <c r="M31" s="167" t="s">
        <v>23</v>
      </c>
      <c r="N31" s="167"/>
      <c r="R31" s="82" t="s">
        <v>150</v>
      </c>
      <c r="S31" s="82"/>
      <c r="T31" s="173">
        <f>'Total Summary'!F39</f>
        <v>115750090.58000001</v>
      </c>
      <c r="U31" s="173"/>
      <c r="V31" s="82"/>
      <c r="W31" s="172">
        <f>'Total Summary'!H39</f>
        <v>0.31933694137536173</v>
      </c>
      <c r="X31" s="172"/>
      <c r="AE31" s="118"/>
    </row>
    <row r="32" spans="1:31" x14ac:dyDescent="0.9">
      <c r="A32" s="117"/>
      <c r="B32" s="81" t="s">
        <v>157</v>
      </c>
      <c r="C32" s="82"/>
      <c r="D32" s="165">
        <f>'Total Summary'!E28</f>
        <v>2</v>
      </c>
      <c r="E32" s="165"/>
      <c r="F32" s="82"/>
      <c r="G32" s="166">
        <f>'Total Summary'!F28</f>
        <v>5259932.58</v>
      </c>
      <c r="H32" s="166"/>
      <c r="I32" s="82"/>
      <c r="J32" s="166">
        <f>'Total Summary'!G28</f>
        <v>-651443.02000000048</v>
      </c>
      <c r="K32" s="166"/>
      <c r="L32" s="82"/>
      <c r="M32" s="167" t="s">
        <v>23</v>
      </c>
      <c r="N32" s="167"/>
      <c r="R32" s="82" t="s">
        <v>151</v>
      </c>
      <c r="S32" s="82"/>
      <c r="T32" s="173">
        <f>'Total Summary'!F40</f>
        <v>41931797</v>
      </c>
      <c r="U32" s="173"/>
      <c r="V32" s="82"/>
      <c r="W32" s="172">
        <f>'Total Summary'!H40</f>
        <v>0.11568346714249775</v>
      </c>
      <c r="X32" s="172"/>
      <c r="AE32" s="118"/>
    </row>
    <row r="33" spans="1:31" x14ac:dyDescent="0.9">
      <c r="A33" s="117"/>
      <c r="R33" s="82" t="s">
        <v>152</v>
      </c>
      <c r="S33" s="82"/>
      <c r="T33" s="173">
        <f>'Total Summary'!F41</f>
        <v>0</v>
      </c>
      <c r="U33" s="173"/>
      <c r="V33" s="82"/>
      <c r="W33" s="172">
        <f>'Total Summary'!H41</f>
        <v>0</v>
      </c>
      <c r="X33" s="172"/>
      <c r="AE33" s="118"/>
    </row>
    <row r="34" spans="1:31" ht="23" x14ac:dyDescent="0.9">
      <c r="A34" s="117"/>
      <c r="B34" s="79" t="s">
        <v>139</v>
      </c>
      <c r="C34" s="80"/>
      <c r="D34" s="168">
        <f>SUM(D23:E33)</f>
        <v>24</v>
      </c>
      <c r="E34" s="168"/>
      <c r="F34" s="80"/>
      <c r="G34" s="168">
        <f>SUM(G23:H33)</f>
        <v>345332802.19</v>
      </c>
      <c r="H34" s="168"/>
      <c r="I34" s="80"/>
      <c r="J34" s="168">
        <f>SUM(J23:K33)</f>
        <v>96963494.420000002</v>
      </c>
      <c r="K34" s="168"/>
      <c r="L34" s="80"/>
      <c r="M34" s="174">
        <v>0</v>
      </c>
      <c r="N34" s="175"/>
      <c r="R34" s="82" t="s">
        <v>153</v>
      </c>
      <c r="S34" s="82"/>
      <c r="T34" s="173">
        <f>'Total Summary'!F41</f>
        <v>0</v>
      </c>
      <c r="U34" s="173"/>
      <c r="V34" s="82"/>
      <c r="W34" s="172">
        <f>'Total Summary'!H42</f>
        <v>0</v>
      </c>
      <c r="X34" s="172"/>
      <c r="Z34" s="169" t="s">
        <v>139</v>
      </c>
      <c r="AA34" s="170"/>
      <c r="AB34" s="84">
        <f>SUM(AB20:AC22)</f>
        <v>0</v>
      </c>
      <c r="AC34" s="168">
        <f>SUM(T24:U38)</f>
        <v>362470092.19000006</v>
      </c>
      <c r="AD34" s="168"/>
      <c r="AE34" s="118"/>
    </row>
    <row r="35" spans="1:31" x14ac:dyDescent="0.9">
      <c r="A35" s="117"/>
      <c r="R35" s="82" t="s">
        <v>154</v>
      </c>
      <c r="S35" s="82"/>
      <c r="T35" s="173">
        <f>'Total Summary'!F42</f>
        <v>0</v>
      </c>
      <c r="U35" s="173"/>
      <c r="V35" s="82"/>
      <c r="W35" s="172">
        <f>'Total Summary'!H43</f>
        <v>0</v>
      </c>
      <c r="X35" s="172"/>
      <c r="AE35" s="118"/>
    </row>
    <row r="36" spans="1:31" ht="23" x14ac:dyDescent="0.9">
      <c r="A36" s="117"/>
      <c r="B36" s="164" t="s">
        <v>140</v>
      </c>
      <c r="C36" s="164"/>
      <c r="D36" s="164"/>
      <c r="E36" s="164"/>
      <c r="F36" s="164"/>
      <c r="G36" s="164"/>
      <c r="H36" s="164"/>
      <c r="I36" s="164"/>
      <c r="J36" s="164"/>
      <c r="K36" s="164"/>
      <c r="R36" s="82" t="s">
        <v>155</v>
      </c>
      <c r="S36" s="82"/>
      <c r="T36" s="173">
        <f>'Total Summary'!F48</f>
        <v>0</v>
      </c>
      <c r="U36" s="173"/>
      <c r="V36" s="82"/>
      <c r="W36" s="172">
        <f>'Total Summary'!H44</f>
        <v>0</v>
      </c>
      <c r="X36" s="172"/>
      <c r="AC36" s="169" t="s">
        <v>23</v>
      </c>
      <c r="AD36" s="171"/>
      <c r="AE36" s="118"/>
    </row>
    <row r="37" spans="1:31" x14ac:dyDescent="0.9">
      <c r="A37" s="117"/>
      <c r="R37" s="82" t="s">
        <v>156</v>
      </c>
      <c r="S37" s="82"/>
      <c r="T37" s="173"/>
      <c r="U37" s="173"/>
      <c r="V37" s="82"/>
      <c r="W37" s="172">
        <f>'Total Summary'!H45</f>
        <v>0</v>
      </c>
      <c r="X37" s="172"/>
      <c r="AE37" s="118"/>
    </row>
    <row r="38" spans="1:31" x14ac:dyDescent="0.9">
      <c r="A38" s="117"/>
      <c r="R38" s="112" t="s">
        <v>145</v>
      </c>
      <c r="S38" s="112"/>
      <c r="T38" s="173">
        <f>'Total Summary'!F50</f>
        <v>0</v>
      </c>
      <c r="U38" s="173"/>
      <c r="V38" s="112"/>
      <c r="W38" s="172">
        <f>'Total Summary'!H46</f>
        <v>0</v>
      </c>
      <c r="X38" s="172"/>
      <c r="AE38" s="118"/>
    </row>
    <row r="39" spans="1:31" ht="21.5" customHeight="1" x14ac:dyDescent="0.35">
      <c r="A39" s="117"/>
      <c r="AE39" s="118"/>
    </row>
    <row r="40" spans="1:31" x14ac:dyDescent="0.35">
      <c r="A40" s="117"/>
      <c r="R40" s="164" t="s">
        <v>140</v>
      </c>
      <c r="S40" s="164"/>
      <c r="T40" s="164"/>
      <c r="U40" s="164"/>
      <c r="V40" s="164"/>
      <c r="W40" s="164"/>
      <c r="X40" s="164"/>
      <c r="Y40" s="164"/>
      <c r="Z40" s="164"/>
      <c r="AA40" s="164"/>
      <c r="AE40" s="118"/>
    </row>
    <row r="41" spans="1:31" ht="22" thickBot="1" x14ac:dyDescent="0.4">
      <c r="A41" s="122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4"/>
    </row>
  </sheetData>
  <mergeCells count="117">
    <mergeCell ref="Q8:AE8"/>
    <mergeCell ref="AC12:AD12"/>
    <mergeCell ref="T13:U13"/>
    <mergeCell ref="W13:X13"/>
    <mergeCell ref="Z13:AA13"/>
    <mergeCell ref="AC13:AD13"/>
    <mergeCell ref="T10:U10"/>
    <mergeCell ref="W10:X10"/>
    <mergeCell ref="Z10:AA10"/>
    <mergeCell ref="AC10:AD10"/>
    <mergeCell ref="G12:H12"/>
    <mergeCell ref="J12:K12"/>
    <mergeCell ref="D13:E13"/>
    <mergeCell ref="G13:H13"/>
    <mergeCell ref="J13:K13"/>
    <mergeCell ref="R18:AD18"/>
    <mergeCell ref="A4:AE4"/>
    <mergeCell ref="A6:AE6"/>
    <mergeCell ref="A8:O8"/>
    <mergeCell ref="D10:E10"/>
    <mergeCell ref="G10:H10"/>
    <mergeCell ref="J10:K10"/>
    <mergeCell ref="D12:E12"/>
    <mergeCell ref="T14:U14"/>
    <mergeCell ref="W14:X14"/>
    <mergeCell ref="Z14:AA14"/>
    <mergeCell ref="AC14:AD14"/>
    <mergeCell ref="T16:U16"/>
    <mergeCell ref="W16:X16"/>
    <mergeCell ref="Z16:AA16"/>
    <mergeCell ref="AC16:AD16"/>
    <mergeCell ref="T12:U12"/>
    <mergeCell ref="W12:X12"/>
    <mergeCell ref="Z12:AA12"/>
    <mergeCell ref="B18:K18"/>
    <mergeCell ref="A20:O20"/>
    <mergeCell ref="Q20:AE20"/>
    <mergeCell ref="D22:E22"/>
    <mergeCell ref="G22:H22"/>
    <mergeCell ref="J22:K22"/>
    <mergeCell ref="M22:N22"/>
    <mergeCell ref="T22:U22"/>
    <mergeCell ref="D16:E16"/>
    <mergeCell ref="G16:H16"/>
    <mergeCell ref="J16:K16"/>
    <mergeCell ref="T28:U28"/>
    <mergeCell ref="W28:X28"/>
    <mergeCell ref="T29:U29"/>
    <mergeCell ref="W29:X29"/>
    <mergeCell ref="T30:U30"/>
    <mergeCell ref="W30:X30"/>
    <mergeCell ref="W22:X22"/>
    <mergeCell ref="T24:U24"/>
    <mergeCell ref="W24:X24"/>
    <mergeCell ref="T27:U27"/>
    <mergeCell ref="W27:X27"/>
    <mergeCell ref="D24:E24"/>
    <mergeCell ref="G24:H24"/>
    <mergeCell ref="J24:K24"/>
    <mergeCell ref="M24:N24"/>
    <mergeCell ref="D25:E25"/>
    <mergeCell ref="G25:H25"/>
    <mergeCell ref="J25:K25"/>
    <mergeCell ref="M25:N25"/>
    <mergeCell ref="W38:X38"/>
    <mergeCell ref="T38:U38"/>
    <mergeCell ref="D34:E34"/>
    <mergeCell ref="G34:H34"/>
    <mergeCell ref="J34:K34"/>
    <mergeCell ref="M34:N34"/>
    <mergeCell ref="B36:K36"/>
    <mergeCell ref="T36:U36"/>
    <mergeCell ref="W36:X36"/>
    <mergeCell ref="T37:U37"/>
    <mergeCell ref="W37:X37"/>
    <mergeCell ref="T33:U33"/>
    <mergeCell ref="W33:X33"/>
    <mergeCell ref="T34:U34"/>
    <mergeCell ref="W34:X34"/>
    <mergeCell ref="T35:U35"/>
    <mergeCell ref="D28:E28"/>
    <mergeCell ref="G28:H28"/>
    <mergeCell ref="J28:K28"/>
    <mergeCell ref="M28:N28"/>
    <mergeCell ref="D29:E29"/>
    <mergeCell ref="G29:H29"/>
    <mergeCell ref="J29:K29"/>
    <mergeCell ref="M29:N29"/>
    <mergeCell ref="D26:E26"/>
    <mergeCell ref="G26:H26"/>
    <mergeCell ref="J26:K26"/>
    <mergeCell ref="M26:N26"/>
    <mergeCell ref="D27:E27"/>
    <mergeCell ref="G27:H27"/>
    <mergeCell ref="J27:K27"/>
    <mergeCell ref="M27:N27"/>
    <mergeCell ref="R40:AA40"/>
    <mergeCell ref="D32:E32"/>
    <mergeCell ref="G32:H32"/>
    <mergeCell ref="J32:K32"/>
    <mergeCell ref="M32:N32"/>
    <mergeCell ref="AC34:AD34"/>
    <mergeCell ref="Z34:AA34"/>
    <mergeCell ref="D30:E30"/>
    <mergeCell ref="G30:H30"/>
    <mergeCell ref="J30:K30"/>
    <mergeCell ref="M30:N30"/>
    <mergeCell ref="D31:E31"/>
    <mergeCell ref="G31:H31"/>
    <mergeCell ref="J31:K31"/>
    <mergeCell ref="M31:N31"/>
    <mergeCell ref="AC36:AD36"/>
    <mergeCell ref="W35:X35"/>
    <mergeCell ref="T31:U31"/>
    <mergeCell ref="W31:X31"/>
    <mergeCell ref="T32:U32"/>
    <mergeCell ref="W32:X32"/>
  </mergeCells>
  <phoneticPr fontId="31" type="noConversion"/>
  <dataValidations disablePrompts="1" count="1">
    <dataValidation type="list" allowBlank="1" showInputMessage="1" showErrorMessage="1" sqref="R23 R26" xr:uid="{96C768E3-2DCD-4D2D-86BE-91ACC8D75D5E}">
      <formula1>"2025, 2026, 2027,2028, 2029, 2030"</formula1>
    </dataValidation>
  </dataValidations>
  <printOptions horizontalCentered="1"/>
  <pageMargins left="0.98425196850393704" right="0.98425196850393704" top="0.98425196850393704" bottom="0.98425196850393704" header="0.51181102362204722" footer="0.51181102362204722"/>
  <pageSetup paperSize="9" scale="4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2:Q195"/>
  <sheetViews>
    <sheetView showGridLines="0" tabSelected="1" view="pageBreakPreview" zoomScale="85" zoomScaleNormal="90" zoomScaleSheetLayoutView="85" zoomScalePageLayoutView="70" workbookViewId="0">
      <pane ySplit="3" topLeftCell="A25" activePane="bottomLeft" state="frozen"/>
      <selection activeCell="B1" sqref="B1"/>
      <selection pane="bottomLeft" activeCell="G103" sqref="G103"/>
    </sheetView>
  </sheetViews>
  <sheetFormatPr defaultColWidth="8.54296875" defaultRowHeight="17" x14ac:dyDescent="0.35"/>
  <cols>
    <col min="1" max="1" width="2.1796875" style="85" customWidth="1"/>
    <col min="2" max="2" width="5.81640625" style="99" customWidth="1"/>
    <col min="3" max="3" width="36.453125" style="85" customWidth="1"/>
    <col min="4" max="4" width="33.81640625" style="85" customWidth="1"/>
    <col min="5" max="5" width="20.36328125" style="85" customWidth="1"/>
    <col min="6" max="6" width="24.36328125" style="85" customWidth="1"/>
    <col min="7" max="7" width="20.1796875" style="87" customWidth="1"/>
    <col min="8" max="8" width="20.1796875" style="88" customWidth="1"/>
    <col min="9" max="9" width="19.81640625" style="89" customWidth="1"/>
    <col min="10" max="10" width="11.81640625" style="85" customWidth="1"/>
    <col min="11" max="11" width="14.81640625" style="85" customWidth="1"/>
    <col min="12" max="12" width="13" style="85" customWidth="1"/>
    <col min="13" max="13" width="10.1796875" style="85" customWidth="1"/>
    <col min="14" max="14" width="8.81640625" style="85" customWidth="1"/>
    <col min="15" max="15" width="32.453125" style="90" customWidth="1"/>
    <col min="16" max="16" width="8.81640625" style="85" customWidth="1"/>
    <col min="17" max="16384" width="8.54296875" style="85"/>
  </cols>
  <sheetData>
    <row r="2" spans="1:17" ht="24" customHeight="1" x14ac:dyDescent="0.35">
      <c r="B2" s="86" t="s">
        <v>41</v>
      </c>
    </row>
    <row r="3" spans="1:17" ht="31.5" customHeight="1" x14ac:dyDescent="0.35">
      <c r="B3" s="91" t="s">
        <v>42</v>
      </c>
      <c r="C3" s="92" t="s">
        <v>43</v>
      </c>
      <c r="D3" s="92" t="s">
        <v>44</v>
      </c>
      <c r="E3" s="92" t="s">
        <v>45</v>
      </c>
      <c r="F3" s="92" t="s">
        <v>46</v>
      </c>
      <c r="G3" s="93" t="s">
        <v>47</v>
      </c>
      <c r="H3" s="93" t="s">
        <v>48</v>
      </c>
      <c r="I3" s="94" t="s">
        <v>49</v>
      </c>
      <c r="J3" s="92" t="s">
        <v>50</v>
      </c>
      <c r="K3" s="92" t="s">
        <v>36</v>
      </c>
      <c r="L3" s="92" t="s">
        <v>51</v>
      </c>
      <c r="M3" s="92" t="s">
        <v>52</v>
      </c>
      <c r="N3" s="92" t="s">
        <v>53</v>
      </c>
      <c r="O3" s="95" t="s">
        <v>54</v>
      </c>
    </row>
    <row r="4" spans="1:17" x14ac:dyDescent="0.35">
      <c r="B4" s="154"/>
      <c r="C4" s="155"/>
      <c r="D4" s="156"/>
      <c r="E4" s="156"/>
      <c r="F4" s="156"/>
      <c r="G4" s="157"/>
      <c r="H4" s="158"/>
      <c r="I4" s="159"/>
      <c r="J4" s="155"/>
      <c r="K4" s="155"/>
      <c r="L4" s="155"/>
      <c r="M4" s="155"/>
      <c r="N4" s="155"/>
      <c r="O4" s="160"/>
      <c r="P4" s="96"/>
      <c r="Q4" s="96"/>
    </row>
    <row r="5" spans="1:17" ht="21" customHeight="1" x14ac:dyDescent="0.35">
      <c r="A5" s="97"/>
      <c r="B5" s="126">
        <v>1</v>
      </c>
      <c r="C5" s="127" t="s">
        <v>55</v>
      </c>
      <c r="D5" s="128"/>
      <c r="E5" s="128"/>
      <c r="F5" s="128"/>
      <c r="G5" s="129">
        <f>SUM(G6:G14)</f>
        <v>38554160.560000002</v>
      </c>
      <c r="H5" s="130">
        <f>SUM(H6:H14)</f>
        <v>34234823.07</v>
      </c>
      <c r="I5" s="130">
        <f>SUM(I6:I14)</f>
        <v>4319337.4900000012</v>
      </c>
      <c r="J5" s="131"/>
      <c r="K5" s="131"/>
      <c r="L5" s="132"/>
      <c r="M5" s="132"/>
      <c r="N5" s="132"/>
      <c r="O5" s="133"/>
    </row>
    <row r="6" spans="1:17" x14ac:dyDescent="0.35">
      <c r="B6" s="134">
        <v>1</v>
      </c>
      <c r="C6" s="135"/>
      <c r="D6" s="136" t="s">
        <v>56</v>
      </c>
      <c r="E6" s="136" t="s">
        <v>57</v>
      </c>
      <c r="F6" s="136" t="s">
        <v>58</v>
      </c>
      <c r="G6" s="137">
        <v>309296</v>
      </c>
      <c r="H6" s="138">
        <v>238510</v>
      </c>
      <c r="I6" s="139">
        <f t="shared" ref="I6:I14" si="0">IF(H6&gt;0,G6-H6,"")</f>
        <v>70786</v>
      </c>
      <c r="J6" s="140">
        <v>46153</v>
      </c>
      <c r="K6" s="135" t="str">
        <f t="shared" ref="K6:K14" si="1">TEXT(J6,"mmm yyyy")</f>
        <v>May 2026</v>
      </c>
      <c r="L6" s="135" t="s">
        <v>28</v>
      </c>
      <c r="M6" s="135" t="s">
        <v>8</v>
      </c>
      <c r="N6" s="135" t="s">
        <v>16</v>
      </c>
      <c r="O6" s="141" t="s">
        <v>59</v>
      </c>
    </row>
    <row r="7" spans="1:17" x14ac:dyDescent="0.35">
      <c r="B7" s="142">
        <f t="shared" ref="B7:B13" si="2">IF(D7&gt;0,B6+1,"")</f>
        <v>2</v>
      </c>
      <c r="C7" s="135"/>
      <c r="D7" s="136" t="s">
        <v>60</v>
      </c>
      <c r="E7" s="136" t="s">
        <v>57</v>
      </c>
      <c r="F7" s="136" t="s">
        <v>61</v>
      </c>
      <c r="G7" s="137">
        <v>23043531</v>
      </c>
      <c r="H7" s="138">
        <v>25437103.489999998</v>
      </c>
      <c r="I7" s="139">
        <f t="shared" si="0"/>
        <v>-2393572.4899999984</v>
      </c>
      <c r="J7" s="140">
        <v>46150</v>
      </c>
      <c r="K7" s="135" t="str">
        <f t="shared" si="1"/>
        <v>May 2026</v>
      </c>
      <c r="L7" s="135" t="s">
        <v>30</v>
      </c>
      <c r="M7" s="135" t="s">
        <v>8</v>
      </c>
      <c r="N7" s="135" t="s">
        <v>16</v>
      </c>
      <c r="O7" s="141" t="s">
        <v>59</v>
      </c>
    </row>
    <row r="8" spans="1:17" x14ac:dyDescent="0.35">
      <c r="B8" s="142">
        <f t="shared" si="2"/>
        <v>3</v>
      </c>
      <c r="C8" s="135"/>
      <c r="D8" s="136" t="s">
        <v>62</v>
      </c>
      <c r="E8" s="136" t="s">
        <v>63</v>
      </c>
      <c r="F8" s="136" t="s">
        <v>64</v>
      </c>
      <c r="G8" s="137">
        <v>10000000</v>
      </c>
      <c r="H8" s="138">
        <v>2801886</v>
      </c>
      <c r="I8" s="139">
        <f t="shared" si="0"/>
        <v>7198114</v>
      </c>
      <c r="J8" s="140">
        <v>46149</v>
      </c>
      <c r="K8" s="135" t="str">
        <f t="shared" si="1"/>
        <v>May 2026</v>
      </c>
      <c r="L8" s="135" t="s">
        <v>26</v>
      </c>
      <c r="M8" s="135" t="s">
        <v>8</v>
      </c>
      <c r="N8" s="135" t="s">
        <v>16</v>
      </c>
      <c r="O8" s="141" t="s">
        <v>59</v>
      </c>
    </row>
    <row r="9" spans="1:17" x14ac:dyDescent="0.35">
      <c r="B9" s="142">
        <f t="shared" si="2"/>
        <v>4</v>
      </c>
      <c r="C9" s="135"/>
      <c r="D9" s="136" t="s">
        <v>65</v>
      </c>
      <c r="E9" s="136" t="s">
        <v>57</v>
      </c>
      <c r="F9" s="136" t="s">
        <v>66</v>
      </c>
      <c r="G9" s="137">
        <v>592844</v>
      </c>
      <c r="H9" s="138">
        <v>497391</v>
      </c>
      <c r="I9" s="139">
        <f t="shared" si="0"/>
        <v>95453</v>
      </c>
      <c r="J9" s="140">
        <v>46141</v>
      </c>
      <c r="K9" s="135" t="str">
        <f t="shared" si="1"/>
        <v>Apr 2026</v>
      </c>
      <c r="L9" s="135" t="s">
        <v>25</v>
      </c>
      <c r="M9" s="135" t="s">
        <v>8</v>
      </c>
      <c r="N9" s="135" t="s">
        <v>16</v>
      </c>
      <c r="O9" s="141" t="s">
        <v>59</v>
      </c>
    </row>
    <row r="10" spans="1:17" x14ac:dyDescent="0.35">
      <c r="B10" s="142">
        <f t="shared" si="2"/>
        <v>5</v>
      </c>
      <c r="C10" s="135"/>
      <c r="D10" s="135" t="s">
        <v>67</v>
      </c>
      <c r="E10" s="135" t="s">
        <v>57</v>
      </c>
      <c r="F10" s="135" t="s">
        <v>68</v>
      </c>
      <c r="G10" s="138">
        <v>4608489.5599999996</v>
      </c>
      <c r="H10" s="138">
        <v>5259932.58</v>
      </c>
      <c r="I10" s="139">
        <f t="shared" si="0"/>
        <v>-651443.02000000048</v>
      </c>
      <c r="J10" s="140">
        <v>46153</v>
      </c>
      <c r="K10" s="135" t="str">
        <f t="shared" si="1"/>
        <v>May 2026</v>
      </c>
      <c r="L10" s="135" t="s">
        <v>32</v>
      </c>
      <c r="M10" s="135" t="s">
        <v>8</v>
      </c>
      <c r="N10" s="135" t="s">
        <v>16</v>
      </c>
      <c r="O10" s="141" t="s">
        <v>59</v>
      </c>
    </row>
    <row r="11" spans="1:17" x14ac:dyDescent="0.35">
      <c r="B11" s="142">
        <f t="shared" si="2"/>
        <v>6</v>
      </c>
      <c r="C11" s="135"/>
      <c r="D11" s="135" t="s">
        <v>69</v>
      </c>
      <c r="E11" s="135" t="s">
        <v>57</v>
      </c>
      <c r="F11" s="135"/>
      <c r="G11" s="143"/>
      <c r="H11" s="144"/>
      <c r="I11" s="139" t="str">
        <f t="shared" si="0"/>
        <v/>
      </c>
      <c r="J11" s="135"/>
      <c r="K11" s="135" t="str">
        <f t="shared" si="1"/>
        <v>Jan 1900</v>
      </c>
      <c r="L11" s="135" t="s">
        <v>28</v>
      </c>
      <c r="M11" s="135" t="s">
        <v>8</v>
      </c>
      <c r="N11" s="135" t="s">
        <v>17</v>
      </c>
      <c r="O11" s="141" t="s">
        <v>59</v>
      </c>
    </row>
    <row r="12" spans="1:17" x14ac:dyDescent="0.35">
      <c r="B12" s="142">
        <f t="shared" si="2"/>
        <v>7</v>
      </c>
      <c r="C12" s="135"/>
      <c r="D12" s="135" t="s">
        <v>70</v>
      </c>
      <c r="E12" s="135" t="s">
        <v>57</v>
      </c>
      <c r="F12" s="135"/>
      <c r="G12" s="143"/>
      <c r="H12" s="144"/>
      <c r="I12" s="139" t="str">
        <f t="shared" si="0"/>
        <v/>
      </c>
      <c r="J12" s="135"/>
      <c r="K12" s="135" t="str">
        <f t="shared" si="1"/>
        <v>Jan 1900</v>
      </c>
      <c r="L12" s="135" t="s">
        <v>28</v>
      </c>
      <c r="M12" s="135" t="s">
        <v>8</v>
      </c>
      <c r="N12" s="135" t="s">
        <v>17</v>
      </c>
      <c r="O12" s="141" t="s">
        <v>59</v>
      </c>
    </row>
    <row r="13" spans="1:17" x14ac:dyDescent="0.35">
      <c r="B13" s="142" t="str">
        <f t="shared" si="2"/>
        <v/>
      </c>
      <c r="C13" s="135"/>
      <c r="D13" s="135"/>
      <c r="E13" s="135"/>
      <c r="F13" s="135"/>
      <c r="G13" s="143"/>
      <c r="H13" s="144"/>
      <c r="I13" s="139" t="str">
        <f t="shared" si="0"/>
        <v/>
      </c>
      <c r="J13" s="135"/>
      <c r="K13" s="135" t="str">
        <f t="shared" si="1"/>
        <v>Jan 1900</v>
      </c>
      <c r="L13" s="135"/>
      <c r="M13" s="135"/>
      <c r="N13" s="135"/>
      <c r="O13" s="141"/>
    </row>
    <row r="14" spans="1:17" x14ac:dyDescent="0.35">
      <c r="B14" s="142"/>
      <c r="C14" s="135"/>
      <c r="D14" s="135"/>
      <c r="E14" s="135"/>
      <c r="F14" s="135"/>
      <c r="G14" s="143"/>
      <c r="H14" s="144"/>
      <c r="I14" s="139" t="str">
        <f t="shared" si="0"/>
        <v/>
      </c>
      <c r="J14" s="135"/>
      <c r="K14" s="135" t="str">
        <f t="shared" si="1"/>
        <v>Jan 1900</v>
      </c>
      <c r="L14" s="135"/>
      <c r="M14" s="135"/>
      <c r="N14" s="135"/>
      <c r="O14" s="141"/>
    </row>
    <row r="15" spans="1:17" ht="21" customHeight="1" x14ac:dyDescent="0.35">
      <c r="A15" s="97"/>
      <c r="B15" s="126">
        <v>2</v>
      </c>
      <c r="C15" s="127" t="s">
        <v>71</v>
      </c>
      <c r="D15" s="128"/>
      <c r="E15" s="128"/>
      <c r="F15" s="128"/>
      <c r="G15" s="129">
        <f>SUM(G16:G21)</f>
        <v>39004168</v>
      </c>
      <c r="H15" s="145">
        <f>SUM(H16:H21)</f>
        <v>21936231.079999998</v>
      </c>
      <c r="I15" s="145">
        <f>SUM(I16:I21)</f>
        <v>17067936.920000002</v>
      </c>
      <c r="J15" s="131"/>
      <c r="K15" s="131"/>
      <c r="L15" s="132"/>
      <c r="M15" s="132"/>
      <c r="N15" s="132"/>
      <c r="O15" s="133"/>
    </row>
    <row r="16" spans="1:17" x14ac:dyDescent="0.35">
      <c r="B16" s="134">
        <v>1</v>
      </c>
      <c r="C16" s="135"/>
      <c r="D16" s="136" t="s">
        <v>62</v>
      </c>
      <c r="E16" s="136" t="s">
        <v>63</v>
      </c>
      <c r="F16" s="136" t="s">
        <v>64</v>
      </c>
      <c r="G16" s="137">
        <v>14000000</v>
      </c>
      <c r="H16" s="146">
        <v>2166248</v>
      </c>
      <c r="I16" s="139">
        <f t="shared" ref="I16:I21" si="3">IF(H16&gt;0,G16-H16,"")</f>
        <v>11833752</v>
      </c>
      <c r="J16" s="140">
        <v>46149</v>
      </c>
      <c r="K16" s="135" t="str">
        <f t="shared" ref="K16:K21" si="4">TEXT(J16,"mmm yyyy")</f>
        <v>May 2026</v>
      </c>
      <c r="L16" s="135" t="s">
        <v>27</v>
      </c>
      <c r="M16" s="135" t="s">
        <v>10</v>
      </c>
      <c r="N16" s="135" t="s">
        <v>16</v>
      </c>
      <c r="O16" s="141" t="s">
        <v>72</v>
      </c>
    </row>
    <row r="17" spans="1:15" ht="34" x14ac:dyDescent="0.35">
      <c r="B17" s="142">
        <f>IF(D17&gt;0,B16+1,"")</f>
        <v>2</v>
      </c>
      <c r="C17" s="135"/>
      <c r="D17" s="135" t="s">
        <v>73</v>
      </c>
      <c r="E17" s="135" t="s">
        <v>63</v>
      </c>
      <c r="F17" s="136" t="s">
        <v>74</v>
      </c>
      <c r="G17" s="138">
        <v>17000000</v>
      </c>
      <c r="H17" s="146">
        <v>13787931.08</v>
      </c>
      <c r="I17" s="139">
        <f t="shared" si="3"/>
        <v>3212068.92</v>
      </c>
      <c r="J17" s="140">
        <v>46164</v>
      </c>
      <c r="K17" s="135" t="str">
        <f t="shared" si="4"/>
        <v>May 2026</v>
      </c>
      <c r="L17" s="135" t="s">
        <v>27</v>
      </c>
      <c r="M17" s="135" t="s">
        <v>10</v>
      </c>
      <c r="N17" s="135" t="s">
        <v>16</v>
      </c>
      <c r="O17" s="141" t="s">
        <v>72</v>
      </c>
    </row>
    <row r="18" spans="1:15" x14ac:dyDescent="0.35">
      <c r="B18" s="142">
        <f>IF(D18&gt;0,B17+1,"")</f>
        <v>3</v>
      </c>
      <c r="C18" s="135"/>
      <c r="D18" s="135" t="s">
        <v>75</v>
      </c>
      <c r="E18" s="135" t="s">
        <v>63</v>
      </c>
      <c r="F18" s="135" t="s">
        <v>11</v>
      </c>
      <c r="G18" s="138">
        <v>8004168</v>
      </c>
      <c r="H18" s="146">
        <v>5982052</v>
      </c>
      <c r="I18" s="139">
        <f t="shared" si="3"/>
        <v>2022116</v>
      </c>
      <c r="J18" s="140">
        <v>46174</v>
      </c>
      <c r="K18" s="135" t="str">
        <f t="shared" si="4"/>
        <v>Jun 2026</v>
      </c>
      <c r="L18" s="135" t="s">
        <v>28</v>
      </c>
      <c r="M18" s="135" t="s">
        <v>10</v>
      </c>
      <c r="N18" s="135" t="s">
        <v>16</v>
      </c>
      <c r="O18" s="141" t="s">
        <v>72</v>
      </c>
    </row>
    <row r="19" spans="1:15" x14ac:dyDescent="0.35">
      <c r="B19" s="142" t="str">
        <f>IF(D19&gt;0,B18+1,"")</f>
        <v/>
      </c>
      <c r="C19" s="135"/>
      <c r="D19" s="135"/>
      <c r="E19" s="135"/>
      <c r="F19" s="135"/>
      <c r="G19" s="138"/>
      <c r="H19" s="146"/>
      <c r="I19" s="139" t="str">
        <f t="shared" si="3"/>
        <v/>
      </c>
      <c r="J19" s="140"/>
      <c r="K19" s="135" t="str">
        <f t="shared" si="4"/>
        <v>Jan 1900</v>
      </c>
      <c r="L19" s="135"/>
      <c r="M19" s="135"/>
      <c r="N19" s="135"/>
      <c r="O19" s="141"/>
    </row>
    <row r="20" spans="1:15" x14ac:dyDescent="0.35">
      <c r="B20" s="142" t="str">
        <f>IF(D20&gt;0,B19+1,"")</f>
        <v/>
      </c>
      <c r="C20" s="135"/>
      <c r="D20" s="135"/>
      <c r="E20" s="135"/>
      <c r="F20" s="135"/>
      <c r="G20" s="138"/>
      <c r="H20" s="146"/>
      <c r="I20" s="139" t="str">
        <f t="shared" si="3"/>
        <v/>
      </c>
      <c r="J20" s="140"/>
      <c r="K20" s="135" t="str">
        <f t="shared" si="4"/>
        <v>Jan 1900</v>
      </c>
      <c r="L20" s="135"/>
      <c r="M20" s="135"/>
      <c r="N20" s="135"/>
      <c r="O20" s="141"/>
    </row>
    <row r="21" spans="1:15" x14ac:dyDescent="0.35">
      <c r="B21" s="142"/>
      <c r="C21" s="135"/>
      <c r="D21" s="135"/>
      <c r="E21" s="135"/>
      <c r="F21" s="135"/>
      <c r="G21" s="143"/>
      <c r="H21" s="144"/>
      <c r="I21" s="139" t="str">
        <f t="shared" si="3"/>
        <v/>
      </c>
      <c r="J21" s="135"/>
      <c r="K21" s="135" t="str">
        <f t="shared" si="4"/>
        <v>Jan 1900</v>
      </c>
      <c r="L21" s="135"/>
      <c r="M21" s="135"/>
      <c r="N21" s="135"/>
      <c r="O21" s="141"/>
    </row>
    <row r="22" spans="1:15" ht="21" customHeight="1" x14ac:dyDescent="0.35">
      <c r="A22" s="97"/>
      <c r="B22" s="126">
        <v>3</v>
      </c>
      <c r="C22" s="127" t="s">
        <v>76</v>
      </c>
      <c r="D22" s="128"/>
      <c r="E22" s="128"/>
      <c r="F22" s="128"/>
      <c r="G22" s="129">
        <f>SUM(G23:G29)</f>
        <v>369300000</v>
      </c>
      <c r="H22" s="145">
        <f>SUM(H23:H29)</f>
        <v>173583841.98000002</v>
      </c>
      <c r="I22" s="145">
        <f>SUM(I23:I29)</f>
        <v>69216158.019999996</v>
      </c>
      <c r="J22" s="131"/>
      <c r="K22" s="131"/>
      <c r="L22" s="132"/>
      <c r="M22" s="132"/>
      <c r="N22" s="132"/>
      <c r="O22" s="133"/>
    </row>
    <row r="23" spans="1:15" x14ac:dyDescent="0.35">
      <c r="B23" s="134">
        <v>1</v>
      </c>
      <c r="C23" s="135"/>
      <c r="D23" s="136" t="s">
        <v>77</v>
      </c>
      <c r="E23" s="136" t="s">
        <v>57</v>
      </c>
      <c r="F23" s="136" t="s">
        <v>78</v>
      </c>
      <c r="G23" s="137">
        <v>25000000</v>
      </c>
      <c r="H23" s="146">
        <v>26531027</v>
      </c>
      <c r="I23" s="139">
        <f t="shared" ref="I23:I29" si="5">IF(H23&gt;0,G23-H23,"")</f>
        <v>-1531027</v>
      </c>
      <c r="J23" s="140">
        <v>46150</v>
      </c>
      <c r="K23" s="135" t="str">
        <f t="shared" ref="K23:K29" si="6">TEXT(J23,"mmm yyyy")</f>
        <v>May 2026</v>
      </c>
      <c r="L23" s="135" t="s">
        <v>25</v>
      </c>
      <c r="M23" s="135" t="s">
        <v>11</v>
      </c>
      <c r="N23" s="135" t="s">
        <v>16</v>
      </c>
      <c r="O23" s="141" t="s">
        <v>59</v>
      </c>
    </row>
    <row r="24" spans="1:15" ht="28.5" customHeight="1" x14ac:dyDescent="0.35">
      <c r="B24" s="142">
        <f>IF(D24&gt;0,B23+1,"")</f>
        <v>2</v>
      </c>
      <c r="C24" s="135"/>
      <c r="D24" s="136" t="s">
        <v>79</v>
      </c>
      <c r="E24" s="136" t="s">
        <v>57</v>
      </c>
      <c r="F24" s="136" t="s">
        <v>80</v>
      </c>
      <c r="G24" s="137">
        <v>181500000</v>
      </c>
      <c r="H24" s="146">
        <v>120073834.98</v>
      </c>
      <c r="I24" s="139">
        <f t="shared" si="5"/>
        <v>61426165.019999996</v>
      </c>
      <c r="J24" s="140">
        <v>46142</v>
      </c>
      <c r="K24" s="135" t="str">
        <f t="shared" si="6"/>
        <v>Apr 2026</v>
      </c>
      <c r="L24" s="135" t="s">
        <v>30</v>
      </c>
      <c r="M24" s="135" t="s">
        <v>11</v>
      </c>
      <c r="N24" s="135" t="s">
        <v>16</v>
      </c>
      <c r="O24" s="141" t="s">
        <v>59</v>
      </c>
    </row>
    <row r="25" spans="1:15" ht="42.75" customHeight="1" x14ac:dyDescent="0.35">
      <c r="B25" s="142">
        <f>IF(D25&gt;0,B24+1,"")</f>
        <v>3</v>
      </c>
      <c r="C25" s="135"/>
      <c r="D25" s="135" t="s">
        <v>73</v>
      </c>
      <c r="E25" s="135" t="s">
        <v>63</v>
      </c>
      <c r="F25" s="136" t="s">
        <v>81</v>
      </c>
      <c r="G25" s="138">
        <v>36300000</v>
      </c>
      <c r="H25" s="146">
        <v>26978980</v>
      </c>
      <c r="I25" s="139">
        <f t="shared" si="5"/>
        <v>9321020</v>
      </c>
      <c r="J25" s="140">
        <v>46045</v>
      </c>
      <c r="K25" s="135" t="str">
        <f t="shared" si="6"/>
        <v>Jan 2026</v>
      </c>
      <c r="L25" s="135" t="s">
        <v>27</v>
      </c>
      <c r="M25" s="135" t="s">
        <v>11</v>
      </c>
      <c r="N25" s="135" t="s">
        <v>16</v>
      </c>
      <c r="O25" s="141" t="s">
        <v>82</v>
      </c>
    </row>
    <row r="26" spans="1:15" x14ac:dyDescent="0.35">
      <c r="B26" s="142">
        <f>IF(D26&gt;0,B25+1,"")</f>
        <v>4</v>
      </c>
      <c r="C26" s="135"/>
      <c r="D26" s="135" t="s">
        <v>83</v>
      </c>
      <c r="E26" s="135" t="s">
        <v>57</v>
      </c>
      <c r="F26" s="135" t="s">
        <v>84</v>
      </c>
      <c r="G26" s="143">
        <v>126500000</v>
      </c>
      <c r="H26" s="144"/>
      <c r="I26" s="139" t="str">
        <f t="shared" si="5"/>
        <v/>
      </c>
      <c r="J26" s="135"/>
      <c r="K26" s="135" t="str">
        <f t="shared" si="6"/>
        <v>Jan 1900</v>
      </c>
      <c r="L26" s="135" t="s">
        <v>31</v>
      </c>
      <c r="M26" s="135" t="s">
        <v>11</v>
      </c>
      <c r="N26" s="135" t="s">
        <v>17</v>
      </c>
      <c r="O26" s="141"/>
    </row>
    <row r="27" spans="1:15" x14ac:dyDescent="0.35">
      <c r="B27" s="142" t="str">
        <f>IF(D27&gt;0,B26+1,"")</f>
        <v/>
      </c>
      <c r="C27" s="135"/>
      <c r="D27" s="135"/>
      <c r="E27" s="135"/>
      <c r="F27" s="135"/>
      <c r="G27" s="143"/>
      <c r="H27" s="144"/>
      <c r="I27" s="139" t="str">
        <f t="shared" si="5"/>
        <v/>
      </c>
      <c r="J27" s="135"/>
      <c r="K27" s="135" t="str">
        <f t="shared" si="6"/>
        <v>Jan 1900</v>
      </c>
      <c r="L27" s="135"/>
      <c r="M27" s="135"/>
      <c r="N27" s="135"/>
      <c r="O27" s="141"/>
    </row>
    <row r="28" spans="1:15" x14ac:dyDescent="0.35">
      <c r="B28" s="142" t="str">
        <f>IF(D28&gt;0,B27+1,"")</f>
        <v/>
      </c>
      <c r="C28" s="135"/>
      <c r="D28" s="135"/>
      <c r="E28" s="135"/>
      <c r="F28" s="135"/>
      <c r="G28" s="143"/>
      <c r="H28" s="144"/>
      <c r="I28" s="139" t="str">
        <f t="shared" si="5"/>
        <v/>
      </c>
      <c r="J28" s="135"/>
      <c r="K28" s="135" t="str">
        <f t="shared" si="6"/>
        <v>Jan 1900</v>
      </c>
      <c r="L28" s="135"/>
      <c r="M28" s="135"/>
      <c r="N28" s="135"/>
      <c r="O28" s="141"/>
    </row>
    <row r="29" spans="1:15" x14ac:dyDescent="0.35">
      <c r="B29" s="142"/>
      <c r="C29" s="135"/>
      <c r="D29" s="135"/>
      <c r="E29" s="135"/>
      <c r="F29" s="135"/>
      <c r="G29" s="143"/>
      <c r="H29" s="144"/>
      <c r="I29" s="139" t="str">
        <f t="shared" si="5"/>
        <v/>
      </c>
      <c r="J29" s="135"/>
      <c r="K29" s="135" t="str">
        <f t="shared" si="6"/>
        <v>Jan 1900</v>
      </c>
      <c r="L29" s="135"/>
      <c r="M29" s="135"/>
      <c r="N29" s="135"/>
      <c r="O29" s="141"/>
    </row>
    <row r="30" spans="1:15" ht="21" customHeight="1" x14ac:dyDescent="0.35">
      <c r="A30" s="97"/>
      <c r="B30" s="126">
        <v>4</v>
      </c>
      <c r="C30" s="127" t="s">
        <v>85</v>
      </c>
      <c r="D30" s="128"/>
      <c r="E30" s="128"/>
      <c r="F30" s="128"/>
      <c r="G30" s="129">
        <f>SUM(G31:G39)</f>
        <v>45621000</v>
      </c>
      <c r="H30" s="145">
        <f>SUM(H31:H39)</f>
        <v>37470106.43</v>
      </c>
      <c r="I30" s="130">
        <f>SUM(I31:I39)</f>
        <v>8150893.5700000003</v>
      </c>
      <c r="J30" s="131"/>
      <c r="K30" s="131"/>
      <c r="L30" s="132"/>
      <c r="M30" s="132"/>
      <c r="N30" s="132"/>
      <c r="O30" s="133"/>
    </row>
    <row r="31" spans="1:15" x14ac:dyDescent="0.35">
      <c r="B31" s="134">
        <v>1</v>
      </c>
      <c r="C31" s="135"/>
      <c r="D31" s="136" t="s">
        <v>86</v>
      </c>
      <c r="E31" s="136" t="s">
        <v>57</v>
      </c>
      <c r="F31" s="136" t="s">
        <v>87</v>
      </c>
      <c r="G31" s="137">
        <v>36408000</v>
      </c>
      <c r="H31" s="146">
        <v>33114522.43</v>
      </c>
      <c r="I31" s="139">
        <f t="shared" ref="I31:I39" si="7">IF(H31&gt;0,G31-H31,"")</f>
        <v>3293477.5700000003</v>
      </c>
      <c r="J31" s="140">
        <v>46146</v>
      </c>
      <c r="K31" s="135" t="str">
        <f t="shared" ref="K31:K39" si="8">TEXT(J31,"mmm yyyy")</f>
        <v>May 2026</v>
      </c>
      <c r="L31" s="135" t="s">
        <v>30</v>
      </c>
      <c r="M31" s="135" t="s">
        <v>8</v>
      </c>
      <c r="N31" s="135" t="s">
        <v>16</v>
      </c>
      <c r="O31" s="141" t="s">
        <v>59</v>
      </c>
    </row>
    <row r="32" spans="1:15" ht="42.75" customHeight="1" x14ac:dyDescent="0.35">
      <c r="B32" s="142">
        <f t="shared" ref="B32:B38" si="9">IF(D32&gt;0,B31+1,"")</f>
        <v>2</v>
      </c>
      <c r="C32" s="135"/>
      <c r="D32" s="135" t="s">
        <v>73</v>
      </c>
      <c r="E32" s="135" t="s">
        <v>63</v>
      </c>
      <c r="F32" s="136" t="s">
        <v>88</v>
      </c>
      <c r="G32" s="138">
        <v>9213000</v>
      </c>
      <c r="H32" s="144">
        <v>4355584</v>
      </c>
      <c r="I32" s="139">
        <f t="shared" si="7"/>
        <v>4857416</v>
      </c>
      <c r="J32" s="140">
        <v>46013</v>
      </c>
      <c r="K32" s="135" t="str">
        <f t="shared" si="8"/>
        <v>Dec 2025</v>
      </c>
      <c r="L32" s="135" t="s">
        <v>27</v>
      </c>
      <c r="M32" s="135" t="s">
        <v>8</v>
      </c>
      <c r="N32" s="135" t="s">
        <v>16</v>
      </c>
      <c r="O32" s="141" t="s">
        <v>89</v>
      </c>
    </row>
    <row r="33" spans="1:15" x14ac:dyDescent="0.35">
      <c r="B33" s="142" t="str">
        <f t="shared" si="9"/>
        <v/>
      </c>
      <c r="C33" s="135"/>
      <c r="D33" s="135"/>
      <c r="E33" s="135"/>
      <c r="F33" s="135"/>
      <c r="G33" s="143"/>
      <c r="H33" s="144"/>
      <c r="I33" s="139" t="str">
        <f t="shared" si="7"/>
        <v/>
      </c>
      <c r="J33" s="135"/>
      <c r="K33" s="135" t="str">
        <f t="shared" si="8"/>
        <v>Jan 1900</v>
      </c>
      <c r="L33" s="135"/>
      <c r="M33" s="135"/>
      <c r="N33" s="135"/>
      <c r="O33" s="141"/>
    </row>
    <row r="34" spans="1:15" x14ac:dyDescent="0.35">
      <c r="B34" s="142" t="str">
        <f t="shared" si="9"/>
        <v/>
      </c>
      <c r="C34" s="135"/>
      <c r="D34" s="135"/>
      <c r="E34" s="135"/>
      <c r="F34" s="135"/>
      <c r="G34" s="143"/>
      <c r="H34" s="144"/>
      <c r="I34" s="139" t="str">
        <f t="shared" si="7"/>
        <v/>
      </c>
      <c r="J34" s="135"/>
      <c r="K34" s="135" t="str">
        <f t="shared" si="8"/>
        <v>Jan 1900</v>
      </c>
      <c r="L34" s="135"/>
      <c r="M34" s="135"/>
      <c r="N34" s="135"/>
      <c r="O34" s="141"/>
    </row>
    <row r="35" spans="1:15" x14ac:dyDescent="0.35">
      <c r="B35" s="142" t="str">
        <f t="shared" si="9"/>
        <v/>
      </c>
      <c r="C35" s="135"/>
      <c r="D35" s="135"/>
      <c r="E35" s="135"/>
      <c r="F35" s="135"/>
      <c r="G35" s="143"/>
      <c r="H35" s="144"/>
      <c r="I35" s="139" t="str">
        <f t="shared" si="7"/>
        <v/>
      </c>
      <c r="J35" s="135"/>
      <c r="K35" s="135" t="str">
        <f t="shared" si="8"/>
        <v>Jan 1900</v>
      </c>
      <c r="L35" s="135"/>
      <c r="M35" s="135"/>
      <c r="N35" s="135"/>
      <c r="O35" s="141"/>
    </row>
    <row r="36" spans="1:15" x14ac:dyDescent="0.35">
      <c r="B36" s="142" t="str">
        <f t="shared" si="9"/>
        <v/>
      </c>
      <c r="C36" s="135"/>
      <c r="D36" s="135"/>
      <c r="E36" s="135"/>
      <c r="F36" s="135"/>
      <c r="G36" s="143"/>
      <c r="H36" s="144"/>
      <c r="I36" s="139" t="str">
        <f t="shared" si="7"/>
        <v/>
      </c>
      <c r="J36" s="135"/>
      <c r="K36" s="135" t="str">
        <f t="shared" si="8"/>
        <v>Jan 1900</v>
      </c>
      <c r="L36" s="135"/>
      <c r="M36" s="135"/>
      <c r="N36" s="135"/>
      <c r="O36" s="141"/>
    </row>
    <row r="37" spans="1:15" x14ac:dyDescent="0.35">
      <c r="B37" s="142" t="str">
        <f t="shared" si="9"/>
        <v/>
      </c>
      <c r="C37" s="135"/>
      <c r="D37" s="135"/>
      <c r="E37" s="135"/>
      <c r="F37" s="135"/>
      <c r="G37" s="143"/>
      <c r="H37" s="144"/>
      <c r="I37" s="139" t="str">
        <f t="shared" si="7"/>
        <v/>
      </c>
      <c r="J37" s="135"/>
      <c r="K37" s="135" t="str">
        <f t="shared" si="8"/>
        <v>Jan 1900</v>
      </c>
      <c r="L37" s="135"/>
      <c r="M37" s="135"/>
      <c r="N37" s="135"/>
      <c r="O37" s="141"/>
    </row>
    <row r="38" spans="1:15" x14ac:dyDescent="0.35">
      <c r="B38" s="142" t="str">
        <f t="shared" si="9"/>
        <v/>
      </c>
      <c r="C38" s="135"/>
      <c r="D38" s="135"/>
      <c r="E38" s="135"/>
      <c r="F38" s="135"/>
      <c r="G38" s="143"/>
      <c r="H38" s="144"/>
      <c r="I38" s="139" t="str">
        <f t="shared" si="7"/>
        <v/>
      </c>
      <c r="J38" s="135"/>
      <c r="K38" s="135" t="str">
        <f t="shared" si="8"/>
        <v>Jan 1900</v>
      </c>
      <c r="L38" s="135"/>
      <c r="M38" s="135"/>
      <c r="N38" s="135"/>
      <c r="O38" s="141"/>
    </row>
    <row r="39" spans="1:15" x14ac:dyDescent="0.35">
      <c r="B39" s="142"/>
      <c r="C39" s="135"/>
      <c r="D39" s="135"/>
      <c r="E39" s="135"/>
      <c r="F39" s="135"/>
      <c r="G39" s="143"/>
      <c r="H39" s="144"/>
      <c r="I39" s="139" t="str">
        <f t="shared" si="7"/>
        <v/>
      </c>
      <c r="J39" s="135"/>
      <c r="K39" s="135" t="str">
        <f t="shared" si="8"/>
        <v>Jan 1900</v>
      </c>
      <c r="L39" s="135"/>
      <c r="M39" s="135"/>
      <c r="N39" s="135"/>
      <c r="O39" s="141"/>
    </row>
    <row r="40" spans="1:15" ht="21" customHeight="1" x14ac:dyDescent="0.35">
      <c r="A40" s="97"/>
      <c r="B40" s="126">
        <v>5</v>
      </c>
      <c r="C40" s="127" t="s">
        <v>90</v>
      </c>
      <c r="D40" s="128"/>
      <c r="E40" s="128"/>
      <c r="F40" s="128"/>
      <c r="G40" s="129">
        <f>SUM(G41:G52)</f>
        <v>46517000.32</v>
      </c>
      <c r="H40" s="145">
        <f>SUM(H41:H52)</f>
        <v>39757760</v>
      </c>
      <c r="I40" s="130">
        <f>SUM(I41:I52)</f>
        <v>-1677760</v>
      </c>
      <c r="J40" s="131"/>
      <c r="K40" s="131"/>
      <c r="L40" s="132"/>
      <c r="M40" s="132"/>
      <c r="N40" s="132"/>
      <c r="O40" s="133"/>
    </row>
    <row r="41" spans="1:15" x14ac:dyDescent="0.35">
      <c r="B41" s="134">
        <v>1</v>
      </c>
      <c r="C41" s="135"/>
      <c r="D41" s="136" t="s">
        <v>91</v>
      </c>
      <c r="E41" s="136" t="s">
        <v>57</v>
      </c>
      <c r="F41" s="136" t="s">
        <v>92</v>
      </c>
      <c r="G41" s="137">
        <v>38080000</v>
      </c>
      <c r="H41" s="146">
        <v>39757760</v>
      </c>
      <c r="I41" s="139">
        <f t="shared" ref="I41:I48" si="10">IF(H41&gt;0,G41-H41,"")</f>
        <v>-1677760</v>
      </c>
      <c r="J41" s="140">
        <v>46139</v>
      </c>
      <c r="K41" s="135" t="str">
        <f t="shared" ref="K41:K48" si="11">TEXT(J41,"mmm yyyy")</f>
        <v>Apr 2026</v>
      </c>
      <c r="L41" s="135" t="s">
        <v>26</v>
      </c>
      <c r="M41" s="135" t="s">
        <v>8</v>
      </c>
      <c r="N41" s="135" t="s">
        <v>16</v>
      </c>
      <c r="O41" s="141" t="s">
        <v>93</v>
      </c>
    </row>
    <row r="42" spans="1:15" x14ac:dyDescent="0.35">
      <c r="B42" s="142">
        <f t="shared" ref="B42:B48" si="12">IF(D42&gt;0,B41+1,"")</f>
        <v>2</v>
      </c>
      <c r="C42" s="135"/>
      <c r="D42" s="135" t="s">
        <v>94</v>
      </c>
      <c r="E42" s="136" t="s">
        <v>57</v>
      </c>
      <c r="F42" s="135"/>
      <c r="G42" s="143"/>
      <c r="H42" s="144"/>
      <c r="I42" s="139" t="str">
        <f t="shared" si="10"/>
        <v/>
      </c>
      <c r="J42" s="135"/>
      <c r="K42" s="135" t="str">
        <f t="shared" si="11"/>
        <v>Jan 1900</v>
      </c>
      <c r="L42" s="135" t="s">
        <v>29</v>
      </c>
      <c r="M42" s="135" t="s">
        <v>8</v>
      </c>
      <c r="N42" s="135" t="s">
        <v>17</v>
      </c>
      <c r="O42" s="141"/>
    </row>
    <row r="43" spans="1:15" x14ac:dyDescent="0.35">
      <c r="B43" s="142">
        <f t="shared" si="12"/>
        <v>3</v>
      </c>
      <c r="C43" s="135"/>
      <c r="D43" s="135" t="s">
        <v>95</v>
      </c>
      <c r="E43" s="136" t="s">
        <v>57</v>
      </c>
      <c r="F43" s="135"/>
      <c r="G43" s="143"/>
      <c r="H43" s="144"/>
      <c r="I43" s="139" t="str">
        <f t="shared" si="10"/>
        <v/>
      </c>
      <c r="J43" s="135"/>
      <c r="K43" s="135" t="str">
        <f t="shared" si="11"/>
        <v>Jan 1900</v>
      </c>
      <c r="L43" s="135" t="s">
        <v>29</v>
      </c>
      <c r="M43" s="135" t="s">
        <v>8</v>
      </c>
      <c r="N43" s="135" t="s">
        <v>17</v>
      </c>
      <c r="O43" s="141"/>
    </row>
    <row r="44" spans="1:15" x14ac:dyDescent="0.35">
      <c r="B44" s="142">
        <f t="shared" si="12"/>
        <v>4</v>
      </c>
      <c r="C44" s="135"/>
      <c r="D44" s="135" t="s">
        <v>96</v>
      </c>
      <c r="E44" s="135" t="s">
        <v>57</v>
      </c>
      <c r="F44" s="135"/>
      <c r="G44" s="143">
        <f>714286*1.12</f>
        <v>800000.32000000007</v>
      </c>
      <c r="H44" s="144"/>
      <c r="I44" s="139" t="str">
        <f t="shared" si="10"/>
        <v/>
      </c>
      <c r="J44" s="135"/>
      <c r="K44" s="135" t="str">
        <f t="shared" si="11"/>
        <v>Jan 1900</v>
      </c>
      <c r="L44" s="135" t="s">
        <v>26</v>
      </c>
      <c r="M44" s="135" t="s">
        <v>8</v>
      </c>
      <c r="N44" s="135" t="s">
        <v>17</v>
      </c>
      <c r="O44" s="141" t="s">
        <v>93</v>
      </c>
    </row>
    <row r="45" spans="1:15" x14ac:dyDescent="0.35">
      <c r="B45" s="142">
        <f t="shared" si="12"/>
        <v>5</v>
      </c>
      <c r="C45" s="135"/>
      <c r="D45" s="135" t="s">
        <v>73</v>
      </c>
      <c r="E45" s="135" t="s">
        <v>63</v>
      </c>
      <c r="F45" s="135"/>
      <c r="G45" s="143">
        <v>1889000</v>
      </c>
      <c r="H45" s="144"/>
      <c r="I45" s="139" t="str">
        <f t="shared" si="10"/>
        <v/>
      </c>
      <c r="J45" s="135"/>
      <c r="K45" s="135" t="str">
        <f t="shared" si="11"/>
        <v>Jan 1900</v>
      </c>
      <c r="L45" s="135" t="s">
        <v>27</v>
      </c>
      <c r="M45" s="135" t="s">
        <v>8</v>
      </c>
      <c r="N45" s="135" t="s">
        <v>17</v>
      </c>
      <c r="O45" s="141" t="s">
        <v>93</v>
      </c>
    </row>
    <row r="46" spans="1:15" x14ac:dyDescent="0.35">
      <c r="B46" s="142">
        <f t="shared" si="12"/>
        <v>6</v>
      </c>
      <c r="C46" s="135"/>
      <c r="D46" s="135" t="s">
        <v>62</v>
      </c>
      <c r="E46" s="135" t="s">
        <v>63</v>
      </c>
      <c r="F46" s="135"/>
      <c r="G46" s="143">
        <v>5748000</v>
      </c>
      <c r="H46" s="144"/>
      <c r="I46" s="139" t="str">
        <f t="shared" si="10"/>
        <v/>
      </c>
      <c r="J46" s="135"/>
      <c r="K46" s="135" t="str">
        <f t="shared" si="11"/>
        <v>Jan 1900</v>
      </c>
      <c r="L46" s="135" t="s">
        <v>27</v>
      </c>
      <c r="M46" s="135" t="s">
        <v>8</v>
      </c>
      <c r="N46" s="135" t="s">
        <v>17</v>
      </c>
      <c r="O46" s="141" t="s">
        <v>93</v>
      </c>
    </row>
    <row r="47" spans="1:15" x14ac:dyDescent="0.35">
      <c r="B47" s="142">
        <f t="shared" si="12"/>
        <v>7</v>
      </c>
      <c r="C47" s="135"/>
      <c r="D47" s="135" t="s">
        <v>97</v>
      </c>
      <c r="E47" s="135" t="s">
        <v>57</v>
      </c>
      <c r="F47" s="135"/>
      <c r="G47" s="143"/>
      <c r="H47" s="144"/>
      <c r="I47" s="139" t="str">
        <f t="shared" si="10"/>
        <v/>
      </c>
      <c r="J47" s="135"/>
      <c r="K47" s="135" t="str">
        <f t="shared" si="11"/>
        <v>Jan 1900</v>
      </c>
      <c r="L47" s="135" t="s">
        <v>28</v>
      </c>
      <c r="M47" s="135" t="s">
        <v>8</v>
      </c>
      <c r="N47" s="135" t="s">
        <v>17</v>
      </c>
      <c r="O47" s="141" t="s">
        <v>93</v>
      </c>
    </row>
    <row r="48" spans="1:15" x14ac:dyDescent="0.35">
      <c r="B48" s="142">
        <f t="shared" si="12"/>
        <v>8</v>
      </c>
      <c r="C48" s="135"/>
      <c r="D48" s="135" t="s">
        <v>98</v>
      </c>
      <c r="E48" s="135" t="s">
        <v>57</v>
      </c>
      <c r="F48" s="135"/>
      <c r="G48" s="143"/>
      <c r="H48" s="144"/>
      <c r="I48" s="139" t="str">
        <f t="shared" si="10"/>
        <v/>
      </c>
      <c r="J48" s="135"/>
      <c r="K48" s="135" t="str">
        <f t="shared" si="11"/>
        <v>Jan 1900</v>
      </c>
      <c r="L48" s="135" t="s">
        <v>28</v>
      </c>
      <c r="M48" s="135" t="s">
        <v>8</v>
      </c>
      <c r="N48" s="135" t="s">
        <v>17</v>
      </c>
      <c r="O48" s="141" t="s">
        <v>93</v>
      </c>
    </row>
    <row r="49" spans="1:16" x14ac:dyDescent="0.35">
      <c r="B49" s="142"/>
      <c r="C49" s="135"/>
      <c r="D49" s="135"/>
      <c r="E49" s="135"/>
      <c r="F49" s="135"/>
      <c r="G49" s="143"/>
      <c r="H49" s="144"/>
      <c r="I49" s="139"/>
      <c r="J49" s="135"/>
      <c r="K49" s="135"/>
      <c r="L49" s="135"/>
      <c r="M49" s="135"/>
      <c r="N49" s="135"/>
      <c r="O49" s="141"/>
    </row>
    <row r="50" spans="1:16" x14ac:dyDescent="0.35">
      <c r="B50" s="142"/>
      <c r="C50" s="135"/>
      <c r="D50" s="135"/>
      <c r="E50" s="135"/>
      <c r="F50" s="135"/>
      <c r="G50" s="143"/>
      <c r="H50" s="144"/>
      <c r="I50" s="139"/>
      <c r="J50" s="135"/>
      <c r="K50" s="135"/>
      <c r="L50" s="135"/>
      <c r="M50" s="135"/>
      <c r="N50" s="135"/>
      <c r="O50" s="141"/>
    </row>
    <row r="51" spans="1:16" x14ac:dyDescent="0.35">
      <c r="B51" s="142"/>
      <c r="C51" s="135"/>
      <c r="D51" s="135"/>
      <c r="E51" s="135"/>
      <c r="F51" s="135"/>
      <c r="G51" s="143"/>
      <c r="H51" s="144"/>
      <c r="I51" s="139"/>
      <c r="J51" s="135"/>
      <c r="K51" s="135"/>
      <c r="L51" s="135"/>
      <c r="M51" s="135"/>
      <c r="N51" s="135"/>
      <c r="O51" s="141"/>
    </row>
    <row r="52" spans="1:16" x14ac:dyDescent="0.35">
      <c r="B52" s="142"/>
      <c r="C52" s="135"/>
      <c r="D52" s="135"/>
      <c r="E52" s="135"/>
      <c r="F52" s="135"/>
      <c r="G52" s="143"/>
      <c r="H52" s="144"/>
      <c r="I52" s="139" t="str">
        <f>IF(H52&gt;0,G52-H52,"")</f>
        <v/>
      </c>
      <c r="J52" s="135"/>
      <c r="K52" s="135" t="str">
        <f>TEXT(J52,"mmm yyyy")</f>
        <v>Jan 1900</v>
      </c>
      <c r="L52" s="135"/>
      <c r="M52" s="135"/>
      <c r="N52" s="135"/>
      <c r="O52" s="141"/>
    </row>
    <row r="53" spans="1:16" ht="21" customHeight="1" x14ac:dyDescent="0.35">
      <c r="A53" s="97"/>
      <c r="B53" s="126">
        <v>6</v>
      </c>
      <c r="C53" s="127" t="s">
        <v>99</v>
      </c>
      <c r="D53" s="128"/>
      <c r="E53" s="128"/>
      <c r="F53" s="128"/>
      <c r="G53" s="129">
        <f>SUM(G54:G68)</f>
        <v>32510877.840000004</v>
      </c>
      <c r="H53" s="145">
        <f>SUM(H54:H68)</f>
        <v>30068329.629999999</v>
      </c>
      <c r="I53" s="145">
        <f>SUM(I54:I68)</f>
        <v>1751272.2100000009</v>
      </c>
      <c r="J53" s="131"/>
      <c r="K53" s="131"/>
      <c r="L53" s="132"/>
      <c r="M53" s="132"/>
      <c r="N53" s="132"/>
      <c r="O53" s="133"/>
    </row>
    <row r="54" spans="1:16" x14ac:dyDescent="0.35">
      <c r="B54" s="134">
        <v>1</v>
      </c>
      <c r="C54" s="135"/>
      <c r="D54" s="136" t="s">
        <v>100</v>
      </c>
      <c r="E54" s="136" t="s">
        <v>57</v>
      </c>
      <c r="F54" s="136" t="s">
        <v>101</v>
      </c>
      <c r="G54" s="137">
        <v>9131558</v>
      </c>
      <c r="H54" s="146">
        <v>4760790</v>
      </c>
      <c r="I54" s="139">
        <f t="shared" ref="I54:I68" si="13">IF(H54&gt;0,G54-H54,"")</f>
        <v>4370768</v>
      </c>
      <c r="J54" s="140">
        <v>46144</v>
      </c>
      <c r="K54" s="135" t="str">
        <f t="shared" ref="K54:K68" si="14">TEXT(J54,"mmm yyyy")</f>
        <v>May 2026</v>
      </c>
      <c r="L54" s="135" t="s">
        <v>31</v>
      </c>
      <c r="M54" s="135" t="s">
        <v>8</v>
      </c>
      <c r="N54" s="135" t="s">
        <v>16</v>
      </c>
      <c r="O54" s="141" t="s">
        <v>59</v>
      </c>
      <c r="P54" s="98"/>
    </row>
    <row r="55" spans="1:16" x14ac:dyDescent="0.35">
      <c r="B55" s="142">
        <f t="shared" ref="B55:B67" si="15">IF(D55&gt;0,B54+1,"")</f>
        <v>2</v>
      </c>
      <c r="C55" s="135"/>
      <c r="D55" s="136" t="s">
        <v>102</v>
      </c>
      <c r="E55" s="136" t="s">
        <v>57</v>
      </c>
      <c r="F55" s="136" t="s">
        <v>58</v>
      </c>
      <c r="G55" s="137">
        <v>490359</v>
      </c>
      <c r="H55" s="146">
        <v>450321</v>
      </c>
      <c r="I55" s="139">
        <f t="shared" si="13"/>
        <v>40038</v>
      </c>
      <c r="J55" s="140">
        <v>46116</v>
      </c>
      <c r="K55" s="135" t="str">
        <f t="shared" si="14"/>
        <v>Apr 2026</v>
      </c>
      <c r="L55" s="135" t="s">
        <v>28</v>
      </c>
      <c r="M55" s="135" t="s">
        <v>8</v>
      </c>
      <c r="N55" s="135" t="s">
        <v>16</v>
      </c>
      <c r="O55" s="141" t="s">
        <v>59</v>
      </c>
    </row>
    <row r="56" spans="1:16" x14ac:dyDescent="0.35">
      <c r="B56" s="142">
        <f t="shared" si="15"/>
        <v>3</v>
      </c>
      <c r="C56" s="135"/>
      <c r="D56" s="135" t="s">
        <v>103</v>
      </c>
      <c r="E56" s="136" t="s">
        <v>57</v>
      </c>
      <c r="F56" s="135" t="s">
        <v>104</v>
      </c>
      <c r="G56" s="138">
        <v>428002</v>
      </c>
      <c r="H56" s="146">
        <v>146653</v>
      </c>
      <c r="I56" s="139">
        <f t="shared" si="13"/>
        <v>281349</v>
      </c>
      <c r="J56" s="140">
        <v>46144</v>
      </c>
      <c r="K56" s="135" t="str">
        <f t="shared" si="14"/>
        <v>May 2026</v>
      </c>
      <c r="L56" s="135" t="s">
        <v>31</v>
      </c>
      <c r="M56" s="135" t="s">
        <v>8</v>
      </c>
      <c r="N56" s="135" t="s">
        <v>16</v>
      </c>
      <c r="O56" s="141" t="s">
        <v>59</v>
      </c>
    </row>
    <row r="57" spans="1:16" x14ac:dyDescent="0.35">
      <c r="B57" s="142">
        <f t="shared" si="15"/>
        <v>4</v>
      </c>
      <c r="C57" s="135"/>
      <c r="D57" s="135" t="s">
        <v>105</v>
      </c>
      <c r="E57" s="135" t="s">
        <v>57</v>
      </c>
      <c r="F57" s="135" t="s">
        <v>106</v>
      </c>
      <c r="G57" s="138">
        <v>1904005</v>
      </c>
      <c r="H57" s="146">
        <v>709940</v>
      </c>
      <c r="I57" s="139">
        <f t="shared" si="13"/>
        <v>1194065</v>
      </c>
      <c r="J57" s="140">
        <v>46104</v>
      </c>
      <c r="K57" s="135" t="str">
        <f t="shared" si="14"/>
        <v>Mar 2026</v>
      </c>
      <c r="L57" s="135" t="s">
        <v>31</v>
      </c>
      <c r="M57" s="135" t="s">
        <v>8</v>
      </c>
      <c r="N57" s="135" t="s">
        <v>16</v>
      </c>
      <c r="O57" s="141" t="s">
        <v>59</v>
      </c>
    </row>
    <row r="58" spans="1:16" x14ac:dyDescent="0.35">
      <c r="B58" s="142">
        <f t="shared" si="15"/>
        <v>5</v>
      </c>
      <c r="C58" s="135"/>
      <c r="D58" s="135" t="s">
        <v>107</v>
      </c>
      <c r="E58" s="135" t="s">
        <v>57</v>
      </c>
      <c r="F58" s="135" t="s">
        <v>108</v>
      </c>
      <c r="G58" s="138">
        <f>9967344*1.11</f>
        <v>11063751.840000002</v>
      </c>
      <c r="H58" s="146">
        <f>9004068*1.11</f>
        <v>9994515.4800000004</v>
      </c>
      <c r="I58" s="139">
        <f t="shared" si="13"/>
        <v>1069236.3600000013</v>
      </c>
      <c r="J58" s="140">
        <v>46095</v>
      </c>
      <c r="K58" s="135" t="str">
        <f t="shared" si="14"/>
        <v>Mar 2026</v>
      </c>
      <c r="L58" s="135" t="s">
        <v>31</v>
      </c>
      <c r="M58" s="135" t="s">
        <v>8</v>
      </c>
      <c r="N58" s="135" t="s">
        <v>16</v>
      </c>
      <c r="O58" s="141" t="s">
        <v>59</v>
      </c>
    </row>
    <row r="59" spans="1:16" ht="28.5" customHeight="1" x14ac:dyDescent="0.35">
      <c r="B59" s="142">
        <f t="shared" si="15"/>
        <v>6</v>
      </c>
      <c r="C59" s="135"/>
      <c r="D59" s="135" t="s">
        <v>109</v>
      </c>
      <c r="E59" s="135" t="s">
        <v>57</v>
      </c>
      <c r="F59" s="135" t="s">
        <v>110</v>
      </c>
      <c r="G59" s="138"/>
      <c r="H59" s="146"/>
      <c r="I59" s="139" t="str">
        <f t="shared" si="13"/>
        <v/>
      </c>
      <c r="J59" s="140"/>
      <c r="K59" s="135" t="str">
        <f t="shared" si="14"/>
        <v>Jan 1900</v>
      </c>
      <c r="L59" s="135" t="s">
        <v>32</v>
      </c>
      <c r="M59" s="135" t="s">
        <v>8</v>
      </c>
      <c r="N59" s="135" t="s">
        <v>16</v>
      </c>
      <c r="O59" s="141" t="s">
        <v>111</v>
      </c>
    </row>
    <row r="60" spans="1:16" x14ac:dyDescent="0.35">
      <c r="B60" s="142">
        <f t="shared" si="15"/>
        <v>7</v>
      </c>
      <c r="C60" s="135"/>
      <c r="D60" s="135" t="s">
        <v>112</v>
      </c>
      <c r="E60" s="135" t="s">
        <v>57</v>
      </c>
      <c r="F60" s="135"/>
      <c r="G60" s="138">
        <v>691276</v>
      </c>
      <c r="H60" s="146"/>
      <c r="I60" s="139" t="str">
        <f t="shared" si="13"/>
        <v/>
      </c>
      <c r="J60" s="140"/>
      <c r="K60" s="135" t="str">
        <f t="shared" si="14"/>
        <v>Jan 1900</v>
      </c>
      <c r="L60" s="135" t="s">
        <v>31</v>
      </c>
      <c r="M60" s="135" t="s">
        <v>8</v>
      </c>
      <c r="N60" s="135" t="s">
        <v>17</v>
      </c>
      <c r="O60" s="141"/>
    </row>
    <row r="61" spans="1:16" x14ac:dyDescent="0.35">
      <c r="B61" s="142">
        <f t="shared" si="15"/>
        <v>8</v>
      </c>
      <c r="C61" s="135"/>
      <c r="D61" s="135" t="s">
        <v>113</v>
      </c>
      <c r="E61" s="135" t="s">
        <v>57</v>
      </c>
      <c r="F61" s="135" t="s">
        <v>114</v>
      </c>
      <c r="G61" s="138">
        <v>1450786</v>
      </c>
      <c r="H61" s="146">
        <f>1774665*1.11</f>
        <v>1969878.1500000001</v>
      </c>
      <c r="I61" s="139">
        <f t="shared" si="13"/>
        <v>-519092.15000000014</v>
      </c>
      <c r="J61" s="140">
        <v>46080</v>
      </c>
      <c r="K61" s="135" t="str">
        <f t="shared" si="14"/>
        <v>Feb 2026</v>
      </c>
      <c r="L61" s="135" t="s">
        <v>31</v>
      </c>
      <c r="M61" s="135" t="s">
        <v>8</v>
      </c>
      <c r="N61" s="135" t="s">
        <v>16</v>
      </c>
      <c r="O61" s="141" t="s">
        <v>59</v>
      </c>
    </row>
    <row r="62" spans="1:16" x14ac:dyDescent="0.35">
      <c r="B62" s="142">
        <f t="shared" si="15"/>
        <v>9</v>
      </c>
      <c r="C62" s="135"/>
      <c r="D62" s="135" t="s">
        <v>115</v>
      </c>
      <c r="E62" s="135" t="s">
        <v>57</v>
      </c>
      <c r="F62" s="135" t="s">
        <v>116</v>
      </c>
      <c r="G62" s="138">
        <v>767815</v>
      </c>
      <c r="H62" s="146">
        <v>1505487</v>
      </c>
      <c r="I62" s="139">
        <f t="shared" si="13"/>
        <v>-737672</v>
      </c>
      <c r="J62" s="140">
        <v>46160</v>
      </c>
      <c r="K62" s="135" t="str">
        <f t="shared" si="14"/>
        <v>May 2026</v>
      </c>
      <c r="L62" s="135" t="s">
        <v>25</v>
      </c>
      <c r="M62" s="135" t="s">
        <v>8</v>
      </c>
      <c r="N62" s="135" t="s">
        <v>16</v>
      </c>
      <c r="O62" s="141" t="s">
        <v>59</v>
      </c>
    </row>
    <row r="63" spans="1:16" x14ac:dyDescent="0.35">
      <c r="B63" s="142">
        <f t="shared" si="15"/>
        <v>10</v>
      </c>
      <c r="C63" s="135"/>
      <c r="D63" s="135" t="s">
        <v>117</v>
      </c>
      <c r="E63" s="135" t="s">
        <v>63</v>
      </c>
      <c r="F63" s="135"/>
      <c r="G63" s="138"/>
      <c r="H63" s="146"/>
      <c r="I63" s="139" t="str">
        <f t="shared" si="13"/>
        <v/>
      </c>
      <c r="J63" s="140"/>
      <c r="K63" s="135" t="str">
        <f t="shared" si="14"/>
        <v>Jan 1900</v>
      </c>
      <c r="L63" s="135" t="s">
        <v>28</v>
      </c>
      <c r="M63" s="135" t="s">
        <v>8</v>
      </c>
      <c r="N63" s="135" t="s">
        <v>17</v>
      </c>
      <c r="O63" s="141" t="s">
        <v>59</v>
      </c>
    </row>
    <row r="64" spans="1:16" x14ac:dyDescent="0.35">
      <c r="B64" s="142">
        <f t="shared" si="15"/>
        <v>11</v>
      </c>
      <c r="C64" s="135"/>
      <c r="D64" s="135" t="s">
        <v>118</v>
      </c>
      <c r="E64" s="135" t="s">
        <v>57</v>
      </c>
      <c r="F64" s="135" t="s">
        <v>119</v>
      </c>
      <c r="G64" s="138">
        <v>6583325</v>
      </c>
      <c r="H64" s="146">
        <v>10530745</v>
      </c>
      <c r="I64" s="139">
        <f t="shared" si="13"/>
        <v>-3947420</v>
      </c>
      <c r="J64" s="140">
        <v>46174</v>
      </c>
      <c r="K64" s="135" t="str">
        <f t="shared" si="14"/>
        <v>Jun 2026</v>
      </c>
      <c r="L64" s="135" t="s">
        <v>31</v>
      </c>
      <c r="M64" s="135" t="s">
        <v>8</v>
      </c>
      <c r="N64" s="135" t="s">
        <v>16</v>
      </c>
      <c r="O64" s="141" t="s">
        <v>59</v>
      </c>
    </row>
    <row r="65" spans="1:15" x14ac:dyDescent="0.35">
      <c r="B65" s="142" t="str">
        <f t="shared" si="15"/>
        <v/>
      </c>
      <c r="C65" s="135"/>
      <c r="D65" s="135"/>
      <c r="E65" s="135"/>
      <c r="F65" s="135"/>
      <c r="G65" s="138"/>
      <c r="H65" s="146"/>
      <c r="I65" s="139" t="str">
        <f t="shared" si="13"/>
        <v/>
      </c>
      <c r="J65" s="140"/>
      <c r="K65" s="135" t="str">
        <f t="shared" si="14"/>
        <v>Jan 1900</v>
      </c>
      <c r="L65" s="135"/>
      <c r="M65" s="135"/>
      <c r="N65" s="135"/>
      <c r="O65" s="141"/>
    </row>
    <row r="66" spans="1:15" x14ac:dyDescent="0.35">
      <c r="B66" s="142" t="str">
        <f t="shared" si="15"/>
        <v/>
      </c>
      <c r="C66" s="135"/>
      <c r="D66" s="135"/>
      <c r="E66" s="135"/>
      <c r="F66" s="135"/>
      <c r="G66" s="138"/>
      <c r="H66" s="146"/>
      <c r="I66" s="139" t="str">
        <f t="shared" si="13"/>
        <v/>
      </c>
      <c r="J66" s="140"/>
      <c r="K66" s="135" t="str">
        <f t="shared" si="14"/>
        <v>Jan 1900</v>
      </c>
      <c r="L66" s="135"/>
      <c r="M66" s="135"/>
      <c r="N66" s="135"/>
      <c r="O66" s="141"/>
    </row>
    <row r="67" spans="1:15" x14ac:dyDescent="0.35">
      <c r="B67" s="142" t="str">
        <f t="shared" si="15"/>
        <v/>
      </c>
      <c r="C67" s="135"/>
      <c r="D67" s="135"/>
      <c r="E67" s="135"/>
      <c r="F67" s="135"/>
      <c r="G67" s="138"/>
      <c r="H67" s="146"/>
      <c r="I67" s="139" t="str">
        <f t="shared" si="13"/>
        <v/>
      </c>
      <c r="J67" s="140"/>
      <c r="K67" s="135" t="str">
        <f t="shared" si="14"/>
        <v>Jan 1900</v>
      </c>
      <c r="L67" s="135"/>
      <c r="M67" s="135"/>
      <c r="N67" s="135"/>
      <c r="O67" s="141"/>
    </row>
    <row r="68" spans="1:15" x14ac:dyDescent="0.35">
      <c r="B68" s="142"/>
      <c r="C68" s="135"/>
      <c r="D68" s="135"/>
      <c r="E68" s="135"/>
      <c r="F68" s="135"/>
      <c r="G68" s="138"/>
      <c r="H68" s="146"/>
      <c r="I68" s="139" t="str">
        <f t="shared" si="13"/>
        <v/>
      </c>
      <c r="J68" s="140"/>
      <c r="K68" s="135" t="str">
        <f t="shared" si="14"/>
        <v>Jan 1900</v>
      </c>
      <c r="L68" s="135"/>
      <c r="M68" s="135"/>
      <c r="N68" s="135"/>
      <c r="O68" s="141"/>
    </row>
    <row r="69" spans="1:15" ht="21" customHeight="1" x14ac:dyDescent="0.35">
      <c r="A69" s="97"/>
      <c r="B69" s="126">
        <v>7</v>
      </c>
      <c r="C69" s="127" t="s">
        <v>120</v>
      </c>
      <c r="D69" s="128"/>
      <c r="E69" s="128"/>
      <c r="F69" s="128"/>
      <c r="G69" s="129">
        <f>SUM(G70:G80)</f>
        <v>7515199.5000000009</v>
      </c>
      <c r="H69" s="145">
        <f>SUM(H70:H80)</f>
        <v>0</v>
      </c>
      <c r="I69" s="145">
        <f>SUM(I70:I80)</f>
        <v>0</v>
      </c>
      <c r="J69" s="131"/>
      <c r="K69" s="131"/>
      <c r="L69" s="132"/>
      <c r="M69" s="132"/>
      <c r="N69" s="132"/>
      <c r="O69" s="133"/>
    </row>
    <row r="70" spans="1:15" x14ac:dyDescent="0.35">
      <c r="B70" s="134">
        <v>1</v>
      </c>
      <c r="C70" s="135"/>
      <c r="D70" s="135" t="s">
        <v>121</v>
      </c>
      <c r="E70" s="135" t="s">
        <v>57</v>
      </c>
      <c r="F70" s="135"/>
      <c r="G70" s="143"/>
      <c r="H70" s="144"/>
      <c r="I70" s="139" t="str">
        <f t="shared" ref="I70:I80" si="16">IF(H70&gt;0,G70-H70,"")</f>
        <v/>
      </c>
      <c r="J70" s="135"/>
      <c r="K70" s="135" t="str">
        <f t="shared" ref="K70:K80" si="17">TEXT(J70,"mmm yyyy")</f>
        <v>Jan 1900</v>
      </c>
      <c r="L70" s="135" t="s">
        <v>29</v>
      </c>
      <c r="M70" s="135" t="s">
        <v>8</v>
      </c>
      <c r="N70" s="135" t="s">
        <v>17</v>
      </c>
      <c r="O70" s="141" t="s">
        <v>59</v>
      </c>
    </row>
    <row r="71" spans="1:15" x14ac:dyDescent="0.35">
      <c r="B71" s="142">
        <f t="shared" ref="B71:B79" si="18">IF(D71&gt;0,B70+1,"")</f>
        <v>2</v>
      </c>
      <c r="C71" s="135"/>
      <c r="D71" s="135" t="s">
        <v>94</v>
      </c>
      <c r="E71" s="135" t="s">
        <v>57</v>
      </c>
      <c r="F71" s="135"/>
      <c r="G71" s="143"/>
      <c r="H71" s="144"/>
      <c r="I71" s="139" t="str">
        <f t="shared" si="16"/>
        <v/>
      </c>
      <c r="J71" s="135"/>
      <c r="K71" s="135" t="str">
        <f t="shared" si="17"/>
        <v>Jan 1900</v>
      </c>
      <c r="L71" s="135" t="s">
        <v>29</v>
      </c>
      <c r="M71" s="135" t="s">
        <v>8</v>
      </c>
      <c r="N71" s="135" t="s">
        <v>17</v>
      </c>
      <c r="O71" s="141" t="s">
        <v>59</v>
      </c>
    </row>
    <row r="72" spans="1:15" x14ac:dyDescent="0.35">
      <c r="B72" s="142">
        <f t="shared" si="18"/>
        <v>3</v>
      </c>
      <c r="C72" s="135"/>
      <c r="D72" s="135" t="s">
        <v>95</v>
      </c>
      <c r="E72" s="135" t="s">
        <v>57</v>
      </c>
      <c r="F72" s="135"/>
      <c r="G72" s="143"/>
      <c r="H72" s="144"/>
      <c r="I72" s="139" t="str">
        <f t="shared" si="16"/>
        <v/>
      </c>
      <c r="J72" s="135"/>
      <c r="K72" s="135" t="str">
        <f t="shared" si="17"/>
        <v>Jan 1900</v>
      </c>
      <c r="L72" s="135" t="s">
        <v>29</v>
      </c>
      <c r="M72" s="135" t="s">
        <v>8</v>
      </c>
      <c r="N72" s="135" t="s">
        <v>17</v>
      </c>
      <c r="O72" s="141" t="s">
        <v>59</v>
      </c>
    </row>
    <row r="73" spans="1:15" x14ac:dyDescent="0.35">
      <c r="B73" s="142">
        <f t="shared" si="18"/>
        <v>4</v>
      </c>
      <c r="C73" s="135"/>
      <c r="D73" s="135" t="s">
        <v>96</v>
      </c>
      <c r="E73" s="135" t="s">
        <v>57</v>
      </c>
      <c r="F73" s="135"/>
      <c r="G73" s="143">
        <f>6770450*1.11</f>
        <v>7515199.5000000009</v>
      </c>
      <c r="H73" s="144"/>
      <c r="I73" s="139" t="str">
        <f t="shared" si="16"/>
        <v/>
      </c>
      <c r="J73" s="135"/>
      <c r="K73" s="135" t="str">
        <f t="shared" si="17"/>
        <v>Jan 1900</v>
      </c>
      <c r="L73" s="135" t="s">
        <v>26</v>
      </c>
      <c r="M73" s="135" t="s">
        <v>8</v>
      </c>
      <c r="N73" s="135" t="s">
        <v>17</v>
      </c>
      <c r="O73" s="141" t="s">
        <v>59</v>
      </c>
    </row>
    <row r="74" spans="1:15" x14ac:dyDescent="0.35">
      <c r="B74" s="142" t="str">
        <f t="shared" si="18"/>
        <v/>
      </c>
      <c r="C74" s="135"/>
      <c r="D74" s="135"/>
      <c r="E74" s="135"/>
      <c r="F74" s="135"/>
      <c r="G74" s="143"/>
      <c r="H74" s="144"/>
      <c r="I74" s="139" t="str">
        <f t="shared" si="16"/>
        <v/>
      </c>
      <c r="J74" s="135"/>
      <c r="K74" s="135" t="str">
        <f t="shared" si="17"/>
        <v>Jan 1900</v>
      </c>
      <c r="L74" s="135"/>
      <c r="M74" s="135" t="s">
        <v>8</v>
      </c>
      <c r="N74" s="135"/>
      <c r="O74" s="141"/>
    </row>
    <row r="75" spans="1:15" x14ac:dyDescent="0.35">
      <c r="B75" s="142" t="str">
        <f t="shared" si="18"/>
        <v/>
      </c>
      <c r="C75" s="135"/>
      <c r="D75" s="135"/>
      <c r="E75" s="135"/>
      <c r="F75" s="135"/>
      <c r="G75" s="143"/>
      <c r="H75" s="144"/>
      <c r="I75" s="139" t="str">
        <f t="shared" si="16"/>
        <v/>
      </c>
      <c r="J75" s="135"/>
      <c r="K75" s="135" t="str">
        <f t="shared" si="17"/>
        <v>Jan 1900</v>
      </c>
      <c r="L75" s="135"/>
      <c r="M75" s="135" t="s">
        <v>8</v>
      </c>
      <c r="N75" s="135"/>
      <c r="O75" s="141"/>
    </row>
    <row r="76" spans="1:15" x14ac:dyDescent="0.35">
      <c r="B76" s="142" t="str">
        <f t="shared" si="18"/>
        <v/>
      </c>
      <c r="C76" s="135"/>
      <c r="D76" s="135"/>
      <c r="E76" s="135"/>
      <c r="F76" s="135"/>
      <c r="G76" s="143"/>
      <c r="H76" s="144"/>
      <c r="I76" s="139" t="str">
        <f t="shared" si="16"/>
        <v/>
      </c>
      <c r="J76" s="135"/>
      <c r="K76" s="135" t="str">
        <f t="shared" si="17"/>
        <v>Jan 1900</v>
      </c>
      <c r="L76" s="135"/>
      <c r="M76" s="135" t="s">
        <v>8</v>
      </c>
      <c r="N76" s="135"/>
      <c r="O76" s="141"/>
    </row>
    <row r="77" spans="1:15" x14ac:dyDescent="0.35">
      <c r="B77" s="142" t="str">
        <f t="shared" si="18"/>
        <v/>
      </c>
      <c r="C77" s="135"/>
      <c r="D77" s="135"/>
      <c r="E77" s="135"/>
      <c r="F77" s="135"/>
      <c r="G77" s="143"/>
      <c r="H77" s="144"/>
      <c r="I77" s="139" t="str">
        <f t="shared" si="16"/>
        <v/>
      </c>
      <c r="J77" s="135"/>
      <c r="K77" s="135" t="str">
        <f t="shared" si="17"/>
        <v>Jan 1900</v>
      </c>
      <c r="L77" s="135"/>
      <c r="M77" s="135" t="s">
        <v>8</v>
      </c>
      <c r="N77" s="135"/>
      <c r="O77" s="141"/>
    </row>
    <row r="78" spans="1:15" x14ac:dyDescent="0.35">
      <c r="B78" s="142" t="str">
        <f t="shared" si="18"/>
        <v/>
      </c>
      <c r="C78" s="135"/>
      <c r="D78" s="135"/>
      <c r="E78" s="135"/>
      <c r="F78" s="135"/>
      <c r="G78" s="143"/>
      <c r="H78" s="144"/>
      <c r="I78" s="139" t="str">
        <f t="shared" si="16"/>
        <v/>
      </c>
      <c r="J78" s="135"/>
      <c r="K78" s="135" t="str">
        <f t="shared" si="17"/>
        <v>Jan 1900</v>
      </c>
      <c r="L78" s="135"/>
      <c r="M78" s="135" t="s">
        <v>8</v>
      </c>
      <c r="N78" s="135"/>
      <c r="O78" s="141"/>
    </row>
    <row r="79" spans="1:15" x14ac:dyDescent="0.35">
      <c r="B79" s="142" t="str">
        <f t="shared" si="18"/>
        <v/>
      </c>
      <c r="C79" s="135"/>
      <c r="D79" s="135"/>
      <c r="E79" s="135"/>
      <c r="F79" s="135"/>
      <c r="G79" s="143"/>
      <c r="H79" s="144"/>
      <c r="I79" s="139" t="str">
        <f t="shared" si="16"/>
        <v/>
      </c>
      <c r="J79" s="135"/>
      <c r="K79" s="135" t="str">
        <f t="shared" si="17"/>
        <v>Jan 1900</v>
      </c>
      <c r="L79" s="135"/>
      <c r="M79" s="135" t="s">
        <v>8</v>
      </c>
      <c r="N79" s="135"/>
      <c r="O79" s="141"/>
    </row>
    <row r="80" spans="1:15" x14ac:dyDescent="0.35">
      <c r="B80" s="142"/>
      <c r="C80" s="135"/>
      <c r="D80" s="135"/>
      <c r="E80" s="135"/>
      <c r="F80" s="135"/>
      <c r="G80" s="143"/>
      <c r="H80" s="144"/>
      <c r="I80" s="139" t="str">
        <f t="shared" si="16"/>
        <v/>
      </c>
      <c r="J80" s="135"/>
      <c r="K80" s="135" t="str">
        <f t="shared" si="17"/>
        <v>Jan 1900</v>
      </c>
      <c r="L80" s="135"/>
      <c r="M80" s="135" t="s">
        <v>8</v>
      </c>
      <c r="N80" s="135"/>
      <c r="O80" s="141"/>
    </row>
    <row r="81" spans="1:15" ht="21" customHeight="1" x14ac:dyDescent="0.35">
      <c r="A81" s="97"/>
      <c r="B81" s="126">
        <v>8</v>
      </c>
      <c r="C81" s="127" t="s">
        <v>122</v>
      </c>
      <c r="D81" s="128"/>
      <c r="E81" s="128"/>
      <c r="F81" s="128"/>
      <c r="G81" s="129">
        <f>SUM(G82:G90)</f>
        <v>22258740.09</v>
      </c>
      <c r="H81" s="145">
        <f>SUM(H82:H90)</f>
        <v>8281710</v>
      </c>
      <c r="I81" s="145">
        <f>SUM(I82:I90)</f>
        <v>-1864343.7899999991</v>
      </c>
      <c r="J81" s="131"/>
      <c r="K81" s="131"/>
      <c r="L81" s="132"/>
      <c r="M81" s="132"/>
      <c r="N81" s="132"/>
      <c r="O81" s="133"/>
    </row>
    <row r="82" spans="1:15" x14ac:dyDescent="0.35">
      <c r="B82" s="142">
        <v>1</v>
      </c>
      <c r="C82" s="135"/>
      <c r="D82" s="135" t="s">
        <v>96</v>
      </c>
      <c r="E82" s="135" t="s">
        <v>57</v>
      </c>
      <c r="F82" s="135" t="s">
        <v>165</v>
      </c>
      <c r="G82" s="143">
        <f>5781411*1.11</f>
        <v>6417366.2100000009</v>
      </c>
      <c r="H82" s="144">
        <v>8281710</v>
      </c>
      <c r="I82" s="139">
        <f t="shared" ref="I82:I90" si="19">IF(H82&gt;0,G82-H82,"")</f>
        <v>-1864343.7899999991</v>
      </c>
      <c r="J82" s="140">
        <v>46177</v>
      </c>
      <c r="K82" s="135" t="str">
        <f t="shared" ref="K82:K90" si="20">TEXT(J82,"mmm yyyy")</f>
        <v>Jun 2026</v>
      </c>
      <c r="L82" s="135" t="s">
        <v>26</v>
      </c>
      <c r="M82" s="135" t="s">
        <v>8</v>
      </c>
      <c r="N82" s="135" t="s">
        <v>16</v>
      </c>
      <c r="O82" s="141" t="s">
        <v>59</v>
      </c>
    </row>
    <row r="83" spans="1:15" x14ac:dyDescent="0.35">
      <c r="B83" s="142">
        <f t="shared" ref="B83:B90" si="21">IF(D83&gt;0,B82+1,"")</f>
        <v>2</v>
      </c>
      <c r="C83" s="135"/>
      <c r="D83" s="135" t="s">
        <v>163</v>
      </c>
      <c r="E83" s="135" t="s">
        <v>57</v>
      </c>
      <c r="F83" s="135"/>
      <c r="G83" s="143">
        <f>12645640*1.11</f>
        <v>14036660.4</v>
      </c>
      <c r="H83" s="144"/>
      <c r="I83" s="139" t="str">
        <f t="shared" si="19"/>
        <v/>
      </c>
      <c r="J83" s="135"/>
      <c r="K83" s="135" t="str">
        <f t="shared" si="20"/>
        <v>Jan 1900</v>
      </c>
      <c r="L83" s="135" t="s">
        <v>159</v>
      </c>
      <c r="M83" s="135" t="s">
        <v>8</v>
      </c>
      <c r="N83" s="135" t="s">
        <v>17</v>
      </c>
      <c r="O83" s="141" t="s">
        <v>59</v>
      </c>
    </row>
    <row r="84" spans="1:15" x14ac:dyDescent="0.35">
      <c r="B84" s="142">
        <f t="shared" si="21"/>
        <v>3</v>
      </c>
      <c r="C84" s="135"/>
      <c r="D84" s="135" t="s">
        <v>94</v>
      </c>
      <c r="E84" s="135" t="s">
        <v>57</v>
      </c>
      <c r="F84" s="135"/>
      <c r="G84" s="143">
        <f>1625868*1.11</f>
        <v>1804713.4800000002</v>
      </c>
      <c r="H84" s="144"/>
      <c r="I84" s="139" t="str">
        <f t="shared" si="19"/>
        <v/>
      </c>
      <c r="J84" s="135"/>
      <c r="K84" s="135" t="str">
        <f t="shared" si="20"/>
        <v>Jan 1900</v>
      </c>
      <c r="L84" s="135" t="s">
        <v>159</v>
      </c>
      <c r="M84" s="135" t="s">
        <v>8</v>
      </c>
      <c r="N84" s="135" t="s">
        <v>17</v>
      </c>
      <c r="O84" s="141" t="s">
        <v>59</v>
      </c>
    </row>
    <row r="85" spans="1:15" x14ac:dyDescent="0.35">
      <c r="B85" s="142">
        <f t="shared" si="21"/>
        <v>4</v>
      </c>
      <c r="C85" s="135"/>
      <c r="D85" s="135" t="s">
        <v>95</v>
      </c>
      <c r="E85" s="135" t="s">
        <v>57</v>
      </c>
      <c r="F85" s="135"/>
      <c r="G85" s="143" t="s">
        <v>164</v>
      </c>
      <c r="H85" s="144"/>
      <c r="I85" s="139" t="str">
        <f t="shared" si="19"/>
        <v/>
      </c>
      <c r="J85" s="135"/>
      <c r="K85" s="135" t="str">
        <f t="shared" si="20"/>
        <v>Jan 1900</v>
      </c>
      <c r="L85" s="135" t="s">
        <v>159</v>
      </c>
      <c r="M85" s="135" t="s">
        <v>8</v>
      </c>
      <c r="N85" s="135" t="s">
        <v>17</v>
      </c>
      <c r="O85" s="141" t="s">
        <v>59</v>
      </c>
    </row>
    <row r="86" spans="1:15" x14ac:dyDescent="0.35">
      <c r="B86" s="142" t="str">
        <f t="shared" si="21"/>
        <v/>
      </c>
      <c r="C86" s="135"/>
      <c r="D86" s="135"/>
      <c r="E86" s="135"/>
      <c r="F86" s="135"/>
      <c r="G86" s="143"/>
      <c r="H86" s="144"/>
      <c r="I86" s="139" t="str">
        <f t="shared" si="19"/>
        <v/>
      </c>
      <c r="J86" s="135"/>
      <c r="K86" s="135" t="str">
        <f t="shared" si="20"/>
        <v>Jan 1900</v>
      </c>
      <c r="L86" s="135"/>
      <c r="M86" s="135" t="s">
        <v>8</v>
      </c>
      <c r="N86" s="135"/>
      <c r="O86" s="141"/>
    </row>
    <row r="87" spans="1:15" x14ac:dyDescent="0.35">
      <c r="B87" s="142" t="str">
        <f t="shared" si="21"/>
        <v/>
      </c>
      <c r="C87" s="135"/>
      <c r="D87" s="135"/>
      <c r="E87" s="135"/>
      <c r="F87" s="135"/>
      <c r="G87" s="143"/>
      <c r="H87" s="144"/>
      <c r="I87" s="139" t="str">
        <f t="shared" si="19"/>
        <v/>
      </c>
      <c r="J87" s="135"/>
      <c r="K87" s="135" t="str">
        <f t="shared" si="20"/>
        <v>Jan 1900</v>
      </c>
      <c r="L87" s="135"/>
      <c r="M87" s="135" t="s">
        <v>8</v>
      </c>
      <c r="N87" s="135"/>
      <c r="O87" s="141"/>
    </row>
    <row r="88" spans="1:15" x14ac:dyDescent="0.35">
      <c r="B88" s="142" t="str">
        <f t="shared" si="21"/>
        <v/>
      </c>
      <c r="C88" s="135"/>
      <c r="D88" s="135"/>
      <c r="E88" s="135"/>
      <c r="F88" s="135"/>
      <c r="G88" s="143"/>
      <c r="H88" s="144"/>
      <c r="I88" s="139" t="str">
        <f t="shared" si="19"/>
        <v/>
      </c>
      <c r="J88" s="135"/>
      <c r="K88" s="135" t="str">
        <f t="shared" si="20"/>
        <v>Jan 1900</v>
      </c>
      <c r="L88" s="135"/>
      <c r="M88" s="135" t="s">
        <v>8</v>
      </c>
      <c r="N88" s="135"/>
      <c r="O88" s="141"/>
    </row>
    <row r="89" spans="1:15" x14ac:dyDescent="0.35">
      <c r="B89" s="142" t="str">
        <f t="shared" si="21"/>
        <v/>
      </c>
      <c r="C89" s="135"/>
      <c r="D89" s="135"/>
      <c r="E89" s="135"/>
      <c r="F89" s="135"/>
      <c r="G89" s="143"/>
      <c r="H89" s="144"/>
      <c r="I89" s="139" t="str">
        <f t="shared" si="19"/>
        <v/>
      </c>
      <c r="J89" s="135"/>
      <c r="K89" s="135" t="str">
        <f t="shared" si="20"/>
        <v>Jan 1900</v>
      </c>
      <c r="L89" s="135"/>
      <c r="M89" s="135" t="s">
        <v>8</v>
      </c>
      <c r="N89" s="135"/>
      <c r="O89" s="141"/>
    </row>
    <row r="90" spans="1:15" x14ac:dyDescent="0.35">
      <c r="B90" s="134" t="str">
        <f t="shared" si="21"/>
        <v/>
      </c>
      <c r="C90" s="135"/>
      <c r="D90" s="135"/>
      <c r="E90" s="135"/>
      <c r="F90" s="135"/>
      <c r="G90" s="143"/>
      <c r="H90" s="144"/>
      <c r="I90" s="139" t="str">
        <f t="shared" si="19"/>
        <v/>
      </c>
      <c r="J90" s="135"/>
      <c r="K90" s="135" t="str">
        <f t="shared" si="20"/>
        <v>Jan 1900</v>
      </c>
      <c r="L90" s="135"/>
      <c r="M90" s="135" t="s">
        <v>8</v>
      </c>
      <c r="N90" s="135"/>
      <c r="O90" s="141"/>
    </row>
    <row r="91" spans="1:15" ht="21" customHeight="1" x14ac:dyDescent="0.35">
      <c r="A91" s="97"/>
      <c r="B91" s="126">
        <v>8</v>
      </c>
      <c r="C91" s="127" t="s">
        <v>123</v>
      </c>
      <c r="D91" s="128"/>
      <c r="E91" s="128"/>
      <c r="F91" s="128"/>
      <c r="G91" s="129">
        <f>SUM(G92:G99)</f>
        <v>283380891</v>
      </c>
      <c r="H91" s="145">
        <f>SUM(H92:H99)</f>
        <v>8970465</v>
      </c>
      <c r="I91" s="145">
        <f>SUM(I92:I99)</f>
        <v>-1609278</v>
      </c>
      <c r="J91" s="131"/>
      <c r="K91" s="131"/>
      <c r="L91" s="132"/>
      <c r="M91" s="132"/>
      <c r="N91" s="132"/>
      <c r="O91" s="133"/>
    </row>
    <row r="92" spans="1:15" x14ac:dyDescent="0.35">
      <c r="B92" s="142">
        <v>1</v>
      </c>
      <c r="C92" s="135"/>
      <c r="D92" s="135" t="s">
        <v>96</v>
      </c>
      <c r="E92" s="135" t="s">
        <v>57</v>
      </c>
      <c r="F92" s="135" t="s">
        <v>165</v>
      </c>
      <c r="G92" s="143">
        <v>7361187</v>
      </c>
      <c r="H92" s="144">
        <v>8970465</v>
      </c>
      <c r="I92" s="139">
        <f t="shared" ref="I92:I99" si="22">IF(H92&gt;0,G92-H92,"")</f>
        <v>-1609278</v>
      </c>
      <c r="J92" s="140">
        <v>46177</v>
      </c>
      <c r="K92" s="135" t="str">
        <f t="shared" ref="K92:K99" si="23">TEXT(J92,"mmm yyyy")</f>
        <v>Jun 2026</v>
      </c>
      <c r="L92" s="135" t="s">
        <v>26</v>
      </c>
      <c r="M92" s="135" t="s">
        <v>8</v>
      </c>
      <c r="N92" s="135" t="s">
        <v>17</v>
      </c>
      <c r="O92" s="141" t="s">
        <v>59</v>
      </c>
    </row>
    <row r="93" spans="1:15" x14ac:dyDescent="0.35">
      <c r="B93" s="142">
        <v>2</v>
      </c>
      <c r="C93" s="135"/>
      <c r="D93" s="136" t="s">
        <v>166</v>
      </c>
      <c r="E93" s="135" t="s">
        <v>57</v>
      </c>
      <c r="F93" s="135"/>
      <c r="G93" s="143">
        <f>248666400*1.11</f>
        <v>276019704</v>
      </c>
      <c r="H93" s="144"/>
      <c r="I93" s="139" t="str">
        <f t="shared" si="22"/>
        <v/>
      </c>
      <c r="J93" s="135"/>
      <c r="K93" s="135" t="str">
        <f t="shared" si="23"/>
        <v>Jan 1900</v>
      </c>
      <c r="L93" s="135" t="s">
        <v>26</v>
      </c>
      <c r="M93" s="135" t="s">
        <v>8</v>
      </c>
      <c r="N93" s="135" t="s">
        <v>17</v>
      </c>
      <c r="O93" s="141" t="s">
        <v>59</v>
      </c>
    </row>
    <row r="94" spans="1:15" x14ac:dyDescent="0.35">
      <c r="B94" s="142" t="str">
        <f t="shared" ref="B93:B99" si="24">IF(D94&gt;0,B93+1,"")</f>
        <v/>
      </c>
      <c r="C94" s="135"/>
      <c r="D94" s="135"/>
      <c r="E94" s="135"/>
      <c r="F94" s="135"/>
      <c r="G94" s="143"/>
      <c r="H94" s="144"/>
      <c r="I94" s="139" t="str">
        <f t="shared" si="22"/>
        <v/>
      </c>
      <c r="J94" s="135"/>
      <c r="K94" s="135" t="str">
        <f t="shared" si="23"/>
        <v>Jan 1900</v>
      </c>
      <c r="L94" s="135"/>
      <c r="M94" s="135" t="s">
        <v>8</v>
      </c>
      <c r="N94" s="135"/>
      <c r="O94" s="141"/>
    </row>
    <row r="95" spans="1:15" x14ac:dyDescent="0.35">
      <c r="B95" s="142" t="str">
        <f t="shared" si="24"/>
        <v/>
      </c>
      <c r="C95" s="135"/>
      <c r="D95" s="135"/>
      <c r="E95" s="135"/>
      <c r="F95" s="135"/>
      <c r="G95" s="143"/>
      <c r="H95" s="144"/>
      <c r="I95" s="139" t="str">
        <f t="shared" si="22"/>
        <v/>
      </c>
      <c r="J95" s="135"/>
      <c r="K95" s="135" t="str">
        <f t="shared" si="23"/>
        <v>Jan 1900</v>
      </c>
      <c r="L95" s="135"/>
      <c r="M95" s="135" t="s">
        <v>8</v>
      </c>
      <c r="N95" s="135"/>
      <c r="O95" s="141"/>
    </row>
    <row r="96" spans="1:15" x14ac:dyDescent="0.35">
      <c r="B96" s="142" t="str">
        <f t="shared" si="24"/>
        <v/>
      </c>
      <c r="C96" s="135"/>
      <c r="D96" s="135"/>
      <c r="E96" s="135"/>
      <c r="F96" s="135"/>
      <c r="G96" s="143"/>
      <c r="H96" s="144"/>
      <c r="I96" s="139" t="str">
        <f t="shared" si="22"/>
        <v/>
      </c>
      <c r="J96" s="135"/>
      <c r="K96" s="135" t="str">
        <f t="shared" si="23"/>
        <v>Jan 1900</v>
      </c>
      <c r="L96" s="135"/>
      <c r="M96" s="135" t="s">
        <v>8</v>
      </c>
      <c r="N96" s="135"/>
      <c r="O96" s="141"/>
    </row>
    <row r="97" spans="1:15" x14ac:dyDescent="0.35">
      <c r="B97" s="142" t="str">
        <f t="shared" si="24"/>
        <v/>
      </c>
      <c r="C97" s="135"/>
      <c r="D97" s="135"/>
      <c r="E97" s="135"/>
      <c r="F97" s="135"/>
      <c r="G97" s="143"/>
      <c r="H97" s="144"/>
      <c r="I97" s="139" t="str">
        <f t="shared" si="22"/>
        <v/>
      </c>
      <c r="J97" s="135"/>
      <c r="K97" s="135" t="str">
        <f t="shared" si="23"/>
        <v>Jan 1900</v>
      </c>
      <c r="L97" s="135"/>
      <c r="M97" s="135" t="s">
        <v>8</v>
      </c>
      <c r="N97" s="135"/>
      <c r="O97" s="141"/>
    </row>
    <row r="98" spans="1:15" x14ac:dyDescent="0.35">
      <c r="B98" s="142" t="str">
        <f t="shared" si="24"/>
        <v/>
      </c>
      <c r="C98" s="135"/>
      <c r="D98" s="135"/>
      <c r="E98" s="135"/>
      <c r="F98" s="135"/>
      <c r="G98" s="143"/>
      <c r="H98" s="144"/>
      <c r="I98" s="139" t="str">
        <f t="shared" si="22"/>
        <v/>
      </c>
      <c r="J98" s="135"/>
      <c r="K98" s="135" t="str">
        <f t="shared" si="23"/>
        <v>Jan 1900</v>
      </c>
      <c r="L98" s="135"/>
      <c r="M98" s="135" t="s">
        <v>8</v>
      </c>
      <c r="N98" s="135"/>
      <c r="O98" s="141"/>
    </row>
    <row r="99" spans="1:15" x14ac:dyDescent="0.35">
      <c r="B99" s="134" t="str">
        <f t="shared" si="24"/>
        <v/>
      </c>
      <c r="C99" s="135"/>
      <c r="D99" s="135"/>
      <c r="E99" s="135"/>
      <c r="F99" s="135"/>
      <c r="G99" s="143"/>
      <c r="H99" s="144"/>
      <c r="I99" s="139" t="str">
        <f t="shared" si="22"/>
        <v/>
      </c>
      <c r="J99" s="135"/>
      <c r="K99" s="135" t="str">
        <f t="shared" si="23"/>
        <v>Jan 1900</v>
      </c>
      <c r="L99" s="135"/>
      <c r="M99" s="135" t="s">
        <v>8</v>
      </c>
      <c r="N99" s="135"/>
      <c r="O99" s="141"/>
    </row>
    <row r="100" spans="1:15" ht="21" customHeight="1" x14ac:dyDescent="0.35">
      <c r="A100" s="97"/>
      <c r="B100" s="126">
        <v>9</v>
      </c>
      <c r="C100" s="127" t="s">
        <v>124</v>
      </c>
      <c r="D100" s="128"/>
      <c r="E100" s="128"/>
      <c r="F100" s="128"/>
      <c r="G100" s="129">
        <f>SUM(G101:G111)</f>
        <v>246383109</v>
      </c>
      <c r="H100" s="145">
        <f>SUM(H101:H111)</f>
        <v>8166825</v>
      </c>
      <c r="I100" s="145">
        <f>SUM(I101:I111)</f>
        <v>-1082916</v>
      </c>
      <c r="J100" s="131"/>
      <c r="K100" s="131"/>
      <c r="L100" s="132"/>
      <c r="M100" s="132"/>
      <c r="N100" s="132"/>
      <c r="O100" s="133"/>
    </row>
    <row r="101" spans="1:15" x14ac:dyDescent="0.35">
      <c r="B101" s="142">
        <v>1</v>
      </c>
      <c r="C101" s="135"/>
      <c r="D101" s="135" t="s">
        <v>96</v>
      </c>
      <c r="E101" s="135" t="s">
        <v>57</v>
      </c>
      <c r="F101" s="135"/>
      <c r="G101" s="143">
        <v>7083909</v>
      </c>
      <c r="H101" s="144">
        <v>8166825</v>
      </c>
      <c r="I101" s="139">
        <f t="shared" ref="I101:I111" si="25">IF(H101&gt;0,G101-H101,"")</f>
        <v>-1082916</v>
      </c>
      <c r="J101" s="140">
        <v>46177</v>
      </c>
      <c r="K101" s="135" t="str">
        <f t="shared" ref="K101:K111" si="26">TEXT(J101,"mmm yyyy")</f>
        <v>Jun 2026</v>
      </c>
      <c r="L101" s="135" t="s">
        <v>26</v>
      </c>
      <c r="M101" s="135" t="s">
        <v>8</v>
      </c>
      <c r="N101" s="135" t="s">
        <v>17</v>
      </c>
      <c r="O101" s="141" t="s">
        <v>59</v>
      </c>
    </row>
    <row r="102" spans="1:15" x14ac:dyDescent="0.35">
      <c r="B102" s="142">
        <f t="shared" ref="B102:B110" si="27">IF(D102&gt;0,B101+1,"")</f>
        <v>2</v>
      </c>
      <c r="C102" s="135"/>
      <c r="D102" s="136" t="s">
        <v>166</v>
      </c>
      <c r="E102" s="135" t="s">
        <v>57</v>
      </c>
      <c r="F102" s="135"/>
      <c r="G102" s="143">
        <v>239299200</v>
      </c>
      <c r="H102" s="144"/>
      <c r="I102" s="139" t="str">
        <f t="shared" si="25"/>
        <v/>
      </c>
      <c r="J102" s="135"/>
      <c r="K102" s="135" t="str">
        <f t="shared" si="26"/>
        <v>Jan 1900</v>
      </c>
      <c r="L102" s="135"/>
      <c r="M102" s="135" t="s">
        <v>8</v>
      </c>
      <c r="N102" s="135"/>
      <c r="O102" s="141"/>
    </row>
    <row r="103" spans="1:15" x14ac:dyDescent="0.35">
      <c r="B103" s="142" t="str">
        <f t="shared" si="27"/>
        <v/>
      </c>
      <c r="C103" s="135"/>
      <c r="D103" s="135"/>
      <c r="E103" s="135"/>
      <c r="F103" s="135"/>
      <c r="G103" s="143"/>
      <c r="H103" s="144"/>
      <c r="I103" s="139" t="str">
        <f t="shared" si="25"/>
        <v/>
      </c>
      <c r="J103" s="135"/>
      <c r="K103" s="135" t="str">
        <f t="shared" si="26"/>
        <v>Jan 1900</v>
      </c>
      <c r="L103" s="135"/>
      <c r="M103" s="135" t="s">
        <v>8</v>
      </c>
      <c r="N103" s="135"/>
      <c r="O103" s="141"/>
    </row>
    <row r="104" spans="1:15" x14ac:dyDescent="0.35">
      <c r="B104" s="142" t="str">
        <f t="shared" si="27"/>
        <v/>
      </c>
      <c r="C104" s="135"/>
      <c r="D104" s="135"/>
      <c r="E104" s="135"/>
      <c r="F104" s="135"/>
      <c r="G104" s="143"/>
      <c r="H104" s="144"/>
      <c r="I104" s="139" t="str">
        <f t="shared" si="25"/>
        <v/>
      </c>
      <c r="J104" s="135"/>
      <c r="K104" s="135" t="str">
        <f t="shared" si="26"/>
        <v>Jan 1900</v>
      </c>
      <c r="L104" s="135"/>
      <c r="M104" s="135" t="s">
        <v>8</v>
      </c>
      <c r="N104" s="135"/>
      <c r="O104" s="141"/>
    </row>
    <row r="105" spans="1:15" x14ac:dyDescent="0.35">
      <c r="B105" s="142" t="str">
        <f t="shared" si="27"/>
        <v/>
      </c>
      <c r="C105" s="135"/>
      <c r="D105" s="135"/>
      <c r="E105" s="135"/>
      <c r="F105" s="135"/>
      <c r="G105" s="143"/>
      <c r="H105" s="144"/>
      <c r="I105" s="139" t="str">
        <f t="shared" si="25"/>
        <v/>
      </c>
      <c r="J105" s="135"/>
      <c r="K105" s="135" t="str">
        <f t="shared" si="26"/>
        <v>Jan 1900</v>
      </c>
      <c r="L105" s="135"/>
      <c r="M105" s="135" t="s">
        <v>8</v>
      </c>
      <c r="N105" s="135"/>
      <c r="O105" s="141"/>
    </row>
    <row r="106" spans="1:15" x14ac:dyDescent="0.35">
      <c r="B106" s="142" t="str">
        <f t="shared" si="27"/>
        <v/>
      </c>
      <c r="C106" s="135"/>
      <c r="D106" s="135"/>
      <c r="E106" s="135"/>
      <c r="F106" s="135"/>
      <c r="G106" s="143"/>
      <c r="H106" s="144"/>
      <c r="I106" s="139" t="str">
        <f t="shared" si="25"/>
        <v/>
      </c>
      <c r="J106" s="135"/>
      <c r="K106" s="135" t="str">
        <f t="shared" si="26"/>
        <v>Jan 1900</v>
      </c>
      <c r="L106" s="135"/>
      <c r="M106" s="135" t="s">
        <v>8</v>
      </c>
      <c r="N106" s="135"/>
      <c r="O106" s="141"/>
    </row>
    <row r="107" spans="1:15" x14ac:dyDescent="0.35">
      <c r="B107" s="142" t="str">
        <f t="shared" si="27"/>
        <v/>
      </c>
      <c r="C107" s="135"/>
      <c r="D107" s="135"/>
      <c r="E107" s="135"/>
      <c r="F107" s="135"/>
      <c r="G107" s="143"/>
      <c r="H107" s="144"/>
      <c r="I107" s="139" t="str">
        <f t="shared" si="25"/>
        <v/>
      </c>
      <c r="J107" s="135"/>
      <c r="K107" s="135" t="str">
        <f t="shared" si="26"/>
        <v>Jan 1900</v>
      </c>
      <c r="L107" s="135"/>
      <c r="M107" s="135" t="s">
        <v>8</v>
      </c>
      <c r="N107" s="135"/>
      <c r="O107" s="141"/>
    </row>
    <row r="108" spans="1:15" x14ac:dyDescent="0.35">
      <c r="B108" s="142" t="str">
        <f t="shared" si="27"/>
        <v/>
      </c>
      <c r="C108" s="135"/>
      <c r="D108" s="135"/>
      <c r="E108" s="135"/>
      <c r="F108" s="135"/>
      <c r="G108" s="143"/>
      <c r="H108" s="144"/>
      <c r="I108" s="139" t="str">
        <f t="shared" si="25"/>
        <v/>
      </c>
      <c r="J108" s="135"/>
      <c r="K108" s="135" t="str">
        <f t="shared" si="26"/>
        <v>Jan 1900</v>
      </c>
      <c r="L108" s="135"/>
      <c r="M108" s="135" t="s">
        <v>8</v>
      </c>
      <c r="N108" s="135"/>
      <c r="O108" s="141"/>
    </row>
    <row r="109" spans="1:15" x14ac:dyDescent="0.35">
      <c r="B109" s="142" t="str">
        <f t="shared" si="27"/>
        <v/>
      </c>
      <c r="C109" s="135"/>
      <c r="D109" s="135"/>
      <c r="E109" s="135"/>
      <c r="F109" s="135"/>
      <c r="G109" s="143"/>
      <c r="H109" s="144"/>
      <c r="I109" s="139" t="str">
        <f t="shared" si="25"/>
        <v/>
      </c>
      <c r="J109" s="135"/>
      <c r="K109" s="135" t="str">
        <f t="shared" si="26"/>
        <v>Jan 1900</v>
      </c>
      <c r="L109" s="135"/>
      <c r="M109" s="135" t="s">
        <v>8</v>
      </c>
      <c r="N109" s="135"/>
      <c r="O109" s="141"/>
    </row>
    <row r="110" spans="1:15" x14ac:dyDescent="0.35">
      <c r="B110" s="142" t="str">
        <f t="shared" si="27"/>
        <v/>
      </c>
      <c r="C110" s="135"/>
      <c r="D110" s="135"/>
      <c r="E110" s="135"/>
      <c r="F110" s="135"/>
      <c r="G110" s="143"/>
      <c r="H110" s="144"/>
      <c r="I110" s="139" t="str">
        <f t="shared" si="25"/>
        <v/>
      </c>
      <c r="J110" s="135"/>
      <c r="K110" s="135" t="str">
        <f t="shared" si="26"/>
        <v>Jan 1900</v>
      </c>
      <c r="L110" s="135"/>
      <c r="M110" s="135" t="s">
        <v>8</v>
      </c>
      <c r="N110" s="135"/>
      <c r="O110" s="141"/>
    </row>
    <row r="111" spans="1:15" x14ac:dyDescent="0.35">
      <c r="B111" s="134"/>
      <c r="C111" s="135"/>
      <c r="D111" s="135"/>
      <c r="E111" s="135"/>
      <c r="F111" s="135"/>
      <c r="G111" s="143"/>
      <c r="H111" s="144"/>
      <c r="I111" s="139" t="str">
        <f t="shared" si="25"/>
        <v/>
      </c>
      <c r="J111" s="135"/>
      <c r="K111" s="135" t="str">
        <f t="shared" si="26"/>
        <v>Jan 1900</v>
      </c>
      <c r="L111" s="135"/>
      <c r="M111" s="135" t="s">
        <v>8</v>
      </c>
      <c r="N111" s="135"/>
      <c r="O111" s="141"/>
    </row>
    <row r="112" spans="1:15" ht="21" customHeight="1" x14ac:dyDescent="0.35">
      <c r="A112" s="97"/>
      <c r="B112" s="126">
        <v>10</v>
      </c>
      <c r="C112" s="127" t="s">
        <v>125</v>
      </c>
      <c r="D112" s="128"/>
      <c r="E112" s="128"/>
      <c r="F112" s="128"/>
      <c r="G112" s="129">
        <f>SUM(G113:G120)</f>
        <v>93236903</v>
      </c>
      <c r="H112" s="145">
        <f>SUM(H113:H120)</f>
        <v>0</v>
      </c>
      <c r="I112" s="145">
        <f>SUM(I113:I120)</f>
        <v>0</v>
      </c>
      <c r="J112" s="131"/>
      <c r="K112" s="131"/>
      <c r="L112" s="132"/>
      <c r="M112" s="132"/>
      <c r="N112" s="132"/>
      <c r="O112" s="133"/>
    </row>
    <row r="113" spans="1:15" x14ac:dyDescent="0.35">
      <c r="B113" s="142">
        <v>1</v>
      </c>
      <c r="C113" s="135"/>
      <c r="D113" s="135" t="s">
        <v>158</v>
      </c>
      <c r="E113" s="135" t="s">
        <v>57</v>
      </c>
      <c r="F113" s="135"/>
      <c r="G113" s="143">
        <v>64236903</v>
      </c>
      <c r="H113" s="144"/>
      <c r="I113" s="139" t="str">
        <f t="shared" ref="I113:I120" si="28">IF(H113&gt;0,G113-H113,"")</f>
        <v/>
      </c>
      <c r="J113" s="135"/>
      <c r="K113" s="135" t="str">
        <f t="shared" ref="K113:K120" si="29">TEXT(J113,"mmm yyyy")</f>
        <v>Jan 1900</v>
      </c>
      <c r="L113" s="135" t="s">
        <v>159</v>
      </c>
      <c r="M113" s="135" t="s">
        <v>8</v>
      </c>
      <c r="N113" s="135" t="s">
        <v>17</v>
      </c>
      <c r="O113" s="141" t="s">
        <v>160</v>
      </c>
    </row>
    <row r="114" spans="1:15" x14ac:dyDescent="0.35">
      <c r="B114" s="142">
        <v>2</v>
      </c>
      <c r="C114" s="135"/>
      <c r="D114" s="135" t="s">
        <v>161</v>
      </c>
      <c r="E114" s="135" t="s">
        <v>57</v>
      </c>
      <c r="F114" s="135"/>
      <c r="G114" s="143">
        <v>15000000</v>
      </c>
      <c r="H114" s="144"/>
      <c r="I114" s="139" t="str">
        <f t="shared" si="28"/>
        <v/>
      </c>
      <c r="J114" s="135"/>
      <c r="K114" s="135" t="str">
        <f t="shared" si="29"/>
        <v>Jan 1900</v>
      </c>
      <c r="L114" s="135" t="s">
        <v>159</v>
      </c>
      <c r="M114" s="135" t="s">
        <v>8</v>
      </c>
      <c r="N114" s="135" t="s">
        <v>17</v>
      </c>
      <c r="O114" s="141" t="s">
        <v>160</v>
      </c>
    </row>
    <row r="115" spans="1:15" x14ac:dyDescent="0.35">
      <c r="B115" s="142">
        <v>3</v>
      </c>
      <c r="C115" s="135"/>
      <c r="D115" s="135" t="s">
        <v>162</v>
      </c>
      <c r="E115" s="135" t="s">
        <v>57</v>
      </c>
      <c r="F115" s="135"/>
      <c r="G115" s="143">
        <v>14000000</v>
      </c>
      <c r="H115" s="144"/>
      <c r="I115" s="139" t="str">
        <f t="shared" si="28"/>
        <v/>
      </c>
      <c r="J115" s="135"/>
      <c r="K115" s="135" t="str">
        <f t="shared" si="29"/>
        <v>Jan 1900</v>
      </c>
      <c r="L115" s="135" t="s">
        <v>159</v>
      </c>
      <c r="M115" s="135" t="s">
        <v>8</v>
      </c>
      <c r="N115" s="135" t="s">
        <v>17</v>
      </c>
      <c r="O115" s="141" t="s">
        <v>160</v>
      </c>
    </row>
    <row r="116" spans="1:15" x14ac:dyDescent="0.35">
      <c r="B116" s="142" t="str">
        <f t="shared" ref="B116:B120" si="30">IF(D116&gt;0,B115+1,"")</f>
        <v/>
      </c>
      <c r="C116" s="135"/>
      <c r="D116" s="135"/>
      <c r="E116" s="135"/>
      <c r="F116" s="135"/>
      <c r="G116" s="143"/>
      <c r="H116" s="144"/>
      <c r="I116" s="139" t="str">
        <f t="shared" si="28"/>
        <v/>
      </c>
      <c r="J116" s="135"/>
      <c r="K116" s="135" t="str">
        <f t="shared" si="29"/>
        <v>Jan 1900</v>
      </c>
      <c r="L116" s="135"/>
      <c r="M116" s="135"/>
      <c r="N116" s="135"/>
      <c r="O116" s="141"/>
    </row>
    <row r="117" spans="1:15" x14ac:dyDescent="0.35">
      <c r="B117" s="142" t="str">
        <f t="shared" si="30"/>
        <v/>
      </c>
      <c r="C117" s="135"/>
      <c r="D117" s="135"/>
      <c r="E117" s="135"/>
      <c r="F117" s="135"/>
      <c r="G117" s="143"/>
      <c r="H117" s="144"/>
      <c r="I117" s="139" t="str">
        <f t="shared" si="28"/>
        <v/>
      </c>
      <c r="J117" s="135"/>
      <c r="K117" s="135" t="str">
        <f t="shared" si="29"/>
        <v>Jan 1900</v>
      </c>
      <c r="L117" s="135"/>
      <c r="M117" s="135"/>
      <c r="N117" s="135"/>
      <c r="O117" s="141"/>
    </row>
    <row r="118" spans="1:15" x14ac:dyDescent="0.35">
      <c r="B118" s="142" t="str">
        <f t="shared" si="30"/>
        <v/>
      </c>
      <c r="C118" s="135"/>
      <c r="D118" s="135"/>
      <c r="E118" s="135"/>
      <c r="F118" s="135"/>
      <c r="G118" s="143"/>
      <c r="H118" s="144"/>
      <c r="I118" s="139" t="str">
        <f t="shared" si="28"/>
        <v/>
      </c>
      <c r="J118" s="135"/>
      <c r="K118" s="135" t="str">
        <f t="shared" si="29"/>
        <v>Jan 1900</v>
      </c>
      <c r="L118" s="135"/>
      <c r="M118" s="135"/>
      <c r="N118" s="135"/>
      <c r="O118" s="141"/>
    </row>
    <row r="119" spans="1:15" x14ac:dyDescent="0.35">
      <c r="B119" s="142" t="str">
        <f t="shared" si="30"/>
        <v/>
      </c>
      <c r="C119" s="135"/>
      <c r="D119" s="135"/>
      <c r="E119" s="135"/>
      <c r="F119" s="135"/>
      <c r="G119" s="143"/>
      <c r="H119" s="144"/>
      <c r="I119" s="139" t="str">
        <f t="shared" si="28"/>
        <v/>
      </c>
      <c r="J119" s="135"/>
      <c r="K119" s="135" t="str">
        <f t="shared" si="29"/>
        <v>Jan 1900</v>
      </c>
      <c r="L119" s="135"/>
      <c r="M119" s="135"/>
      <c r="N119" s="135"/>
      <c r="O119" s="141"/>
    </row>
    <row r="120" spans="1:15" x14ac:dyDescent="0.35">
      <c r="B120" s="134" t="str">
        <f t="shared" si="30"/>
        <v/>
      </c>
      <c r="C120" s="135"/>
      <c r="D120" s="135"/>
      <c r="E120" s="135"/>
      <c r="F120" s="135"/>
      <c r="G120" s="143"/>
      <c r="H120" s="144"/>
      <c r="I120" s="139" t="str">
        <f t="shared" si="28"/>
        <v/>
      </c>
      <c r="J120" s="135"/>
      <c r="K120" s="135" t="str">
        <f t="shared" si="29"/>
        <v>Jan 1900</v>
      </c>
      <c r="L120" s="135"/>
      <c r="M120" s="135"/>
      <c r="N120" s="135"/>
      <c r="O120" s="141"/>
    </row>
    <row r="121" spans="1:15" ht="21" customHeight="1" x14ac:dyDescent="0.35">
      <c r="A121" s="97"/>
      <c r="B121" s="126">
        <v>11</v>
      </c>
      <c r="C121" s="127" t="s">
        <v>126</v>
      </c>
      <c r="D121" s="128"/>
      <c r="E121" s="128"/>
      <c r="F121" s="128"/>
      <c r="G121" s="129">
        <f>SUM(G122:G130)</f>
        <v>4070000</v>
      </c>
      <c r="H121" s="145">
        <f>SUM(H122:H130)</f>
        <v>0</v>
      </c>
      <c r="I121" s="145">
        <f>SUM(I122:I130)</f>
        <v>0</v>
      </c>
      <c r="J121" s="131"/>
      <c r="K121" s="131"/>
      <c r="L121" s="132"/>
      <c r="M121" s="132"/>
      <c r="N121" s="132"/>
      <c r="O121" s="133"/>
    </row>
    <row r="122" spans="1:15" x14ac:dyDescent="0.35">
      <c r="B122" s="142">
        <v>1</v>
      </c>
      <c r="C122" s="135"/>
      <c r="D122" s="135" t="s">
        <v>96</v>
      </c>
      <c r="E122" s="135" t="s">
        <v>57</v>
      </c>
      <c r="F122" s="135"/>
      <c r="G122" s="143">
        <v>4070000</v>
      </c>
      <c r="H122" s="144"/>
      <c r="I122" s="139" t="str">
        <f t="shared" ref="I122:I130" si="31">IF(H122&gt;0,G122-H122,"")</f>
        <v/>
      </c>
      <c r="J122" s="135"/>
      <c r="K122" s="135" t="str">
        <f t="shared" ref="K122:K130" si="32">TEXT(J122,"mmm yyyy")</f>
        <v>Jan 1900</v>
      </c>
      <c r="L122" s="135" t="s">
        <v>29</v>
      </c>
      <c r="M122" s="135" t="s">
        <v>10</v>
      </c>
      <c r="N122" s="135" t="s">
        <v>17</v>
      </c>
      <c r="O122" s="141"/>
    </row>
    <row r="123" spans="1:15" x14ac:dyDescent="0.35">
      <c r="B123" s="142" t="str">
        <f t="shared" ref="B123:B130" si="33">IF(D123&gt;0,B122+1,"")</f>
        <v/>
      </c>
      <c r="C123" s="135"/>
      <c r="D123" s="135"/>
      <c r="E123" s="135"/>
      <c r="F123" s="135"/>
      <c r="G123" s="143"/>
      <c r="H123" s="144"/>
      <c r="I123" s="139" t="str">
        <f t="shared" si="31"/>
        <v/>
      </c>
      <c r="J123" s="135"/>
      <c r="K123" s="135" t="str">
        <f t="shared" si="32"/>
        <v>Jan 1900</v>
      </c>
      <c r="L123" s="135"/>
      <c r="M123" s="135"/>
      <c r="N123" s="135"/>
      <c r="O123" s="141"/>
    </row>
    <row r="124" spans="1:15" x14ac:dyDescent="0.35">
      <c r="B124" s="142" t="str">
        <f t="shared" si="33"/>
        <v/>
      </c>
      <c r="C124" s="135"/>
      <c r="D124" s="135"/>
      <c r="E124" s="135"/>
      <c r="F124" s="135"/>
      <c r="G124" s="143"/>
      <c r="H124" s="144"/>
      <c r="I124" s="139" t="str">
        <f t="shared" si="31"/>
        <v/>
      </c>
      <c r="J124" s="135"/>
      <c r="K124" s="135" t="str">
        <f t="shared" si="32"/>
        <v>Jan 1900</v>
      </c>
      <c r="L124" s="135"/>
      <c r="M124" s="135"/>
      <c r="N124" s="135"/>
      <c r="O124" s="141"/>
    </row>
    <row r="125" spans="1:15" x14ac:dyDescent="0.35">
      <c r="B125" s="142" t="str">
        <f t="shared" si="33"/>
        <v/>
      </c>
      <c r="C125" s="135"/>
      <c r="D125" s="135"/>
      <c r="E125" s="135"/>
      <c r="F125" s="135"/>
      <c r="G125" s="143"/>
      <c r="H125" s="144"/>
      <c r="I125" s="139" t="str">
        <f t="shared" si="31"/>
        <v/>
      </c>
      <c r="J125" s="135"/>
      <c r="K125" s="135" t="str">
        <f t="shared" si="32"/>
        <v>Jan 1900</v>
      </c>
      <c r="L125" s="135"/>
      <c r="M125" s="135"/>
      <c r="N125" s="135"/>
      <c r="O125" s="141"/>
    </row>
    <row r="126" spans="1:15" x14ac:dyDescent="0.35">
      <c r="B126" s="142" t="str">
        <f t="shared" si="33"/>
        <v/>
      </c>
      <c r="C126" s="135"/>
      <c r="D126" s="135"/>
      <c r="E126" s="135"/>
      <c r="F126" s="135"/>
      <c r="G126" s="143"/>
      <c r="H126" s="144"/>
      <c r="I126" s="139" t="str">
        <f t="shared" si="31"/>
        <v/>
      </c>
      <c r="J126" s="135"/>
      <c r="K126" s="135" t="str">
        <f t="shared" si="32"/>
        <v>Jan 1900</v>
      </c>
      <c r="L126" s="135"/>
      <c r="M126" s="135"/>
      <c r="N126" s="135"/>
      <c r="O126" s="141"/>
    </row>
    <row r="127" spans="1:15" x14ac:dyDescent="0.35">
      <c r="B127" s="142" t="str">
        <f t="shared" si="33"/>
        <v/>
      </c>
      <c r="C127" s="135"/>
      <c r="D127" s="135"/>
      <c r="E127" s="135"/>
      <c r="F127" s="135"/>
      <c r="G127" s="143"/>
      <c r="H127" s="144"/>
      <c r="I127" s="139" t="str">
        <f t="shared" si="31"/>
        <v/>
      </c>
      <c r="J127" s="135"/>
      <c r="K127" s="135" t="str">
        <f t="shared" si="32"/>
        <v>Jan 1900</v>
      </c>
      <c r="L127" s="135"/>
      <c r="M127" s="135"/>
      <c r="N127" s="135"/>
      <c r="O127" s="141"/>
    </row>
    <row r="128" spans="1:15" x14ac:dyDescent="0.35">
      <c r="B128" s="142" t="str">
        <f t="shared" si="33"/>
        <v/>
      </c>
      <c r="C128" s="135"/>
      <c r="D128" s="135"/>
      <c r="E128" s="135"/>
      <c r="F128" s="135"/>
      <c r="G128" s="143"/>
      <c r="H128" s="144"/>
      <c r="I128" s="139" t="str">
        <f t="shared" si="31"/>
        <v/>
      </c>
      <c r="J128" s="135"/>
      <c r="K128" s="135" t="str">
        <f t="shared" si="32"/>
        <v>Jan 1900</v>
      </c>
      <c r="L128" s="135"/>
      <c r="M128" s="135"/>
      <c r="N128" s="135"/>
      <c r="O128" s="141"/>
    </row>
    <row r="129" spans="1:15" x14ac:dyDescent="0.35">
      <c r="B129" s="142" t="str">
        <f t="shared" si="33"/>
        <v/>
      </c>
      <c r="C129" s="135"/>
      <c r="D129" s="135"/>
      <c r="E129" s="135"/>
      <c r="F129" s="135"/>
      <c r="G129" s="143"/>
      <c r="H129" s="144"/>
      <c r="I129" s="139" t="str">
        <f t="shared" si="31"/>
        <v/>
      </c>
      <c r="J129" s="135"/>
      <c r="K129" s="135" t="str">
        <f t="shared" si="32"/>
        <v>Jan 1900</v>
      </c>
      <c r="L129" s="135"/>
      <c r="M129" s="135"/>
      <c r="N129" s="135"/>
      <c r="O129" s="141"/>
    </row>
    <row r="130" spans="1:15" x14ac:dyDescent="0.35">
      <c r="B130" s="134" t="str">
        <f t="shared" si="33"/>
        <v/>
      </c>
      <c r="C130" s="135"/>
      <c r="D130" s="135"/>
      <c r="E130" s="135"/>
      <c r="F130" s="135"/>
      <c r="G130" s="143"/>
      <c r="H130" s="144"/>
      <c r="I130" s="139" t="str">
        <f t="shared" si="31"/>
        <v/>
      </c>
      <c r="J130" s="135"/>
      <c r="K130" s="135" t="str">
        <f t="shared" si="32"/>
        <v>Jan 1900</v>
      </c>
      <c r="L130" s="135"/>
      <c r="M130" s="135"/>
      <c r="N130" s="135"/>
      <c r="O130" s="141"/>
    </row>
    <row r="131" spans="1:15" ht="21" customHeight="1" x14ac:dyDescent="0.35">
      <c r="A131" s="97"/>
      <c r="B131" s="126">
        <v>12</v>
      </c>
      <c r="C131" s="127" t="s">
        <v>127</v>
      </c>
      <c r="D131" s="128"/>
      <c r="E131" s="128"/>
      <c r="F131" s="128"/>
      <c r="G131" s="129">
        <f>SUM(G132:G143)</f>
        <v>0</v>
      </c>
      <c r="H131" s="145">
        <f>SUM(H132:H143)</f>
        <v>0</v>
      </c>
      <c r="I131" s="145">
        <f>SUM(I132:I143)</f>
        <v>0</v>
      </c>
      <c r="J131" s="131"/>
      <c r="K131" s="131"/>
      <c r="L131" s="132"/>
      <c r="M131" s="132"/>
      <c r="N131" s="132"/>
      <c r="O131" s="133"/>
    </row>
    <row r="132" spans="1:15" ht="13.5" customHeight="1" x14ac:dyDescent="0.35">
      <c r="B132" s="142">
        <v>1</v>
      </c>
      <c r="C132" s="135"/>
      <c r="D132" s="135"/>
      <c r="E132" s="135"/>
      <c r="F132" s="135"/>
      <c r="G132" s="143"/>
      <c r="H132" s="144"/>
      <c r="I132" s="139" t="str">
        <f t="shared" ref="I132:I143" si="34">IF(H132&gt;0,G132-H132,"")</f>
        <v/>
      </c>
      <c r="J132" s="135"/>
      <c r="K132" s="135" t="str">
        <f t="shared" ref="K132:K143" si="35">TEXT(J132,"mmm yyyy")</f>
        <v>Jan 1900</v>
      </c>
      <c r="L132" s="135"/>
      <c r="M132" s="135"/>
      <c r="N132" s="135"/>
      <c r="O132" s="141"/>
    </row>
    <row r="133" spans="1:15" ht="13.5" customHeight="1" x14ac:dyDescent="0.35">
      <c r="B133" s="142" t="str">
        <f t="shared" ref="B133:B143" si="36">IF(D133&gt;0,B132+1,"")</f>
        <v/>
      </c>
      <c r="C133" s="135"/>
      <c r="D133" s="135"/>
      <c r="E133" s="135"/>
      <c r="F133" s="135"/>
      <c r="G133" s="143"/>
      <c r="H133" s="144"/>
      <c r="I133" s="139" t="str">
        <f t="shared" si="34"/>
        <v/>
      </c>
      <c r="J133" s="135"/>
      <c r="K133" s="135" t="str">
        <f t="shared" si="35"/>
        <v>Jan 1900</v>
      </c>
      <c r="L133" s="135"/>
      <c r="M133" s="135"/>
      <c r="N133" s="135"/>
      <c r="O133" s="141"/>
    </row>
    <row r="134" spans="1:15" ht="13.5" customHeight="1" x14ac:dyDescent="0.35">
      <c r="B134" s="142" t="str">
        <f t="shared" si="36"/>
        <v/>
      </c>
      <c r="C134" s="135"/>
      <c r="D134" s="135"/>
      <c r="E134" s="135"/>
      <c r="F134" s="135"/>
      <c r="G134" s="143"/>
      <c r="H134" s="144"/>
      <c r="I134" s="139" t="str">
        <f t="shared" si="34"/>
        <v/>
      </c>
      <c r="J134" s="135"/>
      <c r="K134" s="135" t="str">
        <f t="shared" si="35"/>
        <v>Jan 1900</v>
      </c>
      <c r="L134" s="135"/>
      <c r="M134" s="135"/>
      <c r="N134" s="135"/>
      <c r="O134" s="141"/>
    </row>
    <row r="135" spans="1:15" ht="13.5" customHeight="1" x14ac:dyDescent="0.35">
      <c r="B135" s="142" t="str">
        <f t="shared" si="36"/>
        <v/>
      </c>
      <c r="C135" s="135"/>
      <c r="D135" s="135"/>
      <c r="E135" s="135"/>
      <c r="F135" s="135"/>
      <c r="G135" s="143"/>
      <c r="H135" s="144"/>
      <c r="I135" s="139" t="str">
        <f t="shared" si="34"/>
        <v/>
      </c>
      <c r="J135" s="135"/>
      <c r="K135" s="135" t="str">
        <f t="shared" si="35"/>
        <v>Jan 1900</v>
      </c>
      <c r="L135" s="135"/>
      <c r="M135" s="135"/>
      <c r="N135" s="135"/>
      <c r="O135" s="141"/>
    </row>
    <row r="136" spans="1:15" ht="13.5" customHeight="1" x14ac:dyDescent="0.35">
      <c r="B136" s="142" t="str">
        <f t="shared" si="36"/>
        <v/>
      </c>
      <c r="C136" s="135"/>
      <c r="D136" s="135"/>
      <c r="E136" s="135"/>
      <c r="F136" s="135"/>
      <c r="G136" s="143"/>
      <c r="H136" s="144"/>
      <c r="I136" s="139" t="str">
        <f t="shared" si="34"/>
        <v/>
      </c>
      <c r="J136" s="135"/>
      <c r="K136" s="135" t="str">
        <f t="shared" si="35"/>
        <v>Jan 1900</v>
      </c>
      <c r="L136" s="135"/>
      <c r="M136" s="135"/>
      <c r="N136" s="135"/>
      <c r="O136" s="141"/>
    </row>
    <row r="137" spans="1:15" ht="13.5" customHeight="1" x14ac:dyDescent="0.35">
      <c r="B137" s="142" t="str">
        <f t="shared" si="36"/>
        <v/>
      </c>
      <c r="C137" s="135"/>
      <c r="D137" s="135"/>
      <c r="E137" s="135"/>
      <c r="F137" s="135"/>
      <c r="G137" s="143"/>
      <c r="H137" s="144"/>
      <c r="I137" s="139" t="str">
        <f t="shared" si="34"/>
        <v/>
      </c>
      <c r="J137" s="135"/>
      <c r="K137" s="135" t="str">
        <f t="shared" si="35"/>
        <v>Jan 1900</v>
      </c>
      <c r="L137" s="135"/>
      <c r="M137" s="135"/>
      <c r="N137" s="135"/>
      <c r="O137" s="141"/>
    </row>
    <row r="138" spans="1:15" ht="13.5" customHeight="1" x14ac:dyDescent="0.35">
      <c r="B138" s="142" t="str">
        <f t="shared" si="36"/>
        <v/>
      </c>
      <c r="C138" s="135"/>
      <c r="D138" s="135"/>
      <c r="E138" s="135"/>
      <c r="F138" s="135"/>
      <c r="G138" s="143"/>
      <c r="H138" s="144"/>
      <c r="I138" s="139" t="str">
        <f t="shared" si="34"/>
        <v/>
      </c>
      <c r="J138" s="135"/>
      <c r="K138" s="135" t="str">
        <f t="shared" si="35"/>
        <v>Jan 1900</v>
      </c>
      <c r="L138" s="135"/>
      <c r="M138" s="135"/>
      <c r="N138" s="135"/>
      <c r="O138" s="141"/>
    </row>
    <row r="139" spans="1:15" ht="13.5" customHeight="1" x14ac:dyDescent="0.35">
      <c r="B139" s="142" t="str">
        <f t="shared" si="36"/>
        <v/>
      </c>
      <c r="C139" s="135"/>
      <c r="D139" s="135"/>
      <c r="E139" s="135"/>
      <c r="F139" s="135"/>
      <c r="G139" s="143"/>
      <c r="H139" s="144"/>
      <c r="I139" s="139" t="str">
        <f t="shared" si="34"/>
        <v/>
      </c>
      <c r="J139" s="135"/>
      <c r="K139" s="135" t="str">
        <f t="shared" si="35"/>
        <v>Jan 1900</v>
      </c>
      <c r="L139" s="135"/>
      <c r="M139" s="135"/>
      <c r="N139" s="135"/>
      <c r="O139" s="141"/>
    </row>
    <row r="140" spans="1:15" ht="13.5" customHeight="1" x14ac:dyDescent="0.35">
      <c r="B140" s="142" t="str">
        <f t="shared" si="36"/>
        <v/>
      </c>
      <c r="C140" s="135"/>
      <c r="D140" s="135"/>
      <c r="E140" s="135"/>
      <c r="F140" s="135"/>
      <c r="G140" s="143"/>
      <c r="H140" s="144"/>
      <c r="I140" s="139" t="str">
        <f t="shared" si="34"/>
        <v/>
      </c>
      <c r="J140" s="135"/>
      <c r="K140" s="135" t="str">
        <f t="shared" si="35"/>
        <v>Jan 1900</v>
      </c>
      <c r="L140" s="135"/>
      <c r="M140" s="135"/>
      <c r="N140" s="135"/>
      <c r="O140" s="141"/>
    </row>
    <row r="141" spans="1:15" ht="13.5" customHeight="1" x14ac:dyDescent="0.35">
      <c r="B141" s="142" t="str">
        <f t="shared" si="36"/>
        <v/>
      </c>
      <c r="C141" s="135"/>
      <c r="D141" s="135"/>
      <c r="E141" s="135"/>
      <c r="F141" s="135"/>
      <c r="G141" s="143"/>
      <c r="H141" s="144"/>
      <c r="I141" s="139" t="str">
        <f t="shared" si="34"/>
        <v/>
      </c>
      <c r="J141" s="135"/>
      <c r="K141" s="135" t="str">
        <f t="shared" si="35"/>
        <v>Jan 1900</v>
      </c>
      <c r="L141" s="135"/>
      <c r="M141" s="135"/>
      <c r="N141" s="135"/>
      <c r="O141" s="141"/>
    </row>
    <row r="142" spans="1:15" ht="13.5" customHeight="1" x14ac:dyDescent="0.35">
      <c r="B142" s="142" t="str">
        <f t="shared" si="36"/>
        <v/>
      </c>
      <c r="C142" s="135"/>
      <c r="D142" s="135"/>
      <c r="E142" s="135"/>
      <c r="F142" s="135"/>
      <c r="G142" s="143"/>
      <c r="H142" s="144"/>
      <c r="I142" s="139" t="str">
        <f t="shared" si="34"/>
        <v/>
      </c>
      <c r="J142" s="135"/>
      <c r="K142" s="135" t="str">
        <f t="shared" si="35"/>
        <v>Jan 1900</v>
      </c>
      <c r="L142" s="135"/>
      <c r="M142" s="135"/>
      <c r="N142" s="135"/>
      <c r="O142" s="141"/>
    </row>
    <row r="143" spans="1:15" ht="13.5" customHeight="1" x14ac:dyDescent="0.35">
      <c r="B143" s="134" t="str">
        <f t="shared" si="36"/>
        <v/>
      </c>
      <c r="C143" s="135"/>
      <c r="D143" s="135"/>
      <c r="E143" s="135"/>
      <c r="F143" s="135"/>
      <c r="G143" s="143"/>
      <c r="H143" s="144"/>
      <c r="I143" s="139" t="str">
        <f t="shared" si="34"/>
        <v/>
      </c>
      <c r="J143" s="135"/>
      <c r="K143" s="135" t="str">
        <f t="shared" si="35"/>
        <v>Jan 1900</v>
      </c>
      <c r="L143" s="135"/>
      <c r="M143" s="135"/>
      <c r="N143" s="135"/>
      <c r="O143" s="141"/>
    </row>
    <row r="144" spans="1:15" ht="21" customHeight="1" x14ac:dyDescent="0.35">
      <c r="A144" s="97"/>
      <c r="B144" s="126">
        <v>13</v>
      </c>
      <c r="C144" s="127" t="s">
        <v>128</v>
      </c>
      <c r="D144" s="128"/>
      <c r="E144" s="128"/>
      <c r="F144" s="128"/>
      <c r="G144" s="129">
        <f>SUM(G145:G153)</f>
        <v>0</v>
      </c>
      <c r="H144" s="145">
        <f>SUM(H145:H153)</f>
        <v>0</v>
      </c>
      <c r="I144" s="145">
        <f>SUM(I145:I153)</f>
        <v>0</v>
      </c>
      <c r="J144" s="131"/>
      <c r="K144" s="131"/>
      <c r="L144" s="132"/>
      <c r="M144" s="132"/>
      <c r="N144" s="132"/>
      <c r="O144" s="133"/>
    </row>
    <row r="145" spans="1:15" ht="13.5" customHeight="1" x14ac:dyDescent="0.35">
      <c r="B145" s="142">
        <v>1</v>
      </c>
      <c r="C145" s="135"/>
      <c r="D145" s="135"/>
      <c r="E145" s="135"/>
      <c r="F145" s="135"/>
      <c r="G145" s="143"/>
      <c r="H145" s="144"/>
      <c r="I145" s="139" t="str">
        <f t="shared" ref="I145:I153" si="37">IF(H145&gt;0,G145-H145,"")</f>
        <v/>
      </c>
      <c r="J145" s="135"/>
      <c r="K145" s="135" t="str">
        <f t="shared" ref="K145:K153" si="38">TEXT(J145,"mmm yyyy")</f>
        <v>Jan 1900</v>
      </c>
      <c r="L145" s="135"/>
      <c r="M145" s="135"/>
      <c r="N145" s="135"/>
      <c r="O145" s="141"/>
    </row>
    <row r="146" spans="1:15" ht="13.5" customHeight="1" x14ac:dyDescent="0.35">
      <c r="B146" s="142" t="str">
        <f t="shared" ref="B146:B153" si="39">IF(D146&gt;0,B145+1,"")</f>
        <v/>
      </c>
      <c r="C146" s="135"/>
      <c r="D146" s="135"/>
      <c r="E146" s="135"/>
      <c r="F146" s="135"/>
      <c r="G146" s="143"/>
      <c r="H146" s="144"/>
      <c r="I146" s="139" t="str">
        <f t="shared" si="37"/>
        <v/>
      </c>
      <c r="J146" s="135"/>
      <c r="K146" s="135" t="str">
        <f t="shared" si="38"/>
        <v>Jan 1900</v>
      </c>
      <c r="L146" s="135"/>
      <c r="M146" s="135"/>
      <c r="N146" s="135"/>
      <c r="O146" s="141"/>
    </row>
    <row r="147" spans="1:15" ht="13.5" customHeight="1" x14ac:dyDescent="0.35">
      <c r="B147" s="142" t="str">
        <f t="shared" si="39"/>
        <v/>
      </c>
      <c r="C147" s="135"/>
      <c r="D147" s="135"/>
      <c r="E147" s="135"/>
      <c r="F147" s="135"/>
      <c r="G147" s="143"/>
      <c r="H147" s="144"/>
      <c r="I147" s="139" t="str">
        <f t="shared" si="37"/>
        <v/>
      </c>
      <c r="J147" s="135"/>
      <c r="K147" s="135" t="str">
        <f t="shared" si="38"/>
        <v>Jan 1900</v>
      </c>
      <c r="L147" s="135"/>
      <c r="M147" s="135"/>
      <c r="N147" s="135"/>
      <c r="O147" s="141"/>
    </row>
    <row r="148" spans="1:15" ht="13.5" customHeight="1" x14ac:dyDescent="0.35">
      <c r="B148" s="142" t="str">
        <f t="shared" si="39"/>
        <v/>
      </c>
      <c r="C148" s="135"/>
      <c r="D148" s="135"/>
      <c r="E148" s="135"/>
      <c r="F148" s="135"/>
      <c r="G148" s="143"/>
      <c r="H148" s="144"/>
      <c r="I148" s="139" t="str">
        <f t="shared" si="37"/>
        <v/>
      </c>
      <c r="J148" s="135"/>
      <c r="K148" s="135" t="str">
        <f t="shared" si="38"/>
        <v>Jan 1900</v>
      </c>
      <c r="L148" s="135"/>
      <c r="M148" s="135"/>
      <c r="N148" s="135"/>
      <c r="O148" s="141"/>
    </row>
    <row r="149" spans="1:15" ht="13.5" customHeight="1" x14ac:dyDescent="0.35">
      <c r="B149" s="142" t="str">
        <f t="shared" si="39"/>
        <v/>
      </c>
      <c r="C149" s="135"/>
      <c r="D149" s="135"/>
      <c r="E149" s="135"/>
      <c r="F149" s="135"/>
      <c r="G149" s="143"/>
      <c r="H149" s="144"/>
      <c r="I149" s="139" t="str">
        <f t="shared" si="37"/>
        <v/>
      </c>
      <c r="J149" s="135"/>
      <c r="K149" s="135" t="str">
        <f t="shared" si="38"/>
        <v>Jan 1900</v>
      </c>
      <c r="L149" s="135"/>
      <c r="M149" s="135"/>
      <c r="N149" s="135"/>
      <c r="O149" s="141"/>
    </row>
    <row r="150" spans="1:15" ht="13.5" customHeight="1" x14ac:dyDescent="0.35">
      <c r="B150" s="142" t="str">
        <f t="shared" si="39"/>
        <v/>
      </c>
      <c r="C150" s="135"/>
      <c r="D150" s="135"/>
      <c r="E150" s="135"/>
      <c r="F150" s="135"/>
      <c r="G150" s="143"/>
      <c r="H150" s="144"/>
      <c r="I150" s="139" t="str">
        <f t="shared" si="37"/>
        <v/>
      </c>
      <c r="J150" s="135"/>
      <c r="K150" s="135" t="str">
        <f t="shared" si="38"/>
        <v>Jan 1900</v>
      </c>
      <c r="L150" s="135"/>
      <c r="M150" s="135"/>
      <c r="N150" s="135"/>
      <c r="O150" s="141"/>
    </row>
    <row r="151" spans="1:15" ht="13.5" customHeight="1" x14ac:dyDescent="0.35">
      <c r="B151" s="142" t="str">
        <f t="shared" si="39"/>
        <v/>
      </c>
      <c r="C151" s="135"/>
      <c r="D151" s="135"/>
      <c r="E151" s="135"/>
      <c r="F151" s="135"/>
      <c r="G151" s="143"/>
      <c r="H151" s="144"/>
      <c r="I151" s="139" t="str">
        <f t="shared" si="37"/>
        <v/>
      </c>
      <c r="J151" s="135"/>
      <c r="K151" s="135" t="str">
        <f t="shared" si="38"/>
        <v>Jan 1900</v>
      </c>
      <c r="L151" s="135"/>
      <c r="M151" s="135"/>
      <c r="N151" s="135"/>
      <c r="O151" s="141"/>
    </row>
    <row r="152" spans="1:15" ht="13.5" customHeight="1" x14ac:dyDescent="0.35">
      <c r="B152" s="142" t="str">
        <f t="shared" si="39"/>
        <v/>
      </c>
      <c r="C152" s="135"/>
      <c r="D152" s="135"/>
      <c r="E152" s="135"/>
      <c r="F152" s="135"/>
      <c r="G152" s="143"/>
      <c r="H152" s="144"/>
      <c r="I152" s="139" t="str">
        <f t="shared" si="37"/>
        <v/>
      </c>
      <c r="J152" s="135"/>
      <c r="K152" s="135" t="str">
        <f t="shared" si="38"/>
        <v>Jan 1900</v>
      </c>
      <c r="L152" s="135"/>
      <c r="M152" s="135"/>
      <c r="N152" s="135"/>
      <c r="O152" s="141"/>
    </row>
    <row r="153" spans="1:15" ht="13.5" customHeight="1" x14ac:dyDescent="0.35">
      <c r="B153" s="134" t="str">
        <f t="shared" si="39"/>
        <v/>
      </c>
      <c r="C153" s="135"/>
      <c r="D153" s="135"/>
      <c r="E153" s="135"/>
      <c r="F153" s="135"/>
      <c r="G153" s="143"/>
      <c r="H153" s="144"/>
      <c r="I153" s="139" t="str">
        <f t="shared" si="37"/>
        <v/>
      </c>
      <c r="J153" s="135"/>
      <c r="K153" s="135" t="str">
        <f t="shared" si="38"/>
        <v>Jan 1900</v>
      </c>
      <c r="L153" s="135"/>
      <c r="M153" s="135"/>
      <c r="N153" s="135"/>
      <c r="O153" s="141"/>
    </row>
    <row r="154" spans="1:15" ht="21" customHeight="1" x14ac:dyDescent="0.35">
      <c r="A154" s="97"/>
      <c r="B154" s="126">
        <v>14</v>
      </c>
      <c r="C154" s="127" t="s">
        <v>129</v>
      </c>
      <c r="D154" s="128"/>
      <c r="E154" s="128"/>
      <c r="F154" s="128"/>
      <c r="G154" s="129">
        <f>SUM(G155:G175)</f>
        <v>0</v>
      </c>
      <c r="H154" s="145">
        <f>SUM(H155:H175)</f>
        <v>0</v>
      </c>
      <c r="I154" s="145">
        <f>SUM(I155:I175)</f>
        <v>0</v>
      </c>
      <c r="J154" s="131"/>
      <c r="K154" s="131"/>
      <c r="L154" s="132"/>
      <c r="M154" s="132"/>
      <c r="N154" s="132"/>
      <c r="O154" s="133"/>
    </row>
    <row r="155" spans="1:15" ht="13.5" customHeight="1" x14ac:dyDescent="0.35">
      <c r="B155" s="142">
        <v>1</v>
      </c>
      <c r="C155" s="135"/>
      <c r="D155" s="135"/>
      <c r="E155" s="135"/>
      <c r="F155" s="135"/>
      <c r="G155" s="143"/>
      <c r="H155" s="144"/>
      <c r="I155" s="139" t="str">
        <f t="shared" ref="I155:I175" si="40">IF(H155&gt;0,G155-H155,"")</f>
        <v/>
      </c>
      <c r="J155" s="135"/>
      <c r="K155" s="135" t="str">
        <f t="shared" ref="K155:K175" si="41">TEXT(J155,"mmm yyyy")</f>
        <v>Jan 1900</v>
      </c>
      <c r="L155" s="135"/>
      <c r="M155" s="135"/>
      <c r="N155" s="135"/>
      <c r="O155" s="141"/>
    </row>
    <row r="156" spans="1:15" ht="13.5" customHeight="1" x14ac:dyDescent="0.35">
      <c r="B156" s="142" t="str">
        <f t="shared" ref="B156:B175" si="42">IF(D156&gt;0,B155+1,"")</f>
        <v/>
      </c>
      <c r="C156" s="135"/>
      <c r="D156" s="135"/>
      <c r="E156" s="135"/>
      <c r="F156" s="135"/>
      <c r="G156" s="143"/>
      <c r="H156" s="144"/>
      <c r="I156" s="139" t="str">
        <f t="shared" si="40"/>
        <v/>
      </c>
      <c r="J156" s="135"/>
      <c r="K156" s="135" t="str">
        <f t="shared" si="41"/>
        <v>Jan 1900</v>
      </c>
      <c r="L156" s="135"/>
      <c r="M156" s="135"/>
      <c r="N156" s="135"/>
      <c r="O156" s="141"/>
    </row>
    <row r="157" spans="1:15" ht="13.5" customHeight="1" x14ac:dyDescent="0.35">
      <c r="B157" s="142" t="str">
        <f t="shared" si="42"/>
        <v/>
      </c>
      <c r="C157" s="135"/>
      <c r="D157" s="135"/>
      <c r="E157" s="135"/>
      <c r="F157" s="135"/>
      <c r="G157" s="143"/>
      <c r="H157" s="144"/>
      <c r="I157" s="139" t="str">
        <f t="shared" si="40"/>
        <v/>
      </c>
      <c r="J157" s="135"/>
      <c r="K157" s="135" t="str">
        <f t="shared" si="41"/>
        <v>Jan 1900</v>
      </c>
      <c r="L157" s="135"/>
      <c r="M157" s="135"/>
      <c r="N157" s="135"/>
      <c r="O157" s="141"/>
    </row>
    <row r="158" spans="1:15" ht="13.5" customHeight="1" x14ac:dyDescent="0.35">
      <c r="B158" s="142" t="str">
        <f t="shared" si="42"/>
        <v/>
      </c>
      <c r="C158" s="135"/>
      <c r="D158" s="135"/>
      <c r="E158" s="135"/>
      <c r="F158" s="135"/>
      <c r="G158" s="143"/>
      <c r="H158" s="144"/>
      <c r="I158" s="139" t="str">
        <f t="shared" si="40"/>
        <v/>
      </c>
      <c r="J158" s="135"/>
      <c r="K158" s="135" t="str">
        <f t="shared" si="41"/>
        <v>Jan 1900</v>
      </c>
      <c r="L158" s="135"/>
      <c r="M158" s="135"/>
      <c r="N158" s="135"/>
      <c r="O158" s="141"/>
    </row>
    <row r="159" spans="1:15" ht="13.5" customHeight="1" x14ac:dyDescent="0.35">
      <c r="B159" s="142" t="str">
        <f t="shared" si="42"/>
        <v/>
      </c>
      <c r="C159" s="135"/>
      <c r="D159" s="135"/>
      <c r="E159" s="135"/>
      <c r="F159" s="135"/>
      <c r="G159" s="143"/>
      <c r="H159" s="144"/>
      <c r="I159" s="139" t="str">
        <f t="shared" si="40"/>
        <v/>
      </c>
      <c r="J159" s="135"/>
      <c r="K159" s="135" t="str">
        <f t="shared" si="41"/>
        <v>Jan 1900</v>
      </c>
      <c r="L159" s="135"/>
      <c r="M159" s="135"/>
      <c r="N159" s="135"/>
      <c r="O159" s="141"/>
    </row>
    <row r="160" spans="1:15" ht="13.5" customHeight="1" x14ac:dyDescent="0.35">
      <c r="B160" s="142" t="str">
        <f t="shared" si="42"/>
        <v/>
      </c>
      <c r="C160" s="135"/>
      <c r="D160" s="135"/>
      <c r="E160" s="135"/>
      <c r="F160" s="135"/>
      <c r="G160" s="143"/>
      <c r="H160" s="144"/>
      <c r="I160" s="139" t="str">
        <f t="shared" si="40"/>
        <v/>
      </c>
      <c r="J160" s="135"/>
      <c r="K160" s="135" t="str">
        <f t="shared" si="41"/>
        <v>Jan 1900</v>
      </c>
      <c r="L160" s="135"/>
      <c r="M160" s="135"/>
      <c r="N160" s="135"/>
      <c r="O160" s="141"/>
    </row>
    <row r="161" spans="1:15" ht="13.5" customHeight="1" x14ac:dyDescent="0.35">
      <c r="B161" s="142"/>
      <c r="C161" s="135"/>
      <c r="D161" s="135"/>
      <c r="E161" s="135"/>
      <c r="F161" s="135"/>
      <c r="G161" s="143"/>
      <c r="H161" s="144"/>
      <c r="I161" s="139"/>
      <c r="J161" s="135"/>
      <c r="K161" s="135" t="str">
        <f t="shared" si="41"/>
        <v>Jan 1900</v>
      </c>
      <c r="L161" s="135"/>
      <c r="M161" s="135"/>
      <c r="N161" s="135"/>
      <c r="O161" s="141"/>
    </row>
    <row r="162" spans="1:15" ht="13.5" customHeight="1" x14ac:dyDescent="0.35">
      <c r="B162" s="142"/>
      <c r="C162" s="135"/>
      <c r="D162" s="135"/>
      <c r="E162" s="135"/>
      <c r="F162" s="135"/>
      <c r="G162" s="143"/>
      <c r="H162" s="144"/>
      <c r="I162" s="139"/>
      <c r="J162" s="135"/>
      <c r="K162" s="135" t="str">
        <f t="shared" si="41"/>
        <v>Jan 1900</v>
      </c>
      <c r="L162" s="135"/>
      <c r="M162" s="135"/>
      <c r="N162" s="135"/>
      <c r="O162" s="141"/>
    </row>
    <row r="163" spans="1:15" ht="13.5" customHeight="1" x14ac:dyDescent="0.35">
      <c r="B163" s="142"/>
      <c r="C163" s="135"/>
      <c r="D163" s="135"/>
      <c r="E163" s="135"/>
      <c r="F163" s="135"/>
      <c r="G163" s="143"/>
      <c r="H163" s="144"/>
      <c r="I163" s="139"/>
      <c r="J163" s="135"/>
      <c r="K163" s="135" t="str">
        <f t="shared" si="41"/>
        <v>Jan 1900</v>
      </c>
      <c r="L163" s="135"/>
      <c r="M163" s="135"/>
      <c r="N163" s="135"/>
      <c r="O163" s="141"/>
    </row>
    <row r="164" spans="1:15" ht="13.5" customHeight="1" x14ac:dyDescent="0.35">
      <c r="B164" s="142"/>
      <c r="C164" s="135"/>
      <c r="D164" s="135"/>
      <c r="E164" s="135"/>
      <c r="F164" s="135"/>
      <c r="G164" s="143"/>
      <c r="H164" s="144"/>
      <c r="I164" s="139"/>
      <c r="J164" s="135"/>
      <c r="K164" s="135" t="str">
        <f t="shared" si="41"/>
        <v>Jan 1900</v>
      </c>
      <c r="L164" s="135"/>
      <c r="M164" s="135"/>
      <c r="N164" s="135"/>
      <c r="O164" s="141"/>
    </row>
    <row r="165" spans="1:15" ht="21" customHeight="1" x14ac:dyDescent="0.35">
      <c r="A165" s="97"/>
      <c r="B165" s="126">
        <v>15</v>
      </c>
      <c r="C165" s="127" t="s">
        <v>131</v>
      </c>
      <c r="D165" s="128"/>
      <c r="E165" s="128"/>
      <c r="F165" s="128"/>
      <c r="G165" s="129"/>
      <c r="H165" s="145"/>
      <c r="I165" s="145"/>
      <c r="J165" s="131"/>
      <c r="K165" s="131"/>
      <c r="L165" s="132"/>
      <c r="M165" s="132"/>
      <c r="N165" s="132"/>
      <c r="O165" s="133"/>
    </row>
    <row r="166" spans="1:15" ht="13.5" customHeight="1" x14ac:dyDescent="0.35">
      <c r="B166" s="142">
        <v>1</v>
      </c>
      <c r="C166" s="135"/>
      <c r="D166" s="135"/>
      <c r="E166" s="135"/>
      <c r="F166" s="135"/>
      <c r="G166" s="143"/>
      <c r="H166" s="144"/>
      <c r="I166" s="139"/>
      <c r="J166" s="135"/>
      <c r="K166" s="135" t="str">
        <f t="shared" si="41"/>
        <v>Jan 1900</v>
      </c>
      <c r="L166" s="135"/>
      <c r="M166" s="135"/>
      <c r="N166" s="135"/>
      <c r="O166" s="141"/>
    </row>
    <row r="167" spans="1:15" ht="13.5" customHeight="1" x14ac:dyDescent="0.35">
      <c r="B167" s="142" t="str">
        <f t="shared" si="42"/>
        <v/>
      </c>
      <c r="C167" s="135"/>
      <c r="D167" s="135"/>
      <c r="E167" s="135"/>
      <c r="F167" s="135"/>
      <c r="G167" s="143"/>
      <c r="H167" s="144"/>
      <c r="I167" s="139"/>
      <c r="J167" s="135"/>
      <c r="K167" s="135" t="str">
        <f t="shared" si="41"/>
        <v>Jan 1900</v>
      </c>
      <c r="L167" s="135"/>
      <c r="M167" s="135"/>
      <c r="N167" s="135"/>
      <c r="O167" s="141"/>
    </row>
    <row r="168" spans="1:15" ht="13.5" customHeight="1" x14ac:dyDescent="0.35">
      <c r="B168" s="142" t="str">
        <f t="shared" si="42"/>
        <v/>
      </c>
      <c r="C168" s="135"/>
      <c r="D168" s="135"/>
      <c r="E168" s="135"/>
      <c r="F168" s="135"/>
      <c r="G168" s="143"/>
      <c r="H168" s="144"/>
      <c r="I168" s="139"/>
      <c r="J168" s="135"/>
      <c r="K168" s="135" t="str">
        <f t="shared" si="41"/>
        <v>Jan 1900</v>
      </c>
      <c r="L168" s="135"/>
      <c r="M168" s="135"/>
      <c r="N168" s="135"/>
      <c r="O168" s="141"/>
    </row>
    <row r="169" spans="1:15" ht="13.5" customHeight="1" x14ac:dyDescent="0.35">
      <c r="B169" s="142" t="str">
        <f t="shared" si="42"/>
        <v/>
      </c>
      <c r="C169" s="135"/>
      <c r="D169" s="135"/>
      <c r="E169" s="135"/>
      <c r="F169" s="135"/>
      <c r="G169" s="143"/>
      <c r="H169" s="144"/>
      <c r="I169" s="139"/>
      <c r="J169" s="135"/>
      <c r="K169" s="135" t="str">
        <f t="shared" si="41"/>
        <v>Jan 1900</v>
      </c>
      <c r="L169" s="135"/>
      <c r="M169" s="135"/>
      <c r="N169" s="135"/>
      <c r="O169" s="141"/>
    </row>
    <row r="170" spans="1:15" ht="13.5" customHeight="1" x14ac:dyDescent="0.35">
      <c r="B170" s="142" t="str">
        <f t="shared" si="42"/>
        <v/>
      </c>
      <c r="C170" s="135"/>
      <c r="D170" s="135"/>
      <c r="E170" s="135"/>
      <c r="F170" s="135"/>
      <c r="G170" s="143"/>
      <c r="H170" s="144"/>
      <c r="I170" s="139"/>
      <c r="J170" s="135"/>
      <c r="K170" s="135" t="str">
        <f t="shared" si="41"/>
        <v>Jan 1900</v>
      </c>
      <c r="L170" s="135"/>
      <c r="M170" s="135"/>
      <c r="N170" s="135"/>
      <c r="O170" s="141"/>
    </row>
    <row r="171" spans="1:15" ht="13.5" customHeight="1" x14ac:dyDescent="0.35">
      <c r="B171" s="142" t="str">
        <f t="shared" si="42"/>
        <v/>
      </c>
      <c r="C171" s="135"/>
      <c r="D171" s="135"/>
      <c r="E171" s="135"/>
      <c r="F171" s="135"/>
      <c r="G171" s="143"/>
      <c r="H171" s="144"/>
      <c r="I171" s="139"/>
      <c r="J171" s="135"/>
      <c r="K171" s="135" t="str">
        <f t="shared" si="41"/>
        <v>Jan 1900</v>
      </c>
      <c r="L171" s="135"/>
      <c r="M171" s="135"/>
      <c r="N171" s="135"/>
      <c r="O171" s="141"/>
    </row>
    <row r="172" spans="1:15" ht="13.5" customHeight="1" x14ac:dyDescent="0.35">
      <c r="B172" s="142" t="str">
        <f t="shared" si="42"/>
        <v/>
      </c>
      <c r="C172" s="135"/>
      <c r="D172" s="135"/>
      <c r="E172" s="135"/>
      <c r="F172" s="135"/>
      <c r="G172" s="143"/>
      <c r="H172" s="144"/>
      <c r="I172" s="139" t="str">
        <f t="shared" si="40"/>
        <v/>
      </c>
      <c r="J172" s="135"/>
      <c r="K172" s="135" t="str">
        <f t="shared" si="41"/>
        <v>Jan 1900</v>
      </c>
      <c r="L172" s="135"/>
      <c r="M172" s="135"/>
      <c r="N172" s="135"/>
      <c r="O172" s="141"/>
    </row>
    <row r="173" spans="1:15" ht="13.5" customHeight="1" x14ac:dyDescent="0.35">
      <c r="B173" s="142" t="str">
        <f t="shared" si="42"/>
        <v/>
      </c>
      <c r="C173" s="135"/>
      <c r="D173" s="135"/>
      <c r="E173" s="135"/>
      <c r="F173" s="135"/>
      <c r="G173" s="143"/>
      <c r="H173" s="144"/>
      <c r="I173" s="139" t="str">
        <f t="shared" si="40"/>
        <v/>
      </c>
      <c r="J173" s="135"/>
      <c r="K173" s="135" t="str">
        <f t="shared" si="41"/>
        <v>Jan 1900</v>
      </c>
      <c r="L173" s="135"/>
      <c r="M173" s="135"/>
      <c r="N173" s="135"/>
      <c r="O173" s="141"/>
    </row>
    <row r="174" spans="1:15" ht="13.5" customHeight="1" x14ac:dyDescent="0.35">
      <c r="B174" s="142" t="str">
        <f t="shared" si="42"/>
        <v/>
      </c>
      <c r="C174" s="135"/>
      <c r="D174" s="135"/>
      <c r="E174" s="135"/>
      <c r="F174" s="135"/>
      <c r="G174" s="143"/>
      <c r="H174" s="144"/>
      <c r="I174" s="139" t="str">
        <f t="shared" si="40"/>
        <v/>
      </c>
      <c r="J174" s="135"/>
      <c r="K174" s="135" t="str">
        <f t="shared" si="41"/>
        <v>Jan 1900</v>
      </c>
      <c r="L174" s="135"/>
      <c r="M174" s="135"/>
      <c r="N174" s="135"/>
      <c r="O174" s="141"/>
    </row>
    <row r="175" spans="1:15" ht="13.5" customHeight="1" x14ac:dyDescent="0.35">
      <c r="B175" s="142" t="str">
        <f t="shared" si="42"/>
        <v/>
      </c>
      <c r="C175" s="135"/>
      <c r="D175" s="135"/>
      <c r="E175" s="135"/>
      <c r="F175" s="135"/>
      <c r="G175" s="143"/>
      <c r="H175" s="144"/>
      <c r="I175" s="139" t="str">
        <f t="shared" si="40"/>
        <v/>
      </c>
      <c r="J175" s="135"/>
      <c r="K175" s="135" t="str">
        <f t="shared" si="41"/>
        <v>Jan 1900</v>
      </c>
      <c r="L175" s="135"/>
      <c r="M175" s="135"/>
      <c r="N175" s="135"/>
      <c r="O175" s="141"/>
    </row>
    <row r="176" spans="1:15" ht="15" customHeight="1" x14ac:dyDescent="0.35">
      <c r="B176" s="147"/>
      <c r="C176" s="148"/>
      <c r="D176" s="149"/>
      <c r="E176" s="149"/>
      <c r="F176" s="149"/>
      <c r="G176" s="150"/>
      <c r="H176" s="151"/>
      <c r="I176" s="152"/>
      <c r="J176" s="148"/>
      <c r="K176" s="148"/>
      <c r="L176" s="148"/>
      <c r="M176" s="148"/>
      <c r="N176" s="148"/>
      <c r="O176" s="153"/>
    </row>
    <row r="177" spans="4:15" ht="21" customHeight="1" x14ac:dyDescent="0.35">
      <c r="D177" s="100" t="s">
        <v>12</v>
      </c>
      <c r="G177" s="101">
        <f>G144+G131+G121+G112+G100+G91+G81+G69+G53+G40+G30+G22+G15+G5+G154</f>
        <v>1228352049.3099999</v>
      </c>
      <c r="H177" s="101">
        <f>H144+H131+H121+H112+H100+H91+H81+H69+H53+H40+H30+H22+H15+H5+H154</f>
        <v>362470092.19</v>
      </c>
      <c r="I177" s="101">
        <f>I144+I131+I121+I112+I100+I91+I81+I69+I53+I40+I30+I22+I15+I5+I154</f>
        <v>94271300.419999987</v>
      </c>
      <c r="J177" s="102">
        <f>I177/G177</f>
        <v>7.6746157970717627E-2</v>
      </c>
      <c r="K177" s="85" t="s">
        <v>130</v>
      </c>
    </row>
    <row r="179" spans="4:15" x14ac:dyDescent="0.35">
      <c r="E179" s="103"/>
      <c r="H179" s="104"/>
      <c r="N179" s="103"/>
    </row>
    <row r="180" spans="4:15" x14ac:dyDescent="0.35">
      <c r="E180" s="103"/>
      <c r="H180" s="104"/>
      <c r="N180" s="103"/>
    </row>
    <row r="181" spans="4:15" x14ac:dyDescent="0.35">
      <c r="E181" s="103"/>
      <c r="H181" s="104"/>
      <c r="N181" s="103"/>
    </row>
    <row r="182" spans="4:15" x14ac:dyDescent="0.35">
      <c r="E182" s="103"/>
      <c r="H182" s="104"/>
      <c r="N182" s="103"/>
    </row>
    <row r="183" spans="4:15" ht="15" customHeight="1" x14ac:dyDescent="0.35">
      <c r="E183" s="103"/>
      <c r="H183" s="104"/>
      <c r="N183" s="103"/>
    </row>
    <row r="184" spans="4:15" x14ac:dyDescent="0.35">
      <c r="M184" s="105" t="s">
        <v>8</v>
      </c>
      <c r="N184" s="105" t="s">
        <v>16</v>
      </c>
      <c r="O184" s="106" t="s">
        <v>57</v>
      </c>
    </row>
    <row r="185" spans="4:15" x14ac:dyDescent="0.35">
      <c r="M185" s="105" t="s">
        <v>11</v>
      </c>
      <c r="N185" s="105" t="s">
        <v>17</v>
      </c>
      <c r="O185" s="105" t="s">
        <v>63</v>
      </c>
    </row>
    <row r="186" spans="4:15" ht="15" customHeight="1" x14ac:dyDescent="0.35">
      <c r="M186" s="105" t="s">
        <v>10</v>
      </c>
      <c r="N186" s="105"/>
      <c r="O186" s="107"/>
    </row>
    <row r="187" spans="4:15" x14ac:dyDescent="0.35">
      <c r="E187" s="103"/>
      <c r="M187" s="105"/>
      <c r="N187" s="105"/>
      <c r="O187" s="108"/>
    </row>
    <row r="188" spans="4:15" x14ac:dyDescent="0.35">
      <c r="E188" s="103"/>
      <c r="M188" s="105"/>
      <c r="N188" s="105"/>
      <c r="O188" s="108"/>
    </row>
    <row r="189" spans="4:15" x14ac:dyDescent="0.35">
      <c r="E189" s="103"/>
      <c r="M189" s="105"/>
      <c r="N189" s="105"/>
      <c r="O189" s="108"/>
    </row>
    <row r="190" spans="4:15" x14ac:dyDescent="0.35">
      <c r="E190" s="103"/>
    </row>
    <row r="191" spans="4:15" x14ac:dyDescent="0.35">
      <c r="E191" s="103"/>
    </row>
    <row r="192" spans="4:15" x14ac:dyDescent="0.35">
      <c r="E192" s="103"/>
    </row>
    <row r="193" spans="14:14" x14ac:dyDescent="0.35">
      <c r="N193" s="103"/>
    </row>
    <row r="194" spans="14:14" x14ac:dyDescent="0.35">
      <c r="N194" s="103"/>
    </row>
    <row r="195" spans="14:14" x14ac:dyDescent="0.35">
      <c r="N195" s="103"/>
    </row>
  </sheetData>
  <autoFilter ref="A3:R177" xr:uid="{00000000-0009-0000-0000-000001000000}"/>
  <conditionalFormatting sqref="B7:B14">
    <cfRule type="expression" dxfId="45" priority="19">
      <formula>LEN(TRIM(B7))=0</formula>
    </cfRule>
  </conditionalFormatting>
  <conditionalFormatting sqref="B17:B21">
    <cfRule type="expression" dxfId="44" priority="18">
      <formula>LEN(TRIM(B17))=0</formula>
    </cfRule>
  </conditionalFormatting>
  <conditionalFormatting sqref="B24:B29">
    <cfRule type="expression" dxfId="43" priority="17">
      <formula>LEN(TRIM(B24))=0</formula>
    </cfRule>
  </conditionalFormatting>
  <conditionalFormatting sqref="B32:B39">
    <cfRule type="expression" dxfId="42" priority="16">
      <formula>LEN(TRIM(B32))=0</formula>
    </cfRule>
  </conditionalFormatting>
  <conditionalFormatting sqref="B42:B52">
    <cfRule type="expression" dxfId="41" priority="41">
      <formula>LEN(TRIM(B42))=0</formula>
    </cfRule>
  </conditionalFormatting>
  <conditionalFormatting sqref="B55:B68">
    <cfRule type="expression" dxfId="40" priority="9">
      <formula>LEN(TRIM(B55))=0</formula>
    </cfRule>
  </conditionalFormatting>
  <conditionalFormatting sqref="B70:B80">
    <cfRule type="expression" dxfId="39" priority="8">
      <formula>LEN(TRIM(B70))=0</formula>
    </cfRule>
  </conditionalFormatting>
  <conditionalFormatting sqref="B82:B89">
    <cfRule type="expression" dxfId="38" priority="7">
      <formula>LEN(TRIM(B82))=0</formula>
    </cfRule>
  </conditionalFormatting>
  <conditionalFormatting sqref="B92:B98">
    <cfRule type="expression" dxfId="37" priority="6">
      <formula>LEN(TRIM(B92))=0</formula>
    </cfRule>
  </conditionalFormatting>
  <conditionalFormatting sqref="B101:B110">
    <cfRule type="expression" dxfId="36" priority="15">
      <formula>LEN(TRIM(B101))=0</formula>
    </cfRule>
  </conditionalFormatting>
  <conditionalFormatting sqref="B113:B119">
    <cfRule type="expression" dxfId="35" priority="14">
      <formula>LEN(TRIM(B113))=0</formula>
    </cfRule>
  </conditionalFormatting>
  <conditionalFormatting sqref="B122:B129">
    <cfRule type="expression" dxfId="34" priority="13">
      <formula>LEN(TRIM(B122))=0</formula>
    </cfRule>
  </conditionalFormatting>
  <conditionalFormatting sqref="B132:B142">
    <cfRule type="expression" dxfId="33" priority="12">
      <formula>LEN(TRIM(B132))=0</formula>
    </cfRule>
  </conditionalFormatting>
  <conditionalFormatting sqref="B145:B152">
    <cfRule type="expression" dxfId="32" priority="11">
      <formula>LEN(TRIM(B145))=0</formula>
    </cfRule>
  </conditionalFormatting>
  <conditionalFormatting sqref="B155:B164 B166:B175">
    <cfRule type="expression" dxfId="31" priority="10">
      <formula>LEN(TRIM(B155))=0</formula>
    </cfRule>
  </conditionalFormatting>
  <conditionalFormatting sqref="D42:D43 F42:H43 D44:H52">
    <cfRule type="expression" dxfId="30" priority="21">
      <formula>LEN(TRIM(D42))=0</formula>
    </cfRule>
  </conditionalFormatting>
  <conditionalFormatting sqref="D56 F56:H56 D57:H68">
    <cfRule type="expression" dxfId="29" priority="39">
      <formula>LEN(TRIM(D56))=0</formula>
    </cfRule>
  </conditionalFormatting>
  <conditionalFormatting sqref="D10:H14">
    <cfRule type="expression" dxfId="28" priority="47">
      <formula>LEN(TRIM(D10))=0</formula>
    </cfRule>
  </conditionalFormatting>
  <conditionalFormatting sqref="D17:H21">
    <cfRule type="expression" dxfId="27" priority="49">
      <formula>LEN(TRIM(D17))=0</formula>
    </cfRule>
  </conditionalFormatting>
  <conditionalFormatting sqref="D25:H29">
    <cfRule type="expression" dxfId="26" priority="45">
      <formula>LEN(TRIM(D25))=0</formula>
    </cfRule>
  </conditionalFormatting>
  <conditionalFormatting sqref="D32:H39">
    <cfRule type="expression" dxfId="25" priority="43">
      <formula>LEN(TRIM(D32))=0</formula>
    </cfRule>
  </conditionalFormatting>
  <conditionalFormatting sqref="D70:H80">
    <cfRule type="expression" dxfId="24" priority="37">
      <formula>LEN(TRIM(D70))=0</formula>
    </cfRule>
  </conditionalFormatting>
  <conditionalFormatting sqref="D82:H90">
    <cfRule type="expression" dxfId="23" priority="3">
      <formula>LEN(TRIM(D82))=0</formula>
    </cfRule>
  </conditionalFormatting>
  <conditionalFormatting sqref="D92:H92 E93:H93 D94:H99">
    <cfRule type="expression" dxfId="22" priority="33">
      <formula>LEN(TRIM(D92))=0</formula>
    </cfRule>
  </conditionalFormatting>
  <conditionalFormatting sqref="D101:H101 F102:H102 D103:H111">
    <cfRule type="expression" dxfId="21" priority="31">
      <formula>LEN(TRIM(D101))=0</formula>
    </cfRule>
  </conditionalFormatting>
  <conditionalFormatting sqref="D113:H120">
    <cfRule type="expression" dxfId="20" priority="29">
      <formula>LEN(TRIM(D113))=0</formula>
    </cfRule>
  </conditionalFormatting>
  <conditionalFormatting sqref="D122:H130">
    <cfRule type="expression" dxfId="19" priority="20">
      <formula>LEN(TRIM(D122))=0</formula>
    </cfRule>
  </conditionalFormatting>
  <conditionalFormatting sqref="D132:H143">
    <cfRule type="expression" dxfId="18" priority="26">
      <formula>LEN(TRIM(D132))=0</formula>
    </cfRule>
  </conditionalFormatting>
  <conditionalFormatting sqref="D145:H153">
    <cfRule type="expression" dxfId="17" priority="24">
      <formula>LEN(TRIM(D145))=0</formula>
    </cfRule>
  </conditionalFormatting>
  <conditionalFormatting sqref="D155:H164 D166:H175">
    <cfRule type="expression" dxfId="16" priority="22">
      <formula>LEN(TRIM(D155))=0</formula>
    </cfRule>
  </conditionalFormatting>
  <conditionalFormatting sqref="L10 L11:N12 L13:O14">
    <cfRule type="expression" dxfId="15" priority="48">
      <formula>LEN(TRIM(L10))=0</formula>
    </cfRule>
  </conditionalFormatting>
  <conditionalFormatting sqref="L42:L43 N42:O43 L44:O52">
    <cfRule type="expression" dxfId="14" priority="42">
      <formula>LEN(TRIM(L42))=0</formula>
    </cfRule>
  </conditionalFormatting>
  <conditionalFormatting sqref="L25:N25 L26:O29">
    <cfRule type="expression" dxfId="13" priority="46">
      <formula>LEN(TRIM(L25))=0</formula>
    </cfRule>
  </conditionalFormatting>
  <conditionalFormatting sqref="L32:N32 L33:O39">
    <cfRule type="expression" dxfId="12" priority="44">
      <formula>LEN(TRIM(L32))=0</formula>
    </cfRule>
  </conditionalFormatting>
  <conditionalFormatting sqref="L17:O21">
    <cfRule type="expression" dxfId="11" priority="50">
      <formula>LEN(TRIM(L17))=0</formula>
    </cfRule>
  </conditionalFormatting>
  <conditionalFormatting sqref="L70:O80">
    <cfRule type="expression" dxfId="10" priority="38">
      <formula>LEN(TRIM(L70))=0</formula>
    </cfRule>
  </conditionalFormatting>
  <conditionalFormatting sqref="L82:O90">
    <cfRule type="expression" dxfId="9" priority="2">
      <formula>LEN(TRIM(L82))=0</formula>
    </cfRule>
  </conditionalFormatting>
  <conditionalFormatting sqref="L92:O99">
    <cfRule type="expression" dxfId="8" priority="34">
      <formula>LEN(TRIM(L92))=0</formula>
    </cfRule>
  </conditionalFormatting>
  <conditionalFormatting sqref="L101:O111">
    <cfRule type="expression" dxfId="7" priority="32">
      <formula>LEN(TRIM(L101))=0</formula>
    </cfRule>
  </conditionalFormatting>
  <conditionalFormatting sqref="L113:O120">
    <cfRule type="expression" dxfId="6" priority="4">
      <formula>LEN(TRIM(L113))=0</formula>
    </cfRule>
  </conditionalFormatting>
  <conditionalFormatting sqref="L122:O130">
    <cfRule type="expression" dxfId="5" priority="28">
      <formula>LEN(TRIM(L122))=0</formula>
    </cfRule>
  </conditionalFormatting>
  <conditionalFormatting sqref="L132:O143">
    <cfRule type="expression" dxfId="4" priority="27">
      <formula>LEN(TRIM(L132))=0</formula>
    </cfRule>
  </conditionalFormatting>
  <conditionalFormatting sqref="L145:O153">
    <cfRule type="expression" dxfId="3" priority="25">
      <formula>LEN(TRIM(L145))=0</formula>
    </cfRule>
  </conditionalFormatting>
  <conditionalFormatting sqref="L155:O164 L166:O175">
    <cfRule type="expression" dxfId="2" priority="23">
      <formula>LEN(TRIM(L155))=0</formula>
    </cfRule>
  </conditionalFormatting>
  <conditionalFormatting sqref="N56:N59 L56:L68 N60:O68">
    <cfRule type="expression" dxfId="1" priority="40">
      <formula>LEN(TRIM(L56))=0</formula>
    </cfRule>
  </conditionalFormatting>
  <conditionalFormatting sqref="E102">
    <cfRule type="expression" dxfId="0" priority="1">
      <formula>LEN(TRIM(E102))=0</formula>
    </cfRule>
  </conditionalFormatting>
  <dataValidations count="3">
    <dataValidation type="list" allowBlank="1" showInputMessage="1" showErrorMessage="1" sqref="E4:E176" xr:uid="{00000000-0002-0000-0100-000000000000}">
      <formula1>$O$184:$O$187</formula1>
      <formula2>0</formula2>
    </dataValidation>
    <dataValidation type="list" allowBlank="1" showInputMessage="1" showErrorMessage="1" sqref="N4:N176" xr:uid="{00000000-0002-0000-0100-000001000000}">
      <formula1>$N$179:$N$192</formula1>
      <formula2>0</formula2>
    </dataValidation>
    <dataValidation type="list" allowBlank="1" showInputMessage="1" showErrorMessage="1" sqref="M4:M176" xr:uid="{00000000-0002-0000-0100-000002000000}">
      <formula1>$M$179:$M$195</formula1>
      <formula2>0</formula2>
    </dataValidation>
  </dataValidations>
  <pageMargins left="0.7" right="0.7" top="0.75" bottom="0.75" header="0.511811023622047" footer="0.3"/>
  <pageSetup paperSize="8" scale="70" orientation="landscape" horizontalDpi="300" verticalDpi="300" r:id="rId1"/>
  <headerFooter>
    <oddFooter>&amp;R&amp;"Aptos,Regular"&amp;8 &amp;K008000_x005F_x000d_# Classification : External General Purpose</oddFooter>
  </headerFooter>
  <ignoredErrors>
    <ignoredError sqref="I15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 Summary</vt:lpstr>
      <vt:lpstr>High Levela Summary</vt:lpstr>
      <vt:lpstr>ARR </vt:lpstr>
      <vt:lpstr>'ARR '!Print_Area</vt:lpstr>
      <vt:lpstr>'Total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Khaled Rashad</dc:creator>
  <dc:description/>
  <cp:lastModifiedBy>Manoj Kumar</cp:lastModifiedBy>
  <cp:revision>0</cp:revision>
  <cp:lastPrinted>2026-06-04T10:30:33Z</cp:lastPrinted>
  <dcterms:created xsi:type="dcterms:W3CDTF">2026-05-11T13:14:11Z</dcterms:created>
  <dcterms:modified xsi:type="dcterms:W3CDTF">2026-06-04T15:28:25Z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084f2e-d72a-4d62-926e-185f3657570b_ActionId">
    <vt:lpwstr>6493e884-2130-4dca-97ec-31c343014391</vt:lpwstr>
  </property>
  <property fmtid="{D5CDD505-2E9C-101B-9397-08002B2CF9AE}" pid="3" name="MSIP_Label_77084f2e-d72a-4d62-926e-185f3657570b_ContentBits">
    <vt:lpwstr>2</vt:lpwstr>
  </property>
  <property fmtid="{D5CDD505-2E9C-101B-9397-08002B2CF9AE}" pid="4" name="MSIP_Label_77084f2e-d72a-4d62-926e-185f3657570b_Enabled">
    <vt:lpwstr>true</vt:lpwstr>
  </property>
  <property fmtid="{D5CDD505-2E9C-101B-9397-08002B2CF9AE}" pid="5" name="MSIP_Label_77084f2e-d72a-4d62-926e-185f3657570b_Method">
    <vt:lpwstr>Privileged</vt:lpwstr>
  </property>
  <property fmtid="{D5CDD505-2E9C-101B-9397-08002B2CF9AE}" pid="6" name="MSIP_Label_77084f2e-d72a-4d62-926e-185f3657570b_Name">
    <vt:lpwstr>External General Purpose</vt:lpwstr>
  </property>
  <property fmtid="{D5CDD505-2E9C-101B-9397-08002B2CF9AE}" pid="7" name="MSIP_Label_77084f2e-d72a-4d62-926e-185f3657570b_SetDate">
    <vt:lpwstr>2026-05-11T13:15:28Z</vt:lpwstr>
  </property>
  <property fmtid="{D5CDD505-2E9C-101B-9397-08002B2CF9AE}" pid="8" name="MSIP_Label_77084f2e-d72a-4d62-926e-185f3657570b_SiteId">
    <vt:lpwstr>ab98858a-ce1a-4fea-a19b-e31ea792a488</vt:lpwstr>
  </property>
  <property fmtid="{D5CDD505-2E9C-101B-9397-08002B2CF9AE}" pid="9" name="MSIP_Label_77084f2e-d72a-4d62-926e-185f3657570b_Tag">
    <vt:lpwstr>10, 0, 1, 1</vt:lpwstr>
  </property>
</Properties>
</file>